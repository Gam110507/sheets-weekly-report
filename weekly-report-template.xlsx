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Report" sheetId="1" state="visible" r:id="rId3"/>
    <sheet name="Raw Orders" sheetId="2" state="visible" r:id="rId4"/>
    <sheet name="Weekly 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<sst xmlns="http://schemas.openxmlformats.org/spreadsheetml/2006/main" count="14558" uniqueCount="2402">
  <si>
    <t xml:space="preserve">Weekly Sales Report</t>
  </si>
  <si>
    <t xml:space="preserve">REVENUE</t>
  </si>
  <si>
    <t xml:space="preserve">ORDERS</t>
  </si>
  <si>
    <t xml:space="preserve">AVG ORDER VALUE</t>
  </si>
  <si>
    <t xml:space="preserve">UNITS SOLD</t>
  </si>
  <si>
    <t xml:space="preserve">VS LAST WEEK</t>
  </si>
  <si>
    <t xml:space="preserve">fulfilled product lines</t>
  </si>
  <si>
    <t xml:space="preserve">distinct orders</t>
  </si>
  <si>
    <t xml:space="preserve">revenue divided by orders</t>
  </si>
  <si>
    <t xml:space="preserve">items shipped</t>
  </si>
  <si>
    <t xml:space="preserve">change in revenue</t>
  </si>
  <si>
    <t xml:space="preserve">Revenue counts fulfilled product lines only. Shipping, discounts, cancellations and refunds are excluded and reported separately at the bottom, so this figure reconciles to the raw export.</t>
  </si>
  <si>
    <t xml:space="preserve">Revenue, last 14 weeks</t>
  </si>
  <si>
    <t xml:space="preserve">Week starting</t>
  </si>
  <si>
    <t xml:space="preserve">Revenue</t>
  </si>
  <si>
    <t xml:space="preserve">Orders</t>
  </si>
  <si>
    <t xml:space="preserve">Avg order value</t>
  </si>
  <si>
    <t xml:space="preserve">vs prior week</t>
  </si>
  <si>
    <t xml:space="preserve">Top products this week</t>
  </si>
  <si>
    <t xml:space="preserve">Revenue by channel</t>
  </si>
  <si>
    <t xml:space="preserve">Product</t>
  </si>
  <si>
    <t xml:space="preserve">Units</t>
  </si>
  <si>
    <t xml:space="preserve">Channel</t>
  </si>
  <si>
    <t xml:space="preserve">Share</t>
  </si>
  <si>
    <t xml:space="preserve">What this report leaves out</t>
  </si>
  <si>
    <t xml:space="preserve">Stated rather than hidden, so the revenue figure above can be reconciled against the raw export.</t>
  </si>
  <si>
    <t xml:space="preserve">Refunds, this week</t>
  </si>
  <si>
    <t xml:space="preserve">Shipping charged, all weeks</t>
  </si>
  <si>
    <t xml:space="preserve">Discounts given, all weeks</t>
  </si>
  <si>
    <t xml:space="preserve">Cancelled lines, all weeks</t>
  </si>
  <si>
    <t xml:space="preserve">Product lines with no customer email</t>
  </si>
  <si>
    <t xml:space="preserve">Raw data in, report out, no manual steps. The Apps Script in this file emails this summary on a schedule.</t>
  </si>
  <si>
    <t xml:space="preserve">Order ID</t>
  </si>
  <si>
    <t xml:space="preserve">Date</t>
  </si>
  <si>
    <t xml:space="preserve">Line Type</t>
  </si>
  <si>
    <t xml:space="preserve">Item</t>
  </si>
  <si>
    <t xml:space="preserve">Qty</t>
  </si>
  <si>
    <t xml:space="preserve">Unit Price</t>
  </si>
  <si>
    <t xml:space="preserve">Line Total</t>
  </si>
  <si>
    <t xml:space="preserve">Country</t>
  </si>
  <si>
    <t xml:space="preserve">Customer Email</t>
  </si>
  <si>
    <t xml:space="preserve">Status</t>
  </si>
  <si>
    <t xml:space="preserve">#10017</t>
  </si>
  <si>
    <t xml:space="preserve">04/05/2026 07:04</t>
  </si>
  <si>
    <t xml:space="preserve">Shipping</t>
  </si>
  <si>
    <t xml:space="preserve">Website</t>
  </si>
  <si>
    <t xml:space="preserve">Germany</t>
  </si>
  <si>
    <t xml:space="preserve">customer650@example.com</t>
  </si>
  <si>
    <t xml:space="preserve">Fulfilled</t>
  </si>
  <si>
    <t xml:space="preserve">2026-05-04 07:04</t>
  </si>
  <si>
    <t xml:space="preserve">Discount</t>
  </si>
  <si>
    <t xml:space="preserve">Promo code</t>
  </si>
  <si>
    <t xml:space="preserve">Fitted Sheet Single</t>
  </si>
  <si>
    <t xml:space="preserve">Bamboo Pillow Pair</t>
  </si>
  <si>
    <t xml:space="preserve">#10014</t>
  </si>
  <si>
    <t xml:space="preserve">2026-05-04 07:31</t>
  </si>
  <si>
    <t xml:space="preserve">Cotton Waffle Throw</t>
  </si>
  <si>
    <t xml:space="preserve">Instagram</t>
  </si>
  <si>
    <t xml:space="preserve">United Kingdom</t>
  </si>
  <si>
    <t xml:space="preserve">customer5@example.com</t>
  </si>
  <si>
    <t xml:space="preserve">04/05/2026 07:31</t>
  </si>
  <si>
    <t xml:space="preserve">#10003</t>
  </si>
  <si>
    <t xml:space="preserve">2026-05-04 08:36</t>
  </si>
  <si>
    <t xml:space="preserve">Lavender Room Mist</t>
  </si>
  <si>
    <t xml:space="preserve">#10020</t>
  </si>
  <si>
    <t xml:space="preserve">2026-05-04 09:44</t>
  </si>
  <si>
    <t xml:space="preserve">Storage Basket Large</t>
  </si>
  <si>
    <t xml:space="preserve">customer172@example.com</t>
  </si>
  <si>
    <t xml:space="preserve">04/05/2026 09:44</t>
  </si>
  <si>
    <t xml:space="preserve">Silk Pillowcase</t>
  </si>
  <si>
    <t xml:space="preserve">#10034</t>
  </si>
  <si>
    <t xml:space="preserve">2026-05-04 13:53</t>
  </si>
  <si>
    <t xml:space="preserve">customer402@example.com</t>
  </si>
  <si>
    <t xml:space="preserve">Weighted Blanket 7kg</t>
  </si>
  <si>
    <t xml:space="preserve">04/05/2026 13:53</t>
  </si>
  <si>
    <t xml:space="preserve">#10046</t>
  </si>
  <si>
    <t xml:space="preserve">2026-05-04 16:44</t>
  </si>
  <si>
    <t xml:space="preserve">customer853@example.com</t>
  </si>
  <si>
    <t xml:space="preserve">Linen Bedding Set</t>
  </si>
  <si>
    <t xml:space="preserve">#10023</t>
  </si>
  <si>
    <t xml:space="preserve">2026-05-04 18:05</t>
  </si>
  <si>
    <t xml:space="preserve">customer202@example.com</t>
  </si>
  <si>
    <t xml:space="preserve">#10027</t>
  </si>
  <si>
    <t xml:space="preserve">04/05/2026 18:09</t>
  </si>
  <si>
    <t xml:space="preserve">Ireland</t>
  </si>
  <si>
    <t xml:space="preserve">customer15@example.com</t>
  </si>
  <si>
    <t xml:space="preserve">2026-05-04 18:09</t>
  </si>
  <si>
    <t xml:space="preserve">Mattress Protector</t>
  </si>
  <si>
    <t xml:space="preserve">#10002</t>
  </si>
  <si>
    <t xml:space="preserve">2026-05-05 13:02</t>
  </si>
  <si>
    <t xml:space="preserve">customer247@example.com</t>
  </si>
  <si>
    <t xml:space="preserve">05/05/2026 13:02</t>
  </si>
  <si>
    <t xml:space="preserve">#10033</t>
  </si>
  <si>
    <t xml:space="preserve">2026-05-05 13:44</t>
  </si>
  <si>
    <t xml:space="preserve">customer827@example.com</t>
  </si>
  <si>
    <t xml:space="preserve">#10028</t>
  </si>
  <si>
    <t xml:space="preserve">2026-05-05 13:52</t>
  </si>
  <si>
    <t xml:space="preserve">customer300@example.com</t>
  </si>
  <si>
    <t xml:space="preserve">#10043</t>
  </si>
  <si>
    <t xml:space="preserve">05/05/2026 15:03</t>
  </si>
  <si>
    <t xml:space="preserve">customer644@example.com</t>
  </si>
  <si>
    <t xml:space="preserve">2026-05-05 15:03</t>
  </si>
  <si>
    <t xml:space="preserve">#10048</t>
  </si>
  <si>
    <t xml:space="preserve">2026-05-05 19:55</t>
  </si>
  <si>
    <t xml:space="preserve">France</t>
  </si>
  <si>
    <t xml:space="preserve">customer614@example.com</t>
  </si>
  <si>
    <t xml:space="preserve">05/05/2026 19:55</t>
  </si>
  <si>
    <t xml:space="preserve">#10037</t>
  </si>
  <si>
    <t xml:space="preserve">2026-05-05 20:12</t>
  </si>
  <si>
    <t xml:space="preserve">#10031</t>
  </si>
  <si>
    <t xml:space="preserve">06/05/2026 11:11</t>
  </si>
  <si>
    <t xml:space="preserve">customer124@example.com</t>
  </si>
  <si>
    <t xml:space="preserve">2026-05-06 11:11</t>
  </si>
  <si>
    <t xml:space="preserve">#10030</t>
  </si>
  <si>
    <t xml:space="preserve">2026-05-06 11:34</t>
  </si>
  <si>
    <t xml:space="preserve">customer894@example.com</t>
  </si>
  <si>
    <t xml:space="preserve">#10004</t>
  </si>
  <si>
    <t xml:space="preserve">customer836@example.com</t>
  </si>
  <si>
    <t xml:space="preserve">06/05/2026 11:34</t>
  </si>
  <si>
    <t xml:space="preserve">#10053</t>
  </si>
  <si>
    <t xml:space="preserve">2026-05-06 11:58</t>
  </si>
  <si>
    <t xml:space="preserve">Spain</t>
  </si>
  <si>
    <t xml:space="preserve">customer855@example.com</t>
  </si>
  <si>
    <t xml:space="preserve">Duvet Inner 10.5 tog</t>
  </si>
  <si>
    <t xml:space="preserve">06/05/2026 11:58</t>
  </si>
  <si>
    <t xml:space="preserve">#10050</t>
  </si>
  <si>
    <t xml:space="preserve">2026-05-06 13:15</t>
  </si>
  <si>
    <t xml:space="preserve">#10021</t>
  </si>
  <si>
    <t xml:space="preserve">06/05/2026 13:51</t>
  </si>
  <si>
    <t xml:space="preserve">customer233@example.com</t>
  </si>
  <si>
    <t xml:space="preserve">2026-05-06 13:51</t>
  </si>
  <si>
    <t xml:space="preserve">#10040</t>
  </si>
  <si>
    <t xml:space="preserve">2026-05-06 15:25</t>
  </si>
  <si>
    <t xml:space="preserve">customer585@example.com</t>
  </si>
  <si>
    <t xml:space="preserve">06/05/2026 15:25</t>
  </si>
  <si>
    <t xml:space="preserve">#10013</t>
  </si>
  <si>
    <t xml:space="preserve">2026-05-06 15:45</t>
  </si>
  <si>
    <t xml:space="preserve">customer390@example.com</t>
  </si>
  <si>
    <t xml:space="preserve">#10007</t>
  </si>
  <si>
    <t xml:space="preserve">2026-05-06 17:46</t>
  </si>
  <si>
    <t xml:space="preserve">Linen Napkin Set of 4</t>
  </si>
  <si>
    <t xml:space="preserve">customer75@example.com</t>
  </si>
  <si>
    <t xml:space="preserve">06/05/2026 17:46</t>
  </si>
  <si>
    <t xml:space="preserve">#10011</t>
  </si>
  <si>
    <t xml:space="preserve">2026-05-06 19:56</t>
  </si>
  <si>
    <t xml:space="preserve">Etsy</t>
  </si>
  <si>
    <t xml:space="preserve">#10042</t>
  </si>
  <si>
    <t xml:space="preserve">2026-05-06 21:00</t>
  </si>
  <si>
    <t xml:space="preserve">customer275@example.com</t>
  </si>
  <si>
    <t xml:space="preserve">06/05/2026 21:00</t>
  </si>
  <si>
    <t xml:space="preserve">#10006</t>
  </si>
  <si>
    <t xml:space="preserve">2026-05-06 21:23</t>
  </si>
  <si>
    <t xml:space="preserve">customer716@example.com</t>
  </si>
  <si>
    <t xml:space="preserve">#10055</t>
  </si>
  <si>
    <t xml:space="preserve">2026-05-07 07:29</t>
  </si>
  <si>
    <t xml:space="preserve">Netherlands</t>
  </si>
  <si>
    <t xml:space="preserve">customer549@example.com</t>
  </si>
  <si>
    <t xml:space="preserve">07/05/2026 07:29</t>
  </si>
  <si>
    <t xml:space="preserve">#10015</t>
  </si>
  <si>
    <t xml:space="preserve">2026-05-07 08:29</t>
  </si>
  <si>
    <t xml:space="preserve">Wholesale</t>
  </si>
  <si>
    <t xml:space="preserve">#10039</t>
  </si>
  <si>
    <t xml:space="preserve">07/05/2026 10:05</t>
  </si>
  <si>
    <t xml:space="preserve">2026-05-07 10:05</t>
  </si>
  <si>
    <t xml:space="preserve">#10032</t>
  </si>
  <si>
    <t xml:space="preserve">2026-05-07 10:56</t>
  </si>
  <si>
    <t xml:space="preserve">customer284@example.com</t>
  </si>
  <si>
    <t xml:space="preserve">#10054</t>
  </si>
  <si>
    <t xml:space="preserve">07/05/2026 11:40</t>
  </si>
  <si>
    <t xml:space="preserve">customer463@example.com</t>
  </si>
  <si>
    <t xml:space="preserve">2026-05-07 11:40</t>
  </si>
  <si>
    <t xml:space="preserve">#10008</t>
  </si>
  <si>
    <t xml:space="preserve">2026-05-07 22:26</t>
  </si>
  <si>
    <t xml:space="preserve">#10025</t>
  </si>
  <si>
    <t xml:space="preserve">2026-05-07 22:56</t>
  </si>
  <si>
    <t xml:space="preserve">customer341@example.com</t>
  </si>
  <si>
    <t xml:space="preserve">07/05/2026 22:56</t>
  </si>
  <si>
    <t xml:space="preserve">#10019</t>
  </si>
  <si>
    <t xml:space="preserve">2026-05-08 07:13</t>
  </si>
  <si>
    <t xml:space="preserve">customer557@example.com</t>
  </si>
  <si>
    <t xml:space="preserve">#10036</t>
  </si>
  <si>
    <t xml:space="preserve">2026-05-08 10:25</t>
  </si>
  <si>
    <t xml:space="preserve">#10056</t>
  </si>
  <si>
    <t xml:space="preserve">2026-05-08 14:46</t>
  </si>
  <si>
    <t xml:space="preserve">Amazon</t>
  </si>
  <si>
    <t xml:space="preserve">customer666@example.com</t>
  </si>
  <si>
    <t xml:space="preserve">08/05/2026 14:46</t>
  </si>
  <si>
    <t xml:space="preserve">#10045</t>
  </si>
  <si>
    <t xml:space="preserve">2026-05-08 14:59</t>
  </si>
  <si>
    <t xml:space="preserve">#10012</t>
  </si>
  <si>
    <t xml:space="preserve">2026-05-08 16:08</t>
  </si>
  <si>
    <t xml:space="preserve">customer893@example.com</t>
  </si>
  <si>
    <t xml:space="preserve">08/05/2026 16:08</t>
  </si>
  <si>
    <t xml:space="preserve">#10009</t>
  </si>
  <si>
    <t xml:space="preserve">2026-05-08 17:44</t>
  </si>
  <si>
    <t xml:space="preserve">customer817@example.com</t>
  </si>
  <si>
    <t xml:space="preserve">#10024</t>
  </si>
  <si>
    <t xml:space="preserve">2026-05-08 18:51</t>
  </si>
  <si>
    <t xml:space="preserve">customer123@example.com</t>
  </si>
  <si>
    <t xml:space="preserve">#10029</t>
  </si>
  <si>
    <t xml:space="preserve">08/05/2026 20:53</t>
  </si>
  <si>
    <t xml:space="preserve">customer363@example.com</t>
  </si>
  <si>
    <t xml:space="preserve">Cancelled</t>
  </si>
  <si>
    <t xml:space="preserve">2026-05-08 20:53</t>
  </si>
  <si>
    <t xml:space="preserve">#10018</t>
  </si>
  <si>
    <t xml:space="preserve">2026-05-08 21:30</t>
  </si>
  <si>
    <t xml:space="preserve">#10038</t>
  </si>
  <si>
    <t xml:space="preserve">09/05/2026 07:24</t>
  </si>
  <si>
    <t xml:space="preserve">customer525@example.com</t>
  </si>
  <si>
    <t xml:space="preserve">2026-05-09 07:24</t>
  </si>
  <si>
    <t xml:space="preserve">#10016</t>
  </si>
  <si>
    <t xml:space="preserve">2026-05-09 08:12</t>
  </si>
  <si>
    <t xml:space="preserve">customer113@example.com</t>
  </si>
  <si>
    <t xml:space="preserve">#10041</t>
  </si>
  <si>
    <t xml:space="preserve">09/05/2026 09:17</t>
  </si>
  <si>
    <t xml:space="preserve">2026-05-09 09:17</t>
  </si>
  <si>
    <t xml:space="preserve">#10035</t>
  </si>
  <si>
    <t xml:space="preserve">2026-05-09 11:45</t>
  </si>
  <si>
    <t xml:space="preserve">customer260@example.com</t>
  </si>
  <si>
    <t xml:space="preserve">#10026</t>
  </si>
  <si>
    <t xml:space="preserve">2026-05-09 12:08</t>
  </si>
  <si>
    <t xml:space="preserve">customer477@example.com</t>
  </si>
  <si>
    <t xml:space="preserve">09/05/2026 12:08</t>
  </si>
  <si>
    <t xml:space="preserve">#10051</t>
  </si>
  <si>
    <t xml:space="preserve">2026-05-09 14:05</t>
  </si>
  <si>
    <t xml:space="preserve">customer159@example.com</t>
  </si>
  <si>
    <t xml:space="preserve">#10049</t>
  </si>
  <si>
    <t xml:space="preserve">2026-05-09 17:35</t>
  </si>
  <si>
    <t xml:space="preserve">09/05/2026 17:35</t>
  </si>
  <si>
    <t xml:space="preserve">#10052</t>
  </si>
  <si>
    <t xml:space="preserve">2026-05-09 22:09</t>
  </si>
  <si>
    <t xml:space="preserve">customer149@example.com</t>
  </si>
  <si>
    <t xml:space="preserve">#10022</t>
  </si>
  <si>
    <t xml:space="preserve">2026-05-09 22:16</t>
  </si>
  <si>
    <t xml:space="preserve">customer353@example.com</t>
  </si>
  <si>
    <t xml:space="preserve">#10044</t>
  </si>
  <si>
    <t xml:space="preserve">10/05/2026 07:16</t>
  </si>
  <si>
    <t xml:space="preserve">#10047</t>
  </si>
  <si>
    <t xml:space="preserve">2026-05-10 08:53</t>
  </si>
  <si>
    <t xml:space="preserve">#10005</t>
  </si>
  <si>
    <t xml:space="preserve">2026-05-10 09:36</t>
  </si>
  <si>
    <t xml:space="preserve">customer697@example.com</t>
  </si>
  <si>
    <t xml:space="preserve">10/05/2026 11:11</t>
  </si>
  <si>
    <t xml:space="preserve">Refunded</t>
  </si>
  <si>
    <t xml:space="preserve">#10001</t>
  </si>
  <si>
    <t xml:space="preserve">2026-05-10 17:09</t>
  </si>
  <si>
    <t xml:space="preserve">#10010</t>
  </si>
  <si>
    <t xml:space="preserve">2026-05-10 22:44</t>
  </si>
  <si>
    <t xml:space="preserve">#10099</t>
  </si>
  <si>
    <t xml:space="preserve">11/05/2026 08:06</t>
  </si>
  <si>
    <t xml:space="preserve">customer237@example.com</t>
  </si>
  <si>
    <t xml:space="preserve">2026-05-11 08:06</t>
  </si>
  <si>
    <t xml:space="preserve">#10071</t>
  </si>
  <si>
    <t xml:space="preserve">2026-05-11 09:20</t>
  </si>
  <si>
    <t xml:space="preserve">customer584@example.com</t>
  </si>
  <si>
    <t xml:space="preserve">#10084</t>
  </si>
  <si>
    <t xml:space="preserve">11/05/2026 09:59</t>
  </si>
  <si>
    <t xml:space="preserve">customer669@example.com</t>
  </si>
  <si>
    <t xml:space="preserve">2026-05-11 09:59</t>
  </si>
  <si>
    <t xml:space="preserve">#10086</t>
  </si>
  <si>
    <t xml:space="preserve">2026-05-11 10:35</t>
  </si>
  <si>
    <t xml:space="preserve">customer788@example.com</t>
  </si>
  <si>
    <t xml:space="preserve">#10096</t>
  </si>
  <si>
    <t xml:space="preserve">2026-05-11 11:26</t>
  </si>
  <si>
    <t xml:space="preserve">customer241@example.com</t>
  </si>
  <si>
    <t xml:space="preserve">#10073</t>
  </si>
  <si>
    <t xml:space="preserve">2026-05-11 13:05</t>
  </si>
  <si>
    <t xml:space="preserve">customer662@example.com</t>
  </si>
  <si>
    <t xml:space="preserve">#10094</t>
  </si>
  <si>
    <t xml:space="preserve">11/05/2026 14:26</t>
  </si>
  <si>
    <t xml:space="preserve">2026-05-11 14:26</t>
  </si>
  <si>
    <t xml:space="preserve">#10074</t>
  </si>
  <si>
    <t xml:space="preserve">2026-05-12 07:08</t>
  </si>
  <si>
    <t xml:space="preserve">customer824@example.com</t>
  </si>
  <si>
    <t xml:space="preserve">#10100</t>
  </si>
  <si>
    <t xml:space="preserve">12/05/2026 08:12</t>
  </si>
  <si>
    <t xml:space="preserve">customer77@example.com</t>
  </si>
  <si>
    <t xml:space="preserve">#10087</t>
  </si>
  <si>
    <t xml:space="preserve">2026-05-12 08:45</t>
  </si>
  <si>
    <t xml:space="preserve">customer458@example.com</t>
  </si>
  <si>
    <t xml:space="preserve">#10089</t>
  </si>
  <si>
    <t xml:space="preserve">2026-05-12 09:57</t>
  </si>
  <si>
    <t xml:space="preserve">customer344@example.com</t>
  </si>
  <si>
    <t xml:space="preserve">12/05/2026 09:57</t>
  </si>
  <si>
    <t xml:space="preserve">#10067</t>
  </si>
  <si>
    <t xml:space="preserve">2026-05-12 13:46</t>
  </si>
  <si>
    <t xml:space="preserve">customer421@example.com</t>
  </si>
  <si>
    <t xml:space="preserve">#10064</t>
  </si>
  <si>
    <t xml:space="preserve">2026-05-12 16:16</t>
  </si>
  <si>
    <t xml:space="preserve">customer891@example.com</t>
  </si>
  <si>
    <t xml:space="preserve">12/05/2026 16:16</t>
  </si>
  <si>
    <t xml:space="preserve">#10066</t>
  </si>
  <si>
    <t xml:space="preserve">2026-05-12 17:12</t>
  </si>
  <si>
    <t xml:space="preserve">customer439@example.com</t>
  </si>
  <si>
    <t xml:space="preserve">#10093</t>
  </si>
  <si>
    <t xml:space="preserve">2026-05-12 17:55</t>
  </si>
  <si>
    <t xml:space="preserve">customer802@example.com</t>
  </si>
  <si>
    <t xml:space="preserve">#10069</t>
  </si>
  <si>
    <t xml:space="preserve">2026-05-12 19:41</t>
  </si>
  <si>
    <t xml:space="preserve">customer685@example.com</t>
  </si>
  <si>
    <t xml:space="preserve">12/05/2026 19:41</t>
  </si>
  <si>
    <t xml:space="preserve">#10078</t>
  </si>
  <si>
    <t xml:space="preserve">2026-05-13 07:00</t>
  </si>
  <si>
    <t xml:space="preserve">customer286@example.com</t>
  </si>
  <si>
    <t xml:space="preserve">#10065</t>
  </si>
  <si>
    <t xml:space="preserve">13/05/2026 08:17</t>
  </si>
  <si>
    <t xml:space="preserve">customer293@example.com</t>
  </si>
  <si>
    <t xml:space="preserve">2026-05-13 08:17</t>
  </si>
  <si>
    <t xml:space="preserve">#10095</t>
  </si>
  <si>
    <t xml:space="preserve">2026-05-13 09:16</t>
  </si>
  <si>
    <t xml:space="preserve">customer432@example.com</t>
  </si>
  <si>
    <t xml:space="preserve">#10060</t>
  </si>
  <si>
    <t xml:space="preserve">2026-05-13 09:52</t>
  </si>
  <si>
    <t xml:space="preserve">customer397@example.com</t>
  </si>
  <si>
    <t xml:space="preserve">13/05/2026 09:52</t>
  </si>
  <si>
    <t xml:space="preserve">#10058</t>
  </si>
  <si>
    <t xml:space="preserve">2026-05-13 11:00</t>
  </si>
  <si>
    <t xml:space="preserve">customer689@example.com</t>
  </si>
  <si>
    <t xml:space="preserve">#10088</t>
  </si>
  <si>
    <t xml:space="preserve">13/05/2026 14:51</t>
  </si>
  <si>
    <t xml:space="preserve">customer385@example.com</t>
  </si>
  <si>
    <t xml:space="preserve">2026-05-13 14:51</t>
  </si>
  <si>
    <t xml:space="preserve">#10057</t>
  </si>
  <si>
    <t xml:space="preserve">2026-05-13 16:49</t>
  </si>
  <si>
    <t xml:space="preserve">customer204@example.com</t>
  </si>
  <si>
    <t xml:space="preserve">#10077</t>
  </si>
  <si>
    <t xml:space="preserve">2026-05-13 20:44</t>
  </si>
  <si>
    <t xml:space="preserve">13/05/2026 20:44</t>
  </si>
  <si>
    <t xml:space="preserve">#10092</t>
  </si>
  <si>
    <t xml:space="preserve">2026-05-13 22:08</t>
  </si>
  <si>
    <t xml:space="preserve">#10062</t>
  </si>
  <si>
    <t xml:space="preserve">13/05/2026 22:25</t>
  </si>
  <si>
    <t xml:space="preserve">2026-05-13 22:25</t>
  </si>
  <si>
    <t xml:space="preserve">#10076</t>
  </si>
  <si>
    <t xml:space="preserve">2026-05-14 07:50</t>
  </si>
  <si>
    <t xml:space="preserve">customer39@example.com</t>
  </si>
  <si>
    <t xml:space="preserve">14/05/2026 07:50</t>
  </si>
  <si>
    <t xml:space="preserve">#10068</t>
  </si>
  <si>
    <t xml:space="preserve">2026-05-14 11:10</t>
  </si>
  <si>
    <t xml:space="preserve">customer305@example.com</t>
  </si>
  <si>
    <t xml:space="preserve">#10059</t>
  </si>
  <si>
    <t xml:space="preserve">2026-05-14 16:29</t>
  </si>
  <si>
    <t xml:space="preserve">customer563@example.com</t>
  </si>
  <si>
    <t xml:space="preserve">#10081</t>
  </si>
  <si>
    <t xml:space="preserve">14/05/2026 16:47</t>
  </si>
  <si>
    <t xml:space="preserve">customer206@example.com</t>
  </si>
  <si>
    <t xml:space="preserve">2026-05-14 16:47</t>
  </si>
  <si>
    <t xml:space="preserve">#10063</t>
  </si>
  <si>
    <t xml:space="preserve">14/05/2026 19:20</t>
  </si>
  <si>
    <t xml:space="preserve">2026-05-14 19:20</t>
  </si>
  <si>
    <t xml:space="preserve">#10080</t>
  </si>
  <si>
    <t xml:space="preserve">2026-05-14 20:59</t>
  </si>
  <si>
    <t xml:space="preserve">customer713@example.com</t>
  </si>
  <si>
    <t xml:space="preserve">#10070</t>
  </si>
  <si>
    <t xml:space="preserve">14/05/2026 21:58</t>
  </si>
  <si>
    <t xml:space="preserve">customer143@example.com</t>
  </si>
  <si>
    <t xml:space="preserve">2026-05-14 21:58</t>
  </si>
  <si>
    <t xml:space="preserve">#10097</t>
  </si>
  <si>
    <t xml:space="preserve">2026-05-15 10:49</t>
  </si>
  <si>
    <t xml:space="preserve">#10083</t>
  </si>
  <si>
    <t xml:space="preserve">15/05/2026 11:26</t>
  </si>
  <si>
    <t xml:space="preserve">2026-05-15 11:26</t>
  </si>
  <si>
    <t xml:space="preserve">#10072</t>
  </si>
  <si>
    <t xml:space="preserve">2026-05-15 13:24</t>
  </si>
  <si>
    <t xml:space="preserve">customer511@example.com</t>
  </si>
  <si>
    <t xml:space="preserve">#10098</t>
  </si>
  <si>
    <t xml:space="preserve">2026-05-15 14:09</t>
  </si>
  <si>
    <t xml:space="preserve">customer67@example.com</t>
  </si>
  <si>
    <t xml:space="preserve">15/05/2026 14:09</t>
  </si>
  <si>
    <t xml:space="preserve">#10075</t>
  </si>
  <si>
    <t xml:space="preserve">2026-05-15 21:28</t>
  </si>
  <si>
    <t xml:space="preserve">customer156@example.com</t>
  </si>
  <si>
    <t xml:space="preserve">15/05/2026 21:28</t>
  </si>
  <si>
    <t xml:space="preserve">#10082</t>
  </si>
  <si>
    <t xml:space="preserve">2026-05-15 22:39</t>
  </si>
  <si>
    <t xml:space="preserve">customer682@example.com</t>
  </si>
  <si>
    <t xml:space="preserve">#10091</t>
  </si>
  <si>
    <t xml:space="preserve">2026-05-16 09:01</t>
  </si>
  <si>
    <t xml:space="preserve">16/05/2026 09:01</t>
  </si>
  <si>
    <t xml:space="preserve">#10061</t>
  </si>
  <si>
    <t xml:space="preserve">2026-05-16 15:23</t>
  </si>
  <si>
    <t xml:space="preserve">customer521@example.com</t>
  </si>
  <si>
    <t xml:space="preserve">2026-05-17 07:00</t>
  </si>
  <si>
    <t xml:space="preserve">#10079</t>
  </si>
  <si>
    <t xml:space="preserve">17/05/2026 14:35</t>
  </si>
  <si>
    <t xml:space="preserve">customer722@example.com</t>
  </si>
  <si>
    <t xml:space="preserve">2026-05-17 14:35</t>
  </si>
  <si>
    <t xml:space="preserve">#10090</t>
  </si>
  <si>
    <t xml:space="preserve">2026-05-17 17:59</t>
  </si>
  <si>
    <t xml:space="preserve">#10085</t>
  </si>
  <si>
    <t xml:space="preserve">17/05/2026 19:53</t>
  </si>
  <si>
    <t xml:space="preserve">customer112@example.com</t>
  </si>
  <si>
    <t xml:space="preserve">2026-05-17 19:53</t>
  </si>
  <si>
    <t xml:space="preserve">#10131</t>
  </si>
  <si>
    <t xml:space="preserve">2026-05-18 08:07</t>
  </si>
  <si>
    <t xml:space="preserve">customer866@example.com</t>
  </si>
  <si>
    <t xml:space="preserve">#10138</t>
  </si>
  <si>
    <t xml:space="preserve">18/05/2026 13:07</t>
  </si>
  <si>
    <t xml:space="preserve">customer832@example.com</t>
  </si>
  <si>
    <t xml:space="preserve">2026-05-18 13:07</t>
  </si>
  <si>
    <t xml:space="preserve">#10129</t>
  </si>
  <si>
    <t xml:space="preserve">2026-05-18 16:04</t>
  </si>
  <si>
    <t xml:space="preserve">18/05/2026 16:47</t>
  </si>
  <si>
    <t xml:space="preserve">#10124</t>
  </si>
  <si>
    <t xml:space="preserve">2026-05-18 18:19</t>
  </si>
  <si>
    <t xml:space="preserve">customer230@example.com</t>
  </si>
  <si>
    <t xml:space="preserve">#10135</t>
  </si>
  <si>
    <t xml:space="preserve">18/05/2026 19:39</t>
  </si>
  <si>
    <t xml:space="preserve">customer176@example.com</t>
  </si>
  <si>
    <t xml:space="preserve">2026-05-18 19:39</t>
  </si>
  <si>
    <t xml:space="preserve">#10103</t>
  </si>
  <si>
    <t xml:space="preserve">2026-05-18 20:43</t>
  </si>
  <si>
    <t xml:space="preserve">customer80@example.com</t>
  </si>
  <si>
    <t xml:space="preserve">#10104</t>
  </si>
  <si>
    <t xml:space="preserve">2026-05-19 09:26</t>
  </si>
  <si>
    <t xml:space="preserve">#10102</t>
  </si>
  <si>
    <t xml:space="preserve">19/05/2026 11:02</t>
  </si>
  <si>
    <t xml:space="preserve">2026-05-19 11:02</t>
  </si>
  <si>
    <t xml:space="preserve">#10136</t>
  </si>
  <si>
    <t xml:space="preserve">2026-05-19 12:22</t>
  </si>
  <si>
    <t xml:space="preserve">#10133</t>
  </si>
  <si>
    <t xml:space="preserve">2026-05-19 13:10</t>
  </si>
  <si>
    <t xml:space="preserve">customer399@example.com</t>
  </si>
  <si>
    <t xml:space="preserve">19/05/2026 13:10</t>
  </si>
  <si>
    <t xml:space="preserve">#10105</t>
  </si>
  <si>
    <t xml:space="preserve">2026-05-19 15:26</t>
  </si>
  <si>
    <t xml:space="preserve">customer53@example.com</t>
  </si>
  <si>
    <t xml:space="preserve">#10112</t>
  </si>
  <si>
    <t xml:space="preserve">2026-05-19 17:07</t>
  </si>
  <si>
    <t xml:space="preserve">customer870@example.com</t>
  </si>
  <si>
    <t xml:space="preserve">19/05/2026 17:07</t>
  </si>
  <si>
    <t xml:space="preserve">#10119</t>
  </si>
  <si>
    <t xml:space="preserve">2026-05-19 19:10</t>
  </si>
  <si>
    <t xml:space="preserve">customer50@example.com</t>
  </si>
  <si>
    <t xml:space="preserve">#10123</t>
  </si>
  <si>
    <t xml:space="preserve">2026-05-19 20:26</t>
  </si>
  <si>
    <t xml:space="preserve">customer136@example.com</t>
  </si>
  <si>
    <t xml:space="preserve">19/05/2026 20:26</t>
  </si>
  <si>
    <t xml:space="preserve">#10106</t>
  </si>
  <si>
    <t xml:space="preserve">2026-05-20 07:55</t>
  </si>
  <si>
    <t xml:space="preserve">customer401@example.com</t>
  </si>
  <si>
    <t xml:space="preserve">#10137</t>
  </si>
  <si>
    <t xml:space="preserve">2026-05-20 08:04</t>
  </si>
  <si>
    <t xml:space="preserve">customer838@example.com</t>
  </si>
  <si>
    <t xml:space="preserve">20/05/2026 08:04</t>
  </si>
  <si>
    <t xml:space="preserve">2026-05-20 09:01</t>
  </si>
  <si>
    <t xml:space="preserve">#10139</t>
  </si>
  <si>
    <t xml:space="preserve">2026-05-20 11:06</t>
  </si>
  <si>
    <t xml:space="preserve">customer327@example.com</t>
  </si>
  <si>
    <t xml:space="preserve">20/05/2026 11:06</t>
  </si>
  <si>
    <t xml:space="preserve">#10128</t>
  </si>
  <si>
    <t xml:space="preserve">2026-05-20 13:09</t>
  </si>
  <si>
    <t xml:space="preserve">customer659@example.com</t>
  </si>
  <si>
    <t xml:space="preserve">#10101</t>
  </si>
  <si>
    <t xml:space="preserve">2026-05-20 15:49</t>
  </si>
  <si>
    <t xml:space="preserve">customer109@example.com</t>
  </si>
  <si>
    <t xml:space="preserve">20/05/2026 15:49</t>
  </si>
  <si>
    <t xml:space="preserve">#10121</t>
  </si>
  <si>
    <t xml:space="preserve">2026-05-20 18:21</t>
  </si>
  <si>
    <t xml:space="preserve">customer181@example.com</t>
  </si>
  <si>
    <t xml:space="preserve">#10114</t>
  </si>
  <si>
    <t xml:space="preserve">2026-05-20 22:25</t>
  </si>
  <si>
    <t xml:space="preserve">customer441@example.com</t>
  </si>
  <si>
    <t xml:space="preserve">20/05/2026 22:25</t>
  </si>
  <si>
    <t xml:space="preserve">#10134</t>
  </si>
  <si>
    <t xml:space="preserve">2026-05-20 22:30</t>
  </si>
  <si>
    <t xml:space="preserve">#10125</t>
  </si>
  <si>
    <t xml:space="preserve">2026-05-21 07:59</t>
  </si>
  <si>
    <t xml:space="preserve">customer99@example.com</t>
  </si>
  <si>
    <t xml:space="preserve">#10115</t>
  </si>
  <si>
    <t xml:space="preserve">21/05/2026 09:59</t>
  </si>
  <si>
    <t xml:space="preserve">customer524@example.com</t>
  </si>
  <si>
    <t xml:space="preserve">2026-05-21 09:59</t>
  </si>
  <si>
    <t xml:space="preserve">#10111</t>
  </si>
  <si>
    <t xml:space="preserve">2026-05-21 12:24</t>
  </si>
  <si>
    <t xml:space="preserve">customer743@example.com</t>
  </si>
  <si>
    <t xml:space="preserve">21/05/2026 12:24</t>
  </si>
  <si>
    <t xml:space="preserve">#10110</t>
  </si>
  <si>
    <t xml:space="preserve">2026-05-21 12:40</t>
  </si>
  <si>
    <t xml:space="preserve">customer867@example.com</t>
  </si>
  <si>
    <t xml:space="preserve">#10122</t>
  </si>
  <si>
    <t xml:space="preserve">2026-05-21 15:19</t>
  </si>
  <si>
    <t xml:space="preserve">customer321@example.com</t>
  </si>
  <si>
    <t xml:space="preserve">21/05/2026 15:19</t>
  </si>
  <si>
    <t xml:space="preserve">#10113</t>
  </si>
  <si>
    <t xml:space="preserve">2026-05-21 18:28</t>
  </si>
  <si>
    <t xml:space="preserve">customer4@example.com</t>
  </si>
  <si>
    <t xml:space="preserve">#10108</t>
  </si>
  <si>
    <t xml:space="preserve">21/05/2026 18:47</t>
  </si>
  <si>
    <t xml:space="preserve">customer291@example.com</t>
  </si>
  <si>
    <t xml:space="preserve">2026-05-21 18:47</t>
  </si>
  <si>
    <t xml:space="preserve">#10130</t>
  </si>
  <si>
    <t xml:space="preserve">2026-05-21 20:47</t>
  </si>
  <si>
    <t xml:space="preserve">customer464@example.com</t>
  </si>
  <si>
    <t xml:space="preserve">#10117</t>
  </si>
  <si>
    <t xml:space="preserve">2026-05-22 09:53</t>
  </si>
  <si>
    <t xml:space="preserve">customer163@example.com</t>
  </si>
  <si>
    <t xml:space="preserve">22/05/2026 09:53</t>
  </si>
  <si>
    <t xml:space="preserve">#10116</t>
  </si>
  <si>
    <t xml:space="preserve">2026-05-22 10:12</t>
  </si>
  <si>
    <t xml:space="preserve">customer831@example.com</t>
  </si>
  <si>
    <t xml:space="preserve">#10120</t>
  </si>
  <si>
    <t xml:space="preserve">2026-05-22 10:16</t>
  </si>
  <si>
    <t xml:space="preserve">customer756@example.com</t>
  </si>
  <si>
    <t xml:space="preserve">#10109</t>
  </si>
  <si>
    <t xml:space="preserve">22/05/2026 13:19</t>
  </si>
  <si>
    <t xml:space="preserve">customer495@example.com</t>
  </si>
  <si>
    <t xml:space="preserve">2026-05-22 13:19</t>
  </si>
  <si>
    <t xml:space="preserve">#10126</t>
  </si>
  <si>
    <t xml:space="preserve">2026-05-22 15:00</t>
  </si>
  <si>
    <t xml:space="preserve">customer359@example.com</t>
  </si>
  <si>
    <t xml:space="preserve">22/05/2026 15:00</t>
  </si>
  <si>
    <t xml:space="preserve">#10127</t>
  </si>
  <si>
    <t xml:space="preserve">2026-05-23 07:02</t>
  </si>
  <si>
    <t xml:space="preserve">#10132</t>
  </si>
  <si>
    <t xml:space="preserve">2026-05-23 15:18</t>
  </si>
  <si>
    <t xml:space="preserve">23/05/2026 15:18</t>
  </si>
  <si>
    <t xml:space="preserve">#10118</t>
  </si>
  <si>
    <t xml:space="preserve">2026-05-23 22:13</t>
  </si>
  <si>
    <t xml:space="preserve">customer244@example.com</t>
  </si>
  <si>
    <t xml:space="preserve">#10107</t>
  </si>
  <si>
    <t xml:space="preserve">2026-05-24 09:25</t>
  </si>
  <si>
    <t xml:space="preserve">customer167@example.com</t>
  </si>
  <si>
    <t xml:space="preserve">24/05/2026 09:25</t>
  </si>
  <si>
    <t xml:space="preserve">2026-05-24 11:06</t>
  </si>
  <si>
    <t xml:space="preserve">2026-05-25 12:24</t>
  </si>
  <si>
    <t xml:space="preserve">#10185</t>
  </si>
  <si>
    <t xml:space="preserve">25/05/2026 14:28</t>
  </si>
  <si>
    <t xml:space="preserve">customer52@example.com</t>
  </si>
  <si>
    <t xml:space="preserve">#10154</t>
  </si>
  <si>
    <t xml:space="preserve">2026-05-25 14:43</t>
  </si>
  <si>
    <t xml:space="preserve">customer443@example.com</t>
  </si>
  <si>
    <t xml:space="preserve">#10176</t>
  </si>
  <si>
    <t xml:space="preserve">2026-05-25 17:12</t>
  </si>
  <si>
    <t xml:space="preserve">customer601@example.com</t>
  </si>
  <si>
    <t xml:space="preserve">#10158</t>
  </si>
  <si>
    <t xml:space="preserve">25/05/2026 18:33</t>
  </si>
  <si>
    <t xml:space="preserve">customer468@example.com</t>
  </si>
  <si>
    <t xml:space="preserve">2026-05-25 18:33</t>
  </si>
  <si>
    <t xml:space="preserve">#10177</t>
  </si>
  <si>
    <t xml:space="preserve">2026-05-25 19:34</t>
  </si>
  <si>
    <t xml:space="preserve">#10174</t>
  </si>
  <si>
    <t xml:space="preserve">2026-05-25 22:49</t>
  </si>
  <si>
    <t xml:space="preserve">customer216@example.com</t>
  </si>
  <si>
    <t xml:space="preserve">25/05/2026 22:49</t>
  </si>
  <si>
    <t xml:space="preserve">#10183</t>
  </si>
  <si>
    <t xml:space="preserve">#10172</t>
  </si>
  <si>
    <t xml:space="preserve">26/05/2026 07:01</t>
  </si>
  <si>
    <t xml:space="preserve">customer339@example.com</t>
  </si>
  <si>
    <t xml:space="preserve">2026-05-26 07:01</t>
  </si>
  <si>
    <t xml:space="preserve">#10180</t>
  </si>
  <si>
    <t xml:space="preserve">2026-05-26 07:23</t>
  </si>
  <si>
    <t xml:space="preserve">customer265@example.com</t>
  </si>
  <si>
    <t xml:space="preserve">#10143</t>
  </si>
  <si>
    <t xml:space="preserve">26/05/2026 10:31</t>
  </si>
  <si>
    <t xml:space="preserve">customer607@example.com</t>
  </si>
  <si>
    <t xml:space="preserve">2026-05-26 10:31</t>
  </si>
  <si>
    <t xml:space="preserve">#10145</t>
  </si>
  <si>
    <t xml:space="preserve">2026-05-26 10:40</t>
  </si>
  <si>
    <t xml:space="preserve">#10150</t>
  </si>
  <si>
    <t xml:space="preserve">26/05/2026 18:10</t>
  </si>
  <si>
    <t xml:space="preserve">2026-05-26 18:10</t>
  </si>
  <si>
    <t xml:space="preserve">#10190</t>
  </si>
  <si>
    <t xml:space="preserve">2026-05-26 21:17</t>
  </si>
  <si>
    <t xml:space="preserve">customer287@example.com</t>
  </si>
  <si>
    <t xml:space="preserve">#10179</t>
  </si>
  <si>
    <t xml:space="preserve">26/05/2026 21:40</t>
  </si>
  <si>
    <t xml:space="preserve">2026-05-26 21:40</t>
  </si>
  <si>
    <t xml:space="preserve">#10152</t>
  </si>
  <si>
    <t xml:space="preserve">2026-05-27 10:17</t>
  </si>
  <si>
    <t xml:space="preserve">customer13@example.com</t>
  </si>
  <si>
    <t xml:space="preserve">27/05/2026 10:17</t>
  </si>
  <si>
    <t xml:space="preserve">#10173</t>
  </si>
  <si>
    <t xml:space="preserve">2026-05-27 11:02</t>
  </si>
  <si>
    <t xml:space="preserve">customer130@example.com</t>
  </si>
  <si>
    <t xml:space="preserve">#10163</t>
  </si>
  <si>
    <t xml:space="preserve">2026-05-27 11:49</t>
  </si>
  <si>
    <t xml:space="preserve">customer236@example.com</t>
  </si>
  <si>
    <t xml:space="preserve">#10182</t>
  </si>
  <si>
    <t xml:space="preserve">27/05/2026 19:28</t>
  </si>
  <si>
    <t xml:space="preserve">customer609@example.com</t>
  </si>
  <si>
    <t xml:space="preserve">2026-05-27 19:28</t>
  </si>
  <si>
    <t xml:space="preserve">#10146</t>
  </si>
  <si>
    <t xml:space="preserve">2026-05-28 07:23</t>
  </si>
  <si>
    <t xml:space="preserve">customer559@example.com</t>
  </si>
  <si>
    <t xml:space="preserve">#10184</t>
  </si>
  <si>
    <t xml:space="preserve">2026-05-28 07:43</t>
  </si>
  <si>
    <t xml:space="preserve">customer880@example.com</t>
  </si>
  <si>
    <t xml:space="preserve">28/05/2026 07:43</t>
  </si>
  <si>
    <t xml:space="preserve">#10191</t>
  </si>
  <si>
    <t xml:space="preserve">2026-05-28 07:53</t>
  </si>
  <si>
    <t xml:space="preserve">customer599@example.com</t>
  </si>
  <si>
    <t xml:space="preserve">#10178</t>
  </si>
  <si>
    <t xml:space="preserve">2026-05-28 08:50</t>
  </si>
  <si>
    <t xml:space="preserve">customer632@example.com</t>
  </si>
  <si>
    <t xml:space="preserve">28/05/2026 08:50</t>
  </si>
  <si>
    <t xml:space="preserve">#10142</t>
  </si>
  <si>
    <t xml:space="preserve">2026-05-28 09:36</t>
  </si>
  <si>
    <t xml:space="preserve">customer537@example.com</t>
  </si>
  <si>
    <t xml:space="preserve">#10162</t>
  </si>
  <si>
    <t xml:space="preserve">2026-05-28 11:22</t>
  </si>
  <si>
    <t xml:space="preserve">customer815@example.com</t>
  </si>
  <si>
    <t xml:space="preserve">28/05/2026 11:22</t>
  </si>
  <si>
    <t xml:space="preserve">#10156</t>
  </si>
  <si>
    <t xml:space="preserve">2026-05-28 12:57</t>
  </si>
  <si>
    <t xml:space="preserve">#10192</t>
  </si>
  <si>
    <t xml:space="preserve">2026-05-28 14:51</t>
  </si>
  <si>
    <t xml:space="preserve">customer330@example.com</t>
  </si>
  <si>
    <t xml:space="preserve">28/05/2026 14:51</t>
  </si>
  <si>
    <t xml:space="preserve">#10169</t>
  </si>
  <si>
    <t xml:space="preserve">2026-05-28 21:42</t>
  </si>
  <si>
    <t xml:space="preserve">customer430@example.com</t>
  </si>
  <si>
    <t xml:space="preserve">28/05/2026 21:42</t>
  </si>
  <si>
    <t xml:space="preserve">#10164</t>
  </si>
  <si>
    <t xml:space="preserve">2026-05-28 22:00</t>
  </si>
  <si>
    <t xml:space="preserve">customer671@example.com</t>
  </si>
  <si>
    <t xml:space="preserve">#10171</t>
  </si>
  <si>
    <t xml:space="preserve">2026-05-28 22:42</t>
  </si>
  <si>
    <t xml:space="preserve">customer429@example.com</t>
  </si>
  <si>
    <t xml:space="preserve">#10165</t>
  </si>
  <si>
    <t xml:space="preserve">29/05/2026 09:42</t>
  </si>
  <si>
    <t xml:space="preserve">customer875@example.com</t>
  </si>
  <si>
    <t xml:space="preserve">2026-05-29 09:42</t>
  </si>
  <si>
    <t xml:space="preserve">#10151</t>
  </si>
  <si>
    <t xml:space="preserve">2026-05-29 10:12</t>
  </si>
  <si>
    <t xml:space="preserve">customer814@example.com</t>
  </si>
  <si>
    <t xml:space="preserve">#10186</t>
  </si>
  <si>
    <t xml:space="preserve">2026-05-29 11:46</t>
  </si>
  <si>
    <t xml:space="preserve">customer571@example.com</t>
  </si>
  <si>
    <t xml:space="preserve">29/05/2026 11:46</t>
  </si>
  <si>
    <t xml:space="preserve">#10157</t>
  </si>
  <si>
    <t xml:space="preserve">2026-05-29 12:45</t>
  </si>
  <si>
    <t xml:space="preserve">customer868@example.com</t>
  </si>
  <si>
    <t xml:space="preserve">#10144</t>
  </si>
  <si>
    <t xml:space="preserve">2026-05-29 13:44</t>
  </si>
  <si>
    <t xml:space="preserve">customer652@example.com</t>
  </si>
  <si>
    <t xml:space="preserve">29/05/2026 13:44</t>
  </si>
  <si>
    <t xml:space="preserve">#10167</t>
  </si>
  <si>
    <t xml:space="preserve">2026-05-29 14:11</t>
  </si>
  <si>
    <t xml:space="preserve">customer157@example.com</t>
  </si>
  <si>
    <t xml:space="preserve">#10140</t>
  </si>
  <si>
    <t xml:space="preserve">2026-05-29 16:03</t>
  </si>
  <si>
    <t xml:space="preserve">customer329@example.com</t>
  </si>
  <si>
    <t xml:space="preserve">29/05/2026 16:03</t>
  </si>
  <si>
    <t xml:space="preserve">#10175</t>
  </si>
  <si>
    <t xml:space="preserve">2026-05-29 16:22</t>
  </si>
  <si>
    <t xml:space="preserve">customer279@example.com</t>
  </si>
  <si>
    <t xml:space="preserve">#10160</t>
  </si>
  <si>
    <t xml:space="preserve">2026-05-29 18:37</t>
  </si>
  <si>
    <t xml:space="preserve">customer760@example.com</t>
  </si>
  <si>
    <t xml:space="preserve">#10161</t>
  </si>
  <si>
    <t xml:space="preserve">29/05/2026 19:29</t>
  </si>
  <si>
    <t xml:space="preserve">customer796@example.com</t>
  </si>
  <si>
    <t xml:space="preserve">2026-05-29 19:29</t>
  </si>
  <si>
    <t xml:space="preserve">#10147</t>
  </si>
  <si>
    <t xml:space="preserve">2026-05-29 21:08</t>
  </si>
  <si>
    <t xml:space="preserve">customer772@example.com</t>
  </si>
  <si>
    <t xml:space="preserve">#10189</t>
  </si>
  <si>
    <t xml:space="preserve">29/05/2026 21:30</t>
  </si>
  <si>
    <t xml:space="preserve">2026-05-29 21:30</t>
  </si>
  <si>
    <t xml:space="preserve">2026-05-29 22:49</t>
  </si>
  <si>
    <t xml:space="preserve">#10141</t>
  </si>
  <si>
    <t xml:space="preserve">2026-05-30 07:50</t>
  </si>
  <si>
    <t xml:space="preserve">customer792@example.com</t>
  </si>
  <si>
    <t xml:space="preserve">30/05/2026 07:50</t>
  </si>
  <si>
    <t xml:space="preserve">#10155</t>
  </si>
  <si>
    <t xml:space="preserve">2026-05-30 14:50</t>
  </si>
  <si>
    <t xml:space="preserve">customer161@example.com</t>
  </si>
  <si>
    <t xml:space="preserve">#10188</t>
  </si>
  <si>
    <t xml:space="preserve">30/05/2026 16:46</t>
  </si>
  <si>
    <t xml:space="preserve">2026-05-30 16:46</t>
  </si>
  <si>
    <t xml:space="preserve">#10159</t>
  </si>
  <si>
    <t xml:space="preserve">2026-05-30 18:40</t>
  </si>
  <si>
    <t xml:space="preserve">customer410@example.com</t>
  </si>
  <si>
    <t xml:space="preserve">#10181</t>
  </si>
  <si>
    <t xml:space="preserve">2026-05-31 08:31</t>
  </si>
  <si>
    <t xml:space="preserve">#10187</t>
  </si>
  <si>
    <t xml:space="preserve">31/05/2026 08:45</t>
  </si>
  <si>
    <t xml:space="preserve">2026-05-31 08:45</t>
  </si>
  <si>
    <t xml:space="preserve">#10168</t>
  </si>
  <si>
    <t xml:space="preserve">2026-05-31 09:42</t>
  </si>
  <si>
    <t xml:space="preserve">customer203@example.com</t>
  </si>
  <si>
    <t xml:space="preserve">#10153</t>
  </si>
  <si>
    <t xml:space="preserve">2026-05-31 11:16</t>
  </si>
  <si>
    <t xml:space="preserve">customer759@example.com</t>
  </si>
  <si>
    <t xml:space="preserve">31/05/2026 11:16</t>
  </si>
  <si>
    <t xml:space="preserve">#10166</t>
  </si>
  <si>
    <t xml:space="preserve">2026-05-31 11:33</t>
  </si>
  <si>
    <t xml:space="preserve">customer674@example.com</t>
  </si>
  <si>
    <t xml:space="preserve">#10193</t>
  </si>
  <si>
    <t xml:space="preserve">31/05/2026 11:51</t>
  </si>
  <si>
    <t xml:space="preserve">customer872@example.com</t>
  </si>
  <si>
    <t xml:space="preserve">2026-05-31 11:51</t>
  </si>
  <si>
    <t xml:space="preserve">#10149</t>
  </si>
  <si>
    <t xml:space="preserve">2026-05-31 14:32</t>
  </si>
  <si>
    <t xml:space="preserve">customer721@example.com</t>
  </si>
  <si>
    <t xml:space="preserve">31/05/2026 19:28</t>
  </si>
  <si>
    <t xml:space="preserve">#10148</t>
  </si>
  <si>
    <t xml:space="preserve">2026-05-31 21:42</t>
  </si>
  <si>
    <t xml:space="preserve">customer475@example.com</t>
  </si>
  <si>
    <t xml:space="preserve">#10170</t>
  </si>
  <si>
    <t xml:space="preserve">2026-05-31 22:15</t>
  </si>
  <si>
    <t xml:space="preserve">customer884@example.com</t>
  </si>
  <si>
    <t xml:space="preserve">31/05/2026 22:15</t>
  </si>
  <si>
    <t xml:space="preserve">#10198</t>
  </si>
  <si>
    <t xml:space="preserve">2026-06-01 11:15</t>
  </si>
  <si>
    <t xml:space="preserve">#10224</t>
  </si>
  <si>
    <t xml:space="preserve">2026-06-01 11:34</t>
  </si>
  <si>
    <t xml:space="preserve">customer151@example.com</t>
  </si>
  <si>
    <t xml:space="preserve">01/06/2026 11:34</t>
  </si>
  <si>
    <t xml:space="preserve">#10232</t>
  </si>
  <si>
    <t xml:space="preserve">2026-06-01 11:56</t>
  </si>
  <si>
    <t xml:space="preserve">customer281@example.com</t>
  </si>
  <si>
    <t xml:space="preserve">#10216</t>
  </si>
  <si>
    <t xml:space="preserve">2026-06-01 12:13</t>
  </si>
  <si>
    <t xml:space="preserve">01/06/2026 12:13</t>
  </si>
  <si>
    <t xml:space="preserve">#10206</t>
  </si>
  <si>
    <t xml:space="preserve">2026-06-01 12:28</t>
  </si>
  <si>
    <t xml:space="preserve">#10243</t>
  </si>
  <si>
    <t xml:space="preserve">2026-06-01 14:20</t>
  </si>
  <si>
    <t xml:space="preserve">customer11@example.com</t>
  </si>
  <si>
    <t xml:space="preserve">#10200</t>
  </si>
  <si>
    <t xml:space="preserve">01/06/2026 15:27</t>
  </si>
  <si>
    <t xml:space="preserve">customer839@example.com</t>
  </si>
  <si>
    <t xml:space="preserve">2026-06-01 15:27</t>
  </si>
  <si>
    <t xml:space="preserve">#10242</t>
  </si>
  <si>
    <t xml:space="preserve">2026-06-01 16:51</t>
  </si>
  <si>
    <t xml:space="preserve">customer596@example.com</t>
  </si>
  <si>
    <t xml:space="preserve">#10209</t>
  </si>
  <si>
    <t xml:space="preserve">2026-06-01 18:09</t>
  </si>
  <si>
    <t xml:space="preserve">customer185@example.com</t>
  </si>
  <si>
    <t xml:space="preserve">01/06/2026 18:09</t>
  </si>
  <si>
    <t xml:space="preserve">#10241</t>
  </si>
  <si>
    <t xml:space="preserve">2026-06-01 19:41</t>
  </si>
  <si>
    <t xml:space="preserve">#10227</t>
  </si>
  <si>
    <t xml:space="preserve">2026-06-01 19:54</t>
  </si>
  <si>
    <t xml:space="preserve">01/06/2026 19:54</t>
  </si>
  <si>
    <t xml:space="preserve">#10229</t>
  </si>
  <si>
    <t xml:space="preserve">2026-06-01 20:25</t>
  </si>
  <si>
    <t xml:space="preserve">customer829@example.com</t>
  </si>
  <si>
    <t xml:space="preserve">#10244</t>
  </si>
  <si>
    <t xml:space="preserve">2026-06-01 20:33</t>
  </si>
  <si>
    <t xml:space="preserve">01/06/2026 20:33</t>
  </si>
  <si>
    <t xml:space="preserve">#10204</t>
  </si>
  <si>
    <t xml:space="preserve">2026-06-02 08:16</t>
  </si>
  <si>
    <t xml:space="preserve">customer780@example.com</t>
  </si>
  <si>
    <t xml:space="preserve">#10239</t>
  </si>
  <si>
    <t xml:space="preserve">02/06/2026 10:00</t>
  </si>
  <si>
    <t xml:space="preserve">customer121@example.com</t>
  </si>
  <si>
    <t xml:space="preserve">#10211</t>
  </si>
  <si>
    <t xml:space="preserve">2026-06-02 10:20</t>
  </si>
  <si>
    <t xml:space="preserve">customer526@example.com</t>
  </si>
  <si>
    <t xml:space="preserve">#10210</t>
  </si>
  <si>
    <t xml:space="preserve">02/06/2026 11:17</t>
  </si>
  <si>
    <t xml:space="preserve">customer27@example.com</t>
  </si>
  <si>
    <t xml:space="preserve">2026-06-02 11:17</t>
  </si>
  <si>
    <t xml:space="preserve">#10197</t>
  </si>
  <si>
    <t xml:space="preserve">2026-06-02 13:12</t>
  </si>
  <si>
    <t xml:space="preserve">02/06/2026 13:12</t>
  </si>
  <si>
    <t xml:space="preserve">#10246</t>
  </si>
  <si>
    <t xml:space="preserve">2026-06-02 22:25</t>
  </si>
  <si>
    <t xml:space="preserve">customer602@example.com</t>
  </si>
  <si>
    <t xml:space="preserve">2026-06-03 07:50</t>
  </si>
  <si>
    <t xml:space="preserve">#10250</t>
  </si>
  <si>
    <t xml:space="preserve">2026-06-03 07:58</t>
  </si>
  <si>
    <t xml:space="preserve">03/06/2026 07:58</t>
  </si>
  <si>
    <t xml:space="preserve">#10194</t>
  </si>
  <si>
    <t xml:space="preserve">2026-06-03 09:34</t>
  </si>
  <si>
    <t xml:space="preserve">#10233</t>
  </si>
  <si>
    <t xml:space="preserve">2026-06-03 14:41</t>
  </si>
  <si>
    <t xml:space="preserve">customer376@example.com</t>
  </si>
  <si>
    <t xml:space="preserve">#10215</t>
  </si>
  <si>
    <t xml:space="preserve">03/06/2026 14:45</t>
  </si>
  <si>
    <t xml:space="preserve">customer849@example.com</t>
  </si>
  <si>
    <t xml:space="preserve">#10251</t>
  </si>
  <si>
    <t xml:space="preserve">2026-06-03 15:55</t>
  </si>
  <si>
    <t xml:space="preserve">customer148@example.com</t>
  </si>
  <si>
    <t xml:space="preserve">03/06/2026 15:55</t>
  </si>
  <si>
    <t xml:space="preserve">#10234</t>
  </si>
  <si>
    <t xml:space="preserve">2026-06-03 16:01</t>
  </si>
  <si>
    <t xml:space="preserve">#10205</t>
  </si>
  <si>
    <t xml:space="preserve">2026-06-03 16:37</t>
  </si>
  <si>
    <t xml:space="preserve">customer108@example.com</t>
  </si>
  <si>
    <t xml:space="preserve">03/06/2026 16:37</t>
  </si>
  <si>
    <t xml:space="preserve">#10220</t>
  </si>
  <si>
    <t xml:space="preserve">2026-06-03 19:36</t>
  </si>
  <si>
    <t xml:space="preserve">customer111@example.com</t>
  </si>
  <si>
    <t xml:space="preserve">#10202</t>
  </si>
  <si>
    <t xml:space="preserve">2026-06-03 19:59</t>
  </si>
  <si>
    <t xml:space="preserve">customer264@example.com</t>
  </si>
  <si>
    <t xml:space="preserve">03/06/2026 19:59</t>
  </si>
  <si>
    <t xml:space="preserve">#10225</t>
  </si>
  <si>
    <t xml:space="preserve">2026-06-04 07:40</t>
  </si>
  <si>
    <t xml:space="preserve">customer860@example.com</t>
  </si>
  <si>
    <t xml:space="preserve">#10237</t>
  </si>
  <si>
    <t xml:space="preserve">04/06/2026 10:33</t>
  </si>
  <si>
    <t xml:space="preserve">2026-06-04 10:33</t>
  </si>
  <si>
    <t xml:space="preserve">#10201</t>
  </si>
  <si>
    <t xml:space="preserve">2026-06-04 12:24</t>
  </si>
  <si>
    <t xml:space="preserve">#10236</t>
  </si>
  <si>
    <t xml:space="preserve">04/06/2026 12:35</t>
  </si>
  <si>
    <t xml:space="preserve">customer451@example.com</t>
  </si>
  <si>
    <t xml:space="preserve">2026-06-04 12:35</t>
  </si>
  <si>
    <t xml:space="preserve">#10207</t>
  </si>
  <si>
    <t xml:space="preserve">2026-06-04 12:59</t>
  </si>
  <si>
    <t xml:space="preserve">customer888@example.com</t>
  </si>
  <si>
    <t xml:space="preserve">#10245</t>
  </si>
  <si>
    <t xml:space="preserve">2026-06-04 14:06</t>
  </si>
  <si>
    <t xml:space="preserve">customer665@example.com</t>
  </si>
  <si>
    <t xml:space="preserve">#10196</t>
  </si>
  <si>
    <t xml:space="preserve">04/06/2026 18:49</t>
  </si>
  <si>
    <t xml:space="preserve">customer534@example.com</t>
  </si>
  <si>
    <t xml:space="preserve">2026-06-04 18:49</t>
  </si>
  <si>
    <t xml:space="preserve">#10248</t>
  </si>
  <si>
    <t xml:space="preserve">2026-06-04 20:40</t>
  </si>
  <si>
    <t xml:space="preserve">04/06/2026 20:40</t>
  </si>
  <si>
    <t xml:space="preserve">#10217</t>
  </si>
  <si>
    <t xml:space="preserve">2026-06-04 20:53</t>
  </si>
  <si>
    <t xml:space="preserve">customer356@example.com</t>
  </si>
  <si>
    <t xml:space="preserve">#10218</t>
  </si>
  <si>
    <t xml:space="preserve">04/06/2026 22:08</t>
  </si>
  <si>
    <t xml:space="preserve">customer577@example.com</t>
  </si>
  <si>
    <t xml:space="preserve">2026-06-04 22:08</t>
  </si>
  <si>
    <t xml:space="preserve">#10223</t>
  </si>
  <si>
    <t xml:space="preserve">2026-06-05 08:17</t>
  </si>
  <si>
    <t xml:space="preserve">customer513@example.com</t>
  </si>
  <si>
    <t xml:space="preserve">#10249</t>
  </si>
  <si>
    <t xml:space="preserve">05/06/2026 10:22</t>
  </si>
  <si>
    <t xml:space="preserve">customer44@example.com</t>
  </si>
  <si>
    <t xml:space="preserve">2026-06-05 10:22</t>
  </si>
  <si>
    <t xml:space="preserve">#10221</t>
  </si>
  <si>
    <t xml:space="preserve">2026-06-05 11:01</t>
  </si>
  <si>
    <t xml:space="preserve">customer187@example.com</t>
  </si>
  <si>
    <t xml:space="preserve">#10230</t>
  </si>
  <si>
    <t xml:space="preserve">05/06/2026 15:40</t>
  </si>
  <si>
    <t xml:space="preserve">customer257@example.com</t>
  </si>
  <si>
    <t xml:space="preserve">2026-06-05 15:40</t>
  </si>
  <si>
    <t xml:space="preserve">#10238</t>
  </si>
  <si>
    <t xml:space="preserve">2026-06-05 15:52</t>
  </si>
  <si>
    <t xml:space="preserve">customer762@example.com</t>
  </si>
  <si>
    <t xml:space="preserve">#10214</t>
  </si>
  <si>
    <t xml:space="preserve">05/06/2026 16:11</t>
  </si>
  <si>
    <t xml:space="preserve">2026-06-05 16:11</t>
  </si>
  <si>
    <t xml:space="preserve">#10226</t>
  </si>
  <si>
    <t xml:space="preserve">2026-06-05 17:25</t>
  </si>
  <si>
    <t xml:space="preserve">customer864@example.com</t>
  </si>
  <si>
    <t xml:space="preserve">#10199</t>
  </si>
  <si>
    <t xml:space="preserve">2026-06-05 18:17</t>
  </si>
  <si>
    <t xml:space="preserve">05/06/2026 18:17</t>
  </si>
  <si>
    <t xml:space="preserve">#10212</t>
  </si>
  <si>
    <t xml:space="preserve">2026-06-05 18:27</t>
  </si>
  <si>
    <t xml:space="preserve">customer100@example.com</t>
  </si>
  <si>
    <t xml:space="preserve">2026-06-05 20:25</t>
  </si>
  <si>
    <t xml:space="preserve">#10219</t>
  </si>
  <si>
    <t xml:space="preserve">06/06/2026 07:22</t>
  </si>
  <si>
    <t xml:space="preserve">customer74@example.com</t>
  </si>
  <si>
    <t xml:space="preserve">2026-06-06 07:22</t>
  </si>
  <si>
    <t xml:space="preserve">#10203</t>
  </si>
  <si>
    <t xml:space="preserve">2026-06-06 12:23</t>
  </si>
  <si>
    <t xml:space="preserve">customer40@example.com</t>
  </si>
  <si>
    <t xml:space="preserve">#10222</t>
  </si>
  <si>
    <t xml:space="preserve">06/06/2026 13:16</t>
  </si>
  <si>
    <t xml:space="preserve">customer476@example.com</t>
  </si>
  <si>
    <t xml:space="preserve">2026-06-06 13:16</t>
  </si>
  <si>
    <t xml:space="preserve">#10213</t>
  </si>
  <si>
    <t xml:space="preserve">2026-06-06 16:09</t>
  </si>
  <si>
    <t xml:space="preserve">customer520@example.com</t>
  </si>
  <si>
    <t xml:space="preserve">#10240</t>
  </si>
  <si>
    <t xml:space="preserve">06/06/2026 20:54</t>
  </si>
  <si>
    <t xml:space="preserve">customer389@example.com</t>
  </si>
  <si>
    <t xml:space="preserve">2026-06-06 20:54</t>
  </si>
  <si>
    <t xml:space="preserve">#10228</t>
  </si>
  <si>
    <t xml:space="preserve">2026-06-07 07:23</t>
  </si>
  <si>
    <t xml:space="preserve">customer333@example.com</t>
  </si>
  <si>
    <t xml:space="preserve">07/06/2026 07:23</t>
  </si>
  <si>
    <t xml:space="preserve">#10195</t>
  </si>
  <si>
    <t xml:space="preserve">2026-06-07 08:43</t>
  </si>
  <si>
    <t xml:space="preserve">customer261@example.com</t>
  </si>
  <si>
    <t xml:space="preserve">#10208</t>
  </si>
  <si>
    <t xml:space="preserve">2026-06-07 10:59</t>
  </si>
  <si>
    <t xml:space="preserve">07/06/2026 10:59</t>
  </si>
  <si>
    <t xml:space="preserve">#10235</t>
  </si>
  <si>
    <t xml:space="preserve">2026-06-07 14:20</t>
  </si>
  <si>
    <t xml:space="preserve">customer292@example.com</t>
  </si>
  <si>
    <t xml:space="preserve">#10231</t>
  </si>
  <si>
    <t xml:space="preserve">2026-06-07 16:07</t>
  </si>
  <si>
    <t xml:space="preserve">07/06/2026 16:07</t>
  </si>
  <si>
    <t xml:space="preserve">#10247</t>
  </si>
  <si>
    <t xml:space="preserve">2026-06-07 17:23</t>
  </si>
  <si>
    <t xml:space="preserve">customer114@example.com</t>
  </si>
  <si>
    <t xml:space="preserve">2026-06-07 19:59</t>
  </si>
  <si>
    <t xml:space="preserve">#10301</t>
  </si>
  <si>
    <t xml:space="preserve">08/06/2026 07:52</t>
  </si>
  <si>
    <t xml:space="preserve">#10281</t>
  </si>
  <si>
    <t xml:space="preserve">2026-06-08 09:02</t>
  </si>
  <si>
    <t xml:space="preserve">customer769@example.com</t>
  </si>
  <si>
    <t xml:space="preserve">#10264</t>
  </si>
  <si>
    <t xml:space="preserve">2026-06-08 09:44</t>
  </si>
  <si>
    <t xml:space="preserve">08/06/2026 09:44</t>
  </si>
  <si>
    <t xml:space="preserve">#10305</t>
  </si>
  <si>
    <t xml:space="preserve">2026-06-08 11:37</t>
  </si>
  <si>
    <t xml:space="preserve">#10284</t>
  </si>
  <si>
    <t xml:space="preserve">2026-06-08 12:06</t>
  </si>
  <si>
    <t xml:space="preserve">customer335@example.com</t>
  </si>
  <si>
    <t xml:space="preserve">08/06/2026 12:06</t>
  </si>
  <si>
    <t xml:space="preserve">2026-06-08 12:24</t>
  </si>
  <si>
    <t xml:space="preserve">2026-06-08 12:59</t>
  </si>
  <si>
    <t xml:space="preserve">#10276</t>
  </si>
  <si>
    <t xml:space="preserve">2026-06-08 13:40</t>
  </si>
  <si>
    <t xml:space="preserve">customer724@example.com</t>
  </si>
  <si>
    <t xml:space="preserve">08/06/2026 13:40</t>
  </si>
  <si>
    <t xml:space="preserve">#10269</t>
  </si>
  <si>
    <t xml:space="preserve">2026-06-08 20:12</t>
  </si>
  <si>
    <t xml:space="preserve">customer757@example.com</t>
  </si>
  <si>
    <t xml:space="preserve">#10304</t>
  </si>
  <si>
    <t xml:space="preserve">2026-06-08 22:07</t>
  </si>
  <si>
    <t xml:space="preserve">customer568@example.com</t>
  </si>
  <si>
    <t xml:space="preserve">#10299</t>
  </si>
  <si>
    <t xml:space="preserve">2026-06-09 08:23</t>
  </si>
  <si>
    <t xml:space="preserve">customer219@example.com</t>
  </si>
  <si>
    <t xml:space="preserve">09/06/2026 08:23</t>
  </si>
  <si>
    <t xml:space="preserve">#10263</t>
  </si>
  <si>
    <t xml:space="preserve">2026-06-09 09:34</t>
  </si>
  <si>
    <t xml:space="preserve">customer395@example.com</t>
  </si>
  <si>
    <t xml:space="preserve">#10268</t>
  </si>
  <si>
    <t xml:space="preserve">2026-06-09 10:11</t>
  </si>
  <si>
    <t xml:space="preserve">customer624@example.com</t>
  </si>
  <si>
    <t xml:space="preserve">09/06/2026 10:11</t>
  </si>
  <si>
    <t xml:space="preserve">#10252</t>
  </si>
  <si>
    <t xml:space="preserve">2026-06-09 12:33</t>
  </si>
  <si>
    <t xml:space="preserve">customer826@example.com</t>
  </si>
  <si>
    <t xml:space="preserve">#10274</t>
  </si>
  <si>
    <t xml:space="preserve">2026-06-09 13:27</t>
  </si>
  <si>
    <t xml:space="preserve">customer797@example.com</t>
  </si>
  <si>
    <t xml:space="preserve">09/06/2026 13:27</t>
  </si>
  <si>
    <t xml:space="preserve">#10295</t>
  </si>
  <si>
    <t xml:space="preserve">2026-06-09 13:35</t>
  </si>
  <si>
    <t xml:space="preserve">customer858@example.com</t>
  </si>
  <si>
    <t xml:space="preserve">#10270</t>
  </si>
  <si>
    <t xml:space="preserve">2026-06-09 14:36</t>
  </si>
  <si>
    <t xml:space="preserve">customer446@example.com</t>
  </si>
  <si>
    <t xml:space="preserve">09/06/2026 14:36</t>
  </si>
  <si>
    <t xml:space="preserve">#10266</t>
  </si>
  <si>
    <t xml:space="preserve">2026-06-09 18:25</t>
  </si>
  <si>
    <t xml:space="preserve">#10272</t>
  </si>
  <si>
    <t xml:space="preserve">09/06/2026 18:47</t>
  </si>
  <si>
    <t xml:space="preserve">customer404@example.com</t>
  </si>
  <si>
    <t xml:space="preserve">2026-06-09 18:47</t>
  </si>
  <si>
    <t xml:space="preserve">#10267</t>
  </si>
  <si>
    <t xml:space="preserve">2026-06-09 18:57</t>
  </si>
  <si>
    <t xml:space="preserve">customer717@example.com</t>
  </si>
  <si>
    <t xml:space="preserve">#10254</t>
  </si>
  <si>
    <t xml:space="preserve">2026-06-09 19:01</t>
  </si>
  <si>
    <t xml:space="preserve">customer597@example.com</t>
  </si>
  <si>
    <t xml:space="preserve">09/06/2026 19:01</t>
  </si>
  <si>
    <t xml:space="preserve">#10258</t>
  </si>
  <si>
    <t xml:space="preserve">2026-06-09 19:21</t>
  </si>
  <si>
    <t xml:space="preserve">#10259</t>
  </si>
  <si>
    <t xml:space="preserve">2026-06-09 21:18</t>
  </si>
  <si>
    <t xml:space="preserve">09/06/2026 21:18</t>
  </si>
  <si>
    <t xml:space="preserve">#10300</t>
  </si>
  <si>
    <t xml:space="preserve">2026-06-10 09:39</t>
  </si>
  <si>
    <t xml:space="preserve">customer746@example.com</t>
  </si>
  <si>
    <t xml:space="preserve">#10298</t>
  </si>
  <si>
    <t xml:space="preserve">10/06/2026 10:29</t>
  </si>
  <si>
    <t xml:space="preserve">customer197@example.com</t>
  </si>
  <si>
    <t xml:space="preserve">2026-06-10 10:29</t>
  </si>
  <si>
    <t xml:space="preserve">#10296</t>
  </si>
  <si>
    <t xml:space="preserve">2026-06-10 14:35</t>
  </si>
  <si>
    <t xml:space="preserve">customer714@example.com</t>
  </si>
  <si>
    <t xml:space="preserve">10/06/2026 14:35</t>
  </si>
  <si>
    <t xml:space="preserve">#10265</t>
  </si>
  <si>
    <t xml:space="preserve">2026-06-10 16:12</t>
  </si>
  <si>
    <t xml:space="preserve">customer232@example.com</t>
  </si>
  <si>
    <t xml:space="preserve">#10277</t>
  </si>
  <si>
    <t xml:space="preserve">2026-06-10 21:08</t>
  </si>
  <si>
    <t xml:space="preserve">customer137@example.com</t>
  </si>
  <si>
    <t xml:space="preserve">10/06/2026 21:08</t>
  </si>
  <si>
    <t xml:space="preserve">#10288</t>
  </si>
  <si>
    <t xml:space="preserve">2026-06-10 22:12</t>
  </si>
  <si>
    <t xml:space="preserve">customer33@example.com</t>
  </si>
  <si>
    <t xml:space="preserve">#10292</t>
  </si>
  <si>
    <t xml:space="preserve">2026-06-11 08:46</t>
  </si>
  <si>
    <t xml:space="preserve">#10302</t>
  </si>
  <si>
    <t xml:space="preserve">11/06/2026 08:52</t>
  </si>
  <si>
    <t xml:space="preserve">2026-06-11 08:52</t>
  </si>
  <si>
    <t xml:space="preserve">#10260</t>
  </si>
  <si>
    <t xml:space="preserve">2026-06-11 11:35</t>
  </si>
  <si>
    <t xml:space="preserve">customer825@example.com</t>
  </si>
  <si>
    <t xml:space="preserve">#10275</t>
  </si>
  <si>
    <t xml:space="preserve">11/06/2026 12:49</t>
  </si>
  <si>
    <t xml:space="preserve">customer256@example.com</t>
  </si>
  <si>
    <t xml:space="preserve">2026-06-11 12:49</t>
  </si>
  <si>
    <t xml:space="preserve">#10303</t>
  </si>
  <si>
    <t xml:space="preserve">2026-06-11 14:16</t>
  </si>
  <si>
    <t xml:space="preserve">customer22@example.com</t>
  </si>
  <si>
    <t xml:space="preserve">#10253</t>
  </si>
  <si>
    <t xml:space="preserve">2026-06-11 14:22</t>
  </si>
  <si>
    <t xml:space="preserve">11/06/2026 14:22</t>
  </si>
  <si>
    <t xml:space="preserve">#10285</t>
  </si>
  <si>
    <t xml:space="preserve">2026-06-11 18:53</t>
  </si>
  <si>
    <t xml:space="preserve">#10286</t>
  </si>
  <si>
    <t xml:space="preserve">11/06/2026 19:57</t>
  </si>
  <si>
    <t xml:space="preserve">customer512@example.com</t>
  </si>
  <si>
    <t xml:space="preserve">#10289</t>
  </si>
  <si>
    <t xml:space="preserve">2026-06-11 20:09</t>
  </si>
  <si>
    <t xml:space="preserve">customer527@example.com</t>
  </si>
  <si>
    <t xml:space="preserve">#10282</t>
  </si>
  <si>
    <t xml:space="preserve">2026-06-11 22:27</t>
  </si>
  <si>
    <t xml:space="preserve">11/06/2026 22:27</t>
  </si>
  <si>
    <t xml:space="preserve">#10283</t>
  </si>
  <si>
    <t xml:space="preserve">2026-06-12 09:08</t>
  </si>
  <si>
    <t xml:space="preserve">#10273</t>
  </si>
  <si>
    <t xml:space="preserve">2026-06-12 09:22</t>
  </si>
  <si>
    <t xml:space="preserve">customer709@example.com</t>
  </si>
  <si>
    <t xml:space="preserve">#10280</t>
  </si>
  <si>
    <t xml:space="preserve">12/06/2026 10:44</t>
  </si>
  <si>
    <t xml:space="preserve">customer166@example.com</t>
  </si>
  <si>
    <t xml:space="preserve">2026-06-12 10:44</t>
  </si>
  <si>
    <t xml:space="preserve">#10290</t>
  </si>
  <si>
    <t xml:space="preserve">2026-06-12 12:57</t>
  </si>
  <si>
    <t xml:space="preserve">#10255</t>
  </si>
  <si>
    <t xml:space="preserve">12/06/2026 12:59</t>
  </si>
  <si>
    <t xml:space="preserve">2026-06-12 12:59</t>
  </si>
  <si>
    <t xml:space="preserve">#10271</t>
  </si>
  <si>
    <t xml:space="preserve">2026-06-12 16:57</t>
  </si>
  <si>
    <t xml:space="preserve">customer49@example.com</t>
  </si>
  <si>
    <t xml:space="preserve">12/06/2026 16:57</t>
  </si>
  <si>
    <t xml:space="preserve">#10279</t>
  </si>
  <si>
    <t xml:space="preserve">2026-06-12 19:53</t>
  </si>
  <si>
    <t xml:space="preserve">#10256</t>
  </si>
  <si>
    <t xml:space="preserve">2026-06-13 09:15</t>
  </si>
  <si>
    <t xml:space="preserve">13/06/2026 09:15</t>
  </si>
  <si>
    <t xml:space="preserve">2026-06-13 10:11</t>
  </si>
  <si>
    <t xml:space="preserve">#10261</t>
  </si>
  <si>
    <t xml:space="preserve">2026-06-13 13:19</t>
  </si>
  <si>
    <t xml:space="preserve">customer879@example.com</t>
  </si>
  <si>
    <t xml:space="preserve">#10262</t>
  </si>
  <si>
    <t xml:space="preserve">13/06/2026 21:37</t>
  </si>
  <si>
    <t xml:space="preserve">customer623@example.com</t>
  </si>
  <si>
    <t xml:space="preserve">2026-06-13 21:37</t>
  </si>
  <si>
    <t xml:space="preserve">#10287</t>
  </si>
  <si>
    <t xml:space="preserve">2026-06-14 09:09</t>
  </si>
  <si>
    <t xml:space="preserve">customer454@example.com</t>
  </si>
  <si>
    <t xml:space="preserve">#10297</t>
  </si>
  <si>
    <t xml:space="preserve">2026-06-14 09:51</t>
  </si>
  <si>
    <t xml:space="preserve">customer564@example.com</t>
  </si>
  <si>
    <t xml:space="preserve">14/06/2026 09:51</t>
  </si>
  <si>
    <t xml:space="preserve">#10278</t>
  </si>
  <si>
    <t xml:space="preserve">2026-06-14 10:35</t>
  </si>
  <si>
    <t xml:space="preserve">customer694@example.com</t>
  </si>
  <si>
    <t xml:space="preserve">#10257</t>
  </si>
  <si>
    <t xml:space="preserve">2026-06-14 14:05</t>
  </si>
  <si>
    <t xml:space="preserve">customer192@example.com</t>
  </si>
  <si>
    <t xml:space="preserve">14/06/2026 14:05</t>
  </si>
  <si>
    <t xml:space="preserve">#10291</t>
  </si>
  <si>
    <t xml:space="preserve">2026-06-14 17:33</t>
  </si>
  <si>
    <t xml:space="preserve">customer641@example.com</t>
  </si>
  <si>
    <t xml:space="preserve">#10293</t>
  </si>
  <si>
    <t xml:space="preserve">customer228@example.com</t>
  </si>
  <si>
    <t xml:space="preserve">14/06/2026 17:33</t>
  </si>
  <si>
    <t xml:space="preserve">#10294</t>
  </si>
  <si>
    <t xml:space="preserve">2026-06-14 18:35</t>
  </si>
  <si>
    <t xml:space="preserve">#10338</t>
  </si>
  <si>
    <t xml:space="preserve">2026-06-15 07:11</t>
  </si>
  <si>
    <t xml:space="preserve">customer649@example.com</t>
  </si>
  <si>
    <t xml:space="preserve">15/06/2026 07:11</t>
  </si>
  <si>
    <t xml:space="preserve">#10320</t>
  </si>
  <si>
    <t xml:space="preserve">2026-06-15 07:40</t>
  </si>
  <si>
    <t xml:space="preserve">2026-06-15 08:46</t>
  </si>
  <si>
    <t xml:space="preserve">#10350</t>
  </si>
  <si>
    <t xml:space="preserve">15/06/2026 09:17</t>
  </si>
  <si>
    <t xml:space="preserve">customer712@example.com</t>
  </si>
  <si>
    <t xml:space="preserve">2026-06-15 09:17</t>
  </si>
  <si>
    <t xml:space="preserve">#10339</t>
  </si>
  <si>
    <t xml:space="preserve">2026-06-15 09:22</t>
  </si>
  <si>
    <t xml:space="preserve">customer280@example.com</t>
  </si>
  <si>
    <t xml:space="preserve">#10333</t>
  </si>
  <si>
    <t xml:space="preserve">15/06/2026 14:10</t>
  </si>
  <si>
    <t xml:space="preserve">2026-06-15 14:10</t>
  </si>
  <si>
    <t xml:space="preserve">#10326</t>
  </si>
  <si>
    <t xml:space="preserve">2026-06-15 14:25</t>
  </si>
  <si>
    <t xml:space="preserve">customer640@example.com</t>
  </si>
  <si>
    <t xml:space="preserve">#10352</t>
  </si>
  <si>
    <t xml:space="preserve">2026-06-15 15:01</t>
  </si>
  <si>
    <t xml:space="preserve">15/06/2026 15:01</t>
  </si>
  <si>
    <t xml:space="preserve">#10355</t>
  </si>
  <si>
    <t xml:space="preserve">2026-06-15 16:26</t>
  </si>
  <si>
    <t xml:space="preserve">customer263@example.com</t>
  </si>
  <si>
    <t xml:space="preserve">#10312</t>
  </si>
  <si>
    <t xml:space="preserve">2026-06-15 16:50</t>
  </si>
  <si>
    <t xml:space="preserve">customer312@example.com</t>
  </si>
  <si>
    <t xml:space="preserve">15/06/2026 16:50</t>
  </si>
  <si>
    <t xml:space="preserve">#10344</t>
  </si>
  <si>
    <t xml:space="preserve">2026-06-15 17:43</t>
  </si>
  <si>
    <t xml:space="preserve">customer324@example.com</t>
  </si>
  <si>
    <t xml:space="preserve">#10341</t>
  </si>
  <si>
    <t xml:space="preserve">2026-06-15 17:44</t>
  </si>
  <si>
    <t xml:space="preserve">customer409@example.com</t>
  </si>
  <si>
    <t xml:space="preserve">15/06/2026 17:44</t>
  </si>
  <si>
    <t xml:space="preserve">#10325</t>
  </si>
  <si>
    <t xml:space="preserve">2026-06-15 18:33</t>
  </si>
  <si>
    <t xml:space="preserve">customer10@example.com</t>
  </si>
  <si>
    <t xml:space="preserve">#10347</t>
  </si>
  <si>
    <t xml:space="preserve">customer146@example.com</t>
  </si>
  <si>
    <t xml:space="preserve">15/06/2026 18:33</t>
  </si>
  <si>
    <t xml:space="preserve">#10328</t>
  </si>
  <si>
    <t xml:space="preserve">2026-06-15 18:49</t>
  </si>
  <si>
    <t xml:space="preserve">customer881@example.com</t>
  </si>
  <si>
    <t xml:space="preserve">#10322</t>
  </si>
  <si>
    <t xml:space="preserve">15/06/2026 19:16</t>
  </si>
  <si>
    <t xml:space="preserve">2026-06-15 19:16</t>
  </si>
  <si>
    <t xml:space="preserve">#10330</t>
  </si>
  <si>
    <t xml:space="preserve">2026-06-15 19:26</t>
  </si>
  <si>
    <t xml:space="preserve">#10357</t>
  </si>
  <si>
    <t xml:space="preserve">15/06/2026 20:31</t>
  </si>
  <si>
    <t xml:space="preserve">2026-06-15 20:31</t>
  </si>
  <si>
    <t xml:space="preserve">#10310</t>
  </si>
  <si>
    <t xml:space="preserve">2026-06-16 11:17</t>
  </si>
  <si>
    <t xml:space="preserve">#10332</t>
  </si>
  <si>
    <t xml:space="preserve">2026-06-16 12:30</t>
  </si>
  <si>
    <t xml:space="preserve">customer140@example.com</t>
  </si>
  <si>
    <t xml:space="preserve">16/06/2026 12:30</t>
  </si>
  <si>
    <t xml:space="preserve">#10359</t>
  </si>
  <si>
    <t xml:space="preserve">2026-06-16 13:25</t>
  </si>
  <si>
    <t xml:space="preserve">customer302@example.com</t>
  </si>
  <si>
    <t xml:space="preserve">#10323</t>
  </si>
  <si>
    <t xml:space="preserve">2026-06-16 17:10</t>
  </si>
  <si>
    <t xml:space="preserve">customer147@example.com</t>
  </si>
  <si>
    <t xml:space="preserve">16/06/2026 17:10</t>
  </si>
  <si>
    <t xml:space="preserve">#10313</t>
  </si>
  <si>
    <t xml:space="preserve">2026-06-16 19:21</t>
  </si>
  <si>
    <t xml:space="preserve">customer331@example.com</t>
  </si>
  <si>
    <t xml:space="preserve">#10335</t>
  </si>
  <si>
    <t xml:space="preserve">2026-06-17 07:08</t>
  </si>
  <si>
    <t xml:space="preserve">customer361@example.com</t>
  </si>
  <si>
    <t xml:space="preserve">#10327</t>
  </si>
  <si>
    <t xml:space="preserve">17/06/2026 12:16</t>
  </si>
  <si>
    <t xml:space="preserve">customer182@example.com</t>
  </si>
  <si>
    <t xml:space="preserve">2026-06-17 12:16</t>
  </si>
  <si>
    <t xml:space="preserve">#10356</t>
  </si>
  <si>
    <t xml:space="preserve">2026-06-17 13:54</t>
  </si>
  <si>
    <t xml:space="preserve">#10314</t>
  </si>
  <si>
    <t xml:space="preserve">17/06/2026 14:51</t>
  </si>
  <si>
    <t xml:space="preserve">customer211@example.com</t>
  </si>
  <si>
    <t xml:space="preserve">2026-06-17 14:51</t>
  </si>
  <si>
    <t xml:space="preserve">#10342</t>
  </si>
  <si>
    <t xml:space="preserve">2026-06-17 19:48</t>
  </si>
  <si>
    <t xml:space="preserve">customer651@example.com</t>
  </si>
  <si>
    <t xml:space="preserve">#10334</t>
  </si>
  <si>
    <t xml:space="preserve">2026-06-18 08:49</t>
  </si>
  <si>
    <t xml:space="preserve">customer885@example.com</t>
  </si>
  <si>
    <t xml:space="preserve">18/06/2026 08:49</t>
  </si>
  <si>
    <t xml:space="preserve">#10308</t>
  </si>
  <si>
    <t xml:space="preserve">2026-06-18 11:37</t>
  </si>
  <si>
    <t xml:space="preserve">#10307</t>
  </si>
  <si>
    <t xml:space="preserve">2026-06-18 12:44</t>
  </si>
  <si>
    <t xml:space="preserve">customer626@example.com</t>
  </si>
  <si>
    <t xml:space="preserve">18/06/2026 12:44</t>
  </si>
  <si>
    <t xml:space="preserve">#10346</t>
  </si>
  <si>
    <t xml:space="preserve">2026-06-18 17:04</t>
  </si>
  <si>
    <t xml:space="preserve">customer628@example.com</t>
  </si>
  <si>
    <t xml:space="preserve">#10321</t>
  </si>
  <si>
    <t xml:space="preserve">2026-06-18 17:11</t>
  </si>
  <si>
    <t xml:space="preserve">customer90@example.com</t>
  </si>
  <si>
    <t xml:space="preserve">18/06/2026 17:33</t>
  </si>
  <si>
    <t xml:space="preserve">#10345</t>
  </si>
  <si>
    <t xml:space="preserve">2026-06-18 19:15</t>
  </si>
  <si>
    <t xml:space="preserve">customer364@example.com</t>
  </si>
  <si>
    <t xml:space="preserve">#10358</t>
  </si>
  <si>
    <t xml:space="preserve">2026-06-18 20:26</t>
  </si>
  <si>
    <t xml:space="preserve">18/06/2026 20:26</t>
  </si>
  <si>
    <t xml:space="preserve">#10337</t>
  </si>
  <si>
    <t xml:space="preserve">2026-06-19 10:46</t>
  </si>
  <si>
    <t xml:space="preserve">customer325@example.com</t>
  </si>
  <si>
    <t xml:space="preserve">19/06/2026 10:46</t>
  </si>
  <si>
    <t xml:space="preserve">#10319</t>
  </si>
  <si>
    <t xml:space="preserve">2026-06-19 11:38</t>
  </si>
  <si>
    <t xml:space="preserve">#10318</t>
  </si>
  <si>
    <t xml:space="preserve">19/06/2026 13:03</t>
  </si>
  <si>
    <t xml:space="preserve">customer618@example.com</t>
  </si>
  <si>
    <t xml:space="preserve">2026-06-19 13:03</t>
  </si>
  <si>
    <t xml:space="preserve">#10331</t>
  </si>
  <si>
    <t xml:space="preserve">2026-06-19 18:13</t>
  </si>
  <si>
    <t xml:space="preserve">#10336</t>
  </si>
  <si>
    <t xml:space="preserve">2026-06-19 19:56</t>
  </si>
  <si>
    <t xml:space="preserve">customer207@example.com</t>
  </si>
  <si>
    <t xml:space="preserve">19/06/2026 19:56</t>
  </si>
  <si>
    <t xml:space="preserve">#10311</t>
  </si>
  <si>
    <t xml:space="preserve">2026-06-20 08:58</t>
  </si>
  <si>
    <t xml:space="preserve">#10340</t>
  </si>
  <si>
    <t xml:space="preserve">2026-06-20 13:32</t>
  </si>
  <si>
    <t xml:space="preserve">customer372@example.com</t>
  </si>
  <si>
    <t xml:space="preserve">20/06/2026 13:32</t>
  </si>
  <si>
    <t xml:space="preserve">#10353</t>
  </si>
  <si>
    <t xml:space="preserve">2026-06-20 15:58</t>
  </si>
  <si>
    <t xml:space="preserve">#10309</t>
  </si>
  <si>
    <t xml:space="preserve">2026-06-20 18:20</t>
  </si>
  <si>
    <t xml:space="preserve">customer342@example.com</t>
  </si>
  <si>
    <t xml:space="preserve">20/06/2026 18:20</t>
  </si>
  <si>
    <t xml:space="preserve">#10349</t>
  </si>
  <si>
    <t xml:space="preserve">2026-06-20 18:53</t>
  </si>
  <si>
    <t xml:space="preserve">customer720@example.com</t>
  </si>
  <si>
    <t xml:space="preserve">#10343</t>
  </si>
  <si>
    <t xml:space="preserve">20/06/2026 19:15</t>
  </si>
  <si>
    <t xml:space="preserve">2026-06-20 19:15</t>
  </si>
  <si>
    <t xml:space="preserve">#10316</t>
  </si>
  <si>
    <t xml:space="preserve">2026-06-21 09:37</t>
  </si>
  <si>
    <t xml:space="preserve">customer480@example.com</t>
  </si>
  <si>
    <t xml:space="preserve">21/06/2026 09:37</t>
  </si>
  <si>
    <t xml:space="preserve">#10351</t>
  </si>
  <si>
    <t xml:space="preserve">2026-06-21 11:00</t>
  </si>
  <si>
    <t xml:space="preserve">#10306</t>
  </si>
  <si>
    <t xml:space="preserve">2026-06-21 11:31</t>
  </si>
  <si>
    <t xml:space="preserve">customer820@example.com</t>
  </si>
  <si>
    <t xml:space="preserve">#10324</t>
  </si>
  <si>
    <t xml:space="preserve">21/06/2026 11:42</t>
  </si>
  <si>
    <t xml:space="preserve">2026-06-21 11:42</t>
  </si>
  <si>
    <t xml:space="preserve">#10348</t>
  </si>
  <si>
    <t xml:space="preserve">21/06/2026 12:09</t>
  </si>
  <si>
    <t xml:space="preserve">customer848@example.com</t>
  </si>
  <si>
    <t xml:space="preserve">2026-06-21 12:09</t>
  </si>
  <si>
    <t xml:space="preserve">#10354</t>
  </si>
  <si>
    <t xml:space="preserve">2026-06-21 13:08</t>
  </si>
  <si>
    <t xml:space="preserve">customer381@example.com</t>
  </si>
  <si>
    <t xml:space="preserve">#10315</t>
  </si>
  <si>
    <t xml:space="preserve">2026-06-21 16:59</t>
  </si>
  <si>
    <t xml:space="preserve">21/06/2026 16:59</t>
  </si>
  <si>
    <t xml:space="preserve">#10317</t>
  </si>
  <si>
    <t xml:space="preserve">2026-06-21 17:57</t>
  </si>
  <si>
    <t xml:space="preserve">customer560@example.com</t>
  </si>
  <si>
    <t xml:space="preserve">#10329</t>
  </si>
  <si>
    <t xml:space="preserve">2026-06-21 19:29</t>
  </si>
  <si>
    <t xml:space="preserve">customer28@example.com</t>
  </si>
  <si>
    <t xml:space="preserve">21/06/2026 19:29</t>
  </si>
  <si>
    <t xml:space="preserve">#10360</t>
  </si>
  <si>
    <t xml:space="preserve">22/06/2026 10:05</t>
  </si>
  <si>
    <t xml:space="preserve">customer16@example.com</t>
  </si>
  <si>
    <t xml:space="preserve">2026-06-22 10:05</t>
  </si>
  <si>
    <t xml:space="preserve">#10382</t>
  </si>
  <si>
    <t xml:space="preserve">2026-06-22 14:10</t>
  </si>
  <si>
    <t xml:space="preserve">22/06/2026 14:10</t>
  </si>
  <si>
    <t xml:space="preserve">#10388</t>
  </si>
  <si>
    <t xml:space="preserve">2026-06-22 18:49</t>
  </si>
  <si>
    <t xml:space="preserve">customer225@example.com</t>
  </si>
  <si>
    <t xml:space="preserve">#10386</t>
  </si>
  <si>
    <t xml:space="preserve">2026-06-23 08:52</t>
  </si>
  <si>
    <t xml:space="preserve">customer101@example.com</t>
  </si>
  <si>
    <t xml:space="preserve">#10363</t>
  </si>
  <si>
    <t xml:space="preserve">2026-06-23 09:20</t>
  </si>
  <si>
    <t xml:space="preserve">customer306@example.com</t>
  </si>
  <si>
    <t xml:space="preserve">23/06/2026 09:20</t>
  </si>
  <si>
    <t xml:space="preserve">#10385</t>
  </si>
  <si>
    <t xml:space="preserve">2026-06-23 10:05</t>
  </si>
  <si>
    <t xml:space="preserve">customer250@example.com</t>
  </si>
  <si>
    <t xml:space="preserve">#10372</t>
  </si>
  <si>
    <t xml:space="preserve">2026-06-23 11:19</t>
  </si>
  <si>
    <t xml:space="preserve">customer220@example.com</t>
  </si>
  <si>
    <t xml:space="preserve">#10374</t>
  </si>
  <si>
    <t xml:space="preserve">2026-06-23 11:46</t>
  </si>
  <si>
    <t xml:space="preserve">customer412@example.com</t>
  </si>
  <si>
    <t xml:space="preserve">23/06/2026 11:46</t>
  </si>
  <si>
    <t xml:space="preserve">#10371</t>
  </si>
  <si>
    <t xml:space="preserve">2026-06-23 11:55</t>
  </si>
  <si>
    <t xml:space="preserve">customer164@example.com</t>
  </si>
  <si>
    <t xml:space="preserve">#10408</t>
  </si>
  <si>
    <t xml:space="preserve">2026-06-23 12:43</t>
  </si>
  <si>
    <t xml:space="preserve">customer393@example.com</t>
  </si>
  <si>
    <t xml:space="preserve">23/06/2026 12:43</t>
  </si>
  <si>
    <t xml:space="preserve">2026-06-23 13:03</t>
  </si>
  <si>
    <t xml:space="preserve">#10376</t>
  </si>
  <si>
    <t xml:space="preserve">2026-06-23 13:31</t>
  </si>
  <si>
    <t xml:space="preserve">customer554@example.com</t>
  </si>
  <si>
    <t xml:space="preserve">#10370</t>
  </si>
  <si>
    <t xml:space="preserve">23/06/2026 13:50</t>
  </si>
  <si>
    <t xml:space="preserve">customer675@example.com</t>
  </si>
  <si>
    <t xml:space="preserve">2026-06-23 13:50</t>
  </si>
  <si>
    <t xml:space="preserve">#10367</t>
  </si>
  <si>
    <t xml:space="preserve">2026-06-23 13:51</t>
  </si>
  <si>
    <t xml:space="preserve">#10377</t>
  </si>
  <si>
    <t xml:space="preserve">23/06/2026 16:02</t>
  </si>
  <si>
    <t xml:space="preserve">2026-06-23 16:02</t>
  </si>
  <si>
    <t xml:space="preserve">#10380</t>
  </si>
  <si>
    <t xml:space="preserve">2026-06-23 18:04</t>
  </si>
  <si>
    <t xml:space="preserve">customer168@example.com</t>
  </si>
  <si>
    <t xml:space="preserve">23/06/2026 18:04</t>
  </si>
  <si>
    <t xml:space="preserve">#10373</t>
  </si>
  <si>
    <t xml:space="preserve">2026-06-23 19:02</t>
  </si>
  <si>
    <t xml:space="preserve">customer299@example.com</t>
  </si>
  <si>
    <t xml:space="preserve">#10394</t>
  </si>
  <si>
    <t xml:space="preserve">2026-06-23 19:50</t>
  </si>
  <si>
    <t xml:space="preserve">customer351@example.com</t>
  </si>
  <si>
    <t xml:space="preserve">23/06/2026 19:56</t>
  </si>
  <si>
    <t xml:space="preserve">#10390</t>
  </si>
  <si>
    <t xml:space="preserve">2026-06-23 20:05</t>
  </si>
  <si>
    <t xml:space="preserve">#10392</t>
  </si>
  <si>
    <t xml:space="preserve">2026-06-23 20:24</t>
  </si>
  <si>
    <t xml:space="preserve">customer608@example.com</t>
  </si>
  <si>
    <t xml:space="preserve">#10391</t>
  </si>
  <si>
    <t xml:space="preserve">2026-06-23 22:08</t>
  </si>
  <si>
    <t xml:space="preserve">customer55@example.com</t>
  </si>
  <si>
    <t xml:space="preserve">23/06/2026 22:08</t>
  </si>
  <si>
    <t xml:space="preserve">#10410</t>
  </si>
  <si>
    <t xml:space="preserve">2026-06-23 22:17</t>
  </si>
  <si>
    <t xml:space="preserve">customer638@example.com</t>
  </si>
  <si>
    <t xml:space="preserve">#10396</t>
  </si>
  <si>
    <t xml:space="preserve">2026-06-23 22:26</t>
  </si>
  <si>
    <t xml:space="preserve">customer150@example.com</t>
  </si>
  <si>
    <t xml:space="preserve">#10407</t>
  </si>
  <si>
    <t xml:space="preserve">2026-06-23 22:52</t>
  </si>
  <si>
    <t xml:space="preserve">customer144@example.com</t>
  </si>
  <si>
    <t xml:space="preserve">23/06/2026 22:52</t>
  </si>
  <si>
    <t xml:space="preserve">#10398</t>
  </si>
  <si>
    <t xml:space="preserve">2026-06-24 08:24</t>
  </si>
  <si>
    <t xml:space="preserve">customer155@example.com</t>
  </si>
  <si>
    <t xml:space="preserve">#10361</t>
  </si>
  <si>
    <t xml:space="preserve">2026-06-24 13:45</t>
  </si>
  <si>
    <t xml:space="preserve">#10393</t>
  </si>
  <si>
    <t xml:space="preserve">24/06/2026 14:15</t>
  </si>
  <si>
    <t xml:space="preserve">customer243@example.com</t>
  </si>
  <si>
    <t xml:space="preserve">2026-06-24 14:15</t>
  </si>
  <si>
    <t xml:space="preserve">#10383</t>
  </si>
  <si>
    <t xml:space="preserve">2026-06-24 14:46</t>
  </si>
  <si>
    <t xml:space="preserve">customer98@example.com</t>
  </si>
  <si>
    <t xml:space="preserve">#10378</t>
  </si>
  <si>
    <t xml:space="preserve">2026-06-24 18:28</t>
  </si>
  <si>
    <t xml:space="preserve">customer373@example.com</t>
  </si>
  <si>
    <t xml:space="preserve">24/06/2026 18:28</t>
  </si>
  <si>
    <t xml:space="preserve">#10399</t>
  </si>
  <si>
    <t xml:space="preserve">24/06/2026 19:19</t>
  </si>
  <si>
    <t xml:space="preserve">customer519@example.com</t>
  </si>
  <si>
    <t xml:space="preserve">2026-06-24 19:19</t>
  </si>
  <si>
    <t xml:space="preserve">#10409</t>
  </si>
  <si>
    <t xml:space="preserve">2026-06-24 22:12</t>
  </si>
  <si>
    <t xml:space="preserve">customer413@example.com</t>
  </si>
  <si>
    <t xml:space="preserve">24/06/2026 22:12</t>
  </si>
  <si>
    <t xml:space="preserve">#10366</t>
  </si>
  <si>
    <t xml:space="preserve">2026-06-25 07:34</t>
  </si>
  <si>
    <t xml:space="preserve">customer844@example.com</t>
  </si>
  <si>
    <t xml:space="preserve">2026-06-25 11:42</t>
  </si>
  <si>
    <t xml:space="preserve">#10387</t>
  </si>
  <si>
    <t xml:space="preserve">2026-06-25 16:21</t>
  </si>
  <si>
    <t xml:space="preserve">customer188@example.com</t>
  </si>
  <si>
    <t xml:space="preserve">25/06/2026 16:21</t>
  </si>
  <si>
    <t xml:space="preserve">#10381</t>
  </si>
  <si>
    <t xml:space="preserve">2026-06-25 22:19</t>
  </si>
  <si>
    <t xml:space="preserve">25/06/2026 22:19</t>
  </si>
  <si>
    <t xml:space="preserve">#10400</t>
  </si>
  <si>
    <t xml:space="preserve">2026-06-26 07:00</t>
  </si>
  <si>
    <t xml:space="preserve">customer466@example.com</t>
  </si>
  <si>
    <t xml:space="preserve">#10362</t>
  </si>
  <si>
    <t xml:space="preserve">2026-06-26 08:55</t>
  </si>
  <si>
    <t xml:space="preserve">customer195@example.com</t>
  </si>
  <si>
    <t xml:space="preserve">26/06/2026 08:55</t>
  </si>
  <si>
    <t xml:space="preserve">#10375</t>
  </si>
  <si>
    <t xml:space="preserve">2026-06-26 09:18</t>
  </si>
  <si>
    <t xml:space="preserve">2026-06-26 14:10</t>
  </si>
  <si>
    <t xml:space="preserve">#10364</t>
  </si>
  <si>
    <t xml:space="preserve">2026-06-26 14:55</t>
  </si>
  <si>
    <t xml:space="preserve">26/06/2026 14:55</t>
  </si>
  <si>
    <t xml:space="preserve">#10369</t>
  </si>
  <si>
    <t xml:space="preserve">2026-06-26 16:51</t>
  </si>
  <si>
    <t xml:space="preserve">#10365</t>
  </si>
  <si>
    <t xml:space="preserve">2026-06-26 22:45</t>
  </si>
  <si>
    <t xml:space="preserve">customer821@example.com</t>
  </si>
  <si>
    <t xml:space="preserve">26/06/2026 22:45</t>
  </si>
  <si>
    <t xml:space="preserve">2026-06-27 09:20</t>
  </si>
  <si>
    <t xml:space="preserve">#10403</t>
  </si>
  <si>
    <t xml:space="preserve">2026-06-27 10:35</t>
  </si>
  <si>
    <t xml:space="preserve">#10384</t>
  </si>
  <si>
    <t xml:space="preserve">2026-06-27 14:05</t>
  </si>
  <si>
    <t xml:space="preserve">customer271@example.com</t>
  </si>
  <si>
    <t xml:space="preserve">#10401</t>
  </si>
  <si>
    <t xml:space="preserve">27/06/2026 19:08</t>
  </si>
  <si>
    <t xml:space="preserve">customer78@example.com</t>
  </si>
  <si>
    <t xml:space="preserve">2026-06-27 19:08</t>
  </si>
  <si>
    <t xml:space="preserve">#10402</t>
  </si>
  <si>
    <t xml:space="preserve">2026-06-27 19:33</t>
  </si>
  <si>
    <t xml:space="preserve">27/06/2026 19:33</t>
  </si>
  <si>
    <t xml:space="preserve">#10406</t>
  </si>
  <si>
    <t xml:space="preserve">2026-06-27 20:41</t>
  </si>
  <si>
    <t xml:space="preserve">customer505@example.com</t>
  </si>
  <si>
    <t xml:space="preserve">#10397</t>
  </si>
  <si>
    <t xml:space="preserve">2026-06-27 21:39</t>
  </si>
  <si>
    <t xml:space="preserve">customer278@example.com</t>
  </si>
  <si>
    <t xml:space="preserve">27/06/2026 21:39</t>
  </si>
  <si>
    <t xml:space="preserve">#10389</t>
  </si>
  <si>
    <t xml:space="preserve">2026-06-27 22:02</t>
  </si>
  <si>
    <t xml:space="preserve">customer71@example.com</t>
  </si>
  <si>
    <t xml:space="preserve">27/06/2026 22:02</t>
  </si>
  <si>
    <t xml:space="preserve">#10404</t>
  </si>
  <si>
    <t xml:space="preserve">2026-06-28 08:20</t>
  </si>
  <si>
    <t xml:space="preserve">#10405</t>
  </si>
  <si>
    <t xml:space="preserve">2026-06-28 08:25</t>
  </si>
  <si>
    <t xml:space="preserve">customer288@example.com</t>
  </si>
  <si>
    <t xml:space="preserve">#10368</t>
  </si>
  <si>
    <t xml:space="preserve">28/06/2026 10:03</t>
  </si>
  <si>
    <t xml:space="preserve">customer510@example.com</t>
  </si>
  <si>
    <t xml:space="preserve">2026-06-28 10:03</t>
  </si>
  <si>
    <t xml:space="preserve">#10379</t>
  </si>
  <si>
    <t xml:space="preserve">2026-06-28 10:50</t>
  </si>
  <si>
    <t xml:space="preserve">customer37@example.com</t>
  </si>
  <si>
    <t xml:space="preserve">28/06/2026 10:50</t>
  </si>
  <si>
    <t xml:space="preserve">#10395</t>
  </si>
  <si>
    <t xml:space="preserve">2026-06-28 17:42</t>
  </si>
  <si>
    <t xml:space="preserve">2026-06-28 19:19</t>
  </si>
  <si>
    <t xml:space="preserve">#10429</t>
  </si>
  <si>
    <t xml:space="preserve">2026-06-29 07:04</t>
  </si>
  <si>
    <t xml:space="preserve">customer856@example.com</t>
  </si>
  <si>
    <t xml:space="preserve">29/06/2026 07:04</t>
  </si>
  <si>
    <t xml:space="preserve">#10426</t>
  </si>
  <si>
    <t xml:space="preserve">2026-06-29 08:51</t>
  </si>
  <si>
    <t xml:space="preserve">customer258@example.com</t>
  </si>
  <si>
    <t xml:space="preserve">#10456</t>
  </si>
  <si>
    <t xml:space="preserve">29/06/2026 09:41</t>
  </si>
  <si>
    <t xml:space="preserve">customer14@example.com</t>
  </si>
  <si>
    <t xml:space="preserve">2026-06-29 09:41</t>
  </si>
  <si>
    <t xml:space="preserve">#10466</t>
  </si>
  <si>
    <t xml:space="preserve">2026-06-29 12:33</t>
  </si>
  <si>
    <t xml:space="preserve">customer816@example.com</t>
  </si>
  <si>
    <t xml:space="preserve">#10428</t>
  </si>
  <si>
    <t xml:space="preserve">2026-06-29 13:35</t>
  </si>
  <si>
    <t xml:space="preserve">customer304@example.com</t>
  </si>
  <si>
    <t xml:space="preserve">#10420</t>
  </si>
  <si>
    <t xml:space="preserve">2026-06-29 15:38</t>
  </si>
  <si>
    <t xml:space="preserve">customer369@example.com</t>
  </si>
  <si>
    <t xml:space="preserve">#10416</t>
  </si>
  <si>
    <t xml:space="preserve">29/06/2026 17:22</t>
  </si>
  <si>
    <t xml:space="preserve">customer545@example.com</t>
  </si>
  <si>
    <t xml:space="preserve">2026-06-29 17:22</t>
  </si>
  <si>
    <t xml:space="preserve">#10460</t>
  </si>
  <si>
    <t xml:space="preserve">2026-06-30 09:23</t>
  </si>
  <si>
    <t xml:space="preserve">customer740@example.com</t>
  </si>
  <si>
    <t xml:space="preserve">#10442</t>
  </si>
  <si>
    <t xml:space="preserve">30/06/2026 11:29</t>
  </si>
  <si>
    <t xml:space="preserve">customer107@example.com</t>
  </si>
  <si>
    <t xml:space="preserve">2026-06-30 11:29</t>
  </si>
  <si>
    <t xml:space="preserve">#10459</t>
  </si>
  <si>
    <t xml:space="preserve">2026-06-30 11:41</t>
  </si>
  <si>
    <t xml:space="preserve">#10464</t>
  </si>
  <si>
    <t xml:space="preserve">2026-06-30 12:02</t>
  </si>
  <si>
    <t xml:space="preserve">30/06/2026 12:02</t>
  </si>
  <si>
    <t xml:space="preserve">#10443</t>
  </si>
  <si>
    <t xml:space="preserve">2026-06-30 12:39</t>
  </si>
  <si>
    <t xml:space="preserve">#10433</t>
  </si>
  <si>
    <t xml:space="preserve">2026-06-30 15:32</t>
  </si>
  <si>
    <t xml:space="preserve">customer673@example.com</t>
  </si>
  <si>
    <t xml:space="preserve">30/06/2026 15:32</t>
  </si>
  <si>
    <t xml:space="preserve">#10463</t>
  </si>
  <si>
    <t xml:space="preserve">2026-06-30 17:17</t>
  </si>
  <si>
    <t xml:space="preserve">#10412</t>
  </si>
  <si>
    <t xml:space="preserve">2026-06-30 18:45</t>
  </si>
  <si>
    <t xml:space="preserve">30/06/2026 18:45</t>
  </si>
  <si>
    <t xml:space="preserve">#10437</t>
  </si>
  <si>
    <t xml:space="preserve">2026-06-30 19:56</t>
  </si>
  <si>
    <t xml:space="preserve">#10431</t>
  </si>
  <si>
    <t xml:space="preserve">2026-06-30 20:57</t>
  </si>
  <si>
    <t xml:space="preserve">customer105@example.com</t>
  </si>
  <si>
    <t xml:space="preserve">#10455</t>
  </si>
  <si>
    <t xml:space="preserve">2026-06-30 21:10</t>
  </si>
  <si>
    <t xml:space="preserve">30/06/2026 21:10</t>
  </si>
  <si>
    <t xml:space="preserve">#10461</t>
  </si>
  <si>
    <t xml:space="preserve">2026-06-30 21:11</t>
  </si>
  <si>
    <t xml:space="preserve">customer419@example.com</t>
  </si>
  <si>
    <t xml:space="preserve">#10448</t>
  </si>
  <si>
    <t xml:space="preserve">2026-07-01 07:05</t>
  </si>
  <si>
    <t xml:space="preserve">customer710@example.com</t>
  </si>
  <si>
    <t xml:space="preserve">01/07/2026 07:05</t>
  </si>
  <si>
    <t xml:space="preserve">#10440</t>
  </si>
  <si>
    <t xml:space="preserve">2026-07-01 07:25</t>
  </si>
  <si>
    <t xml:space="preserve">#10422</t>
  </si>
  <si>
    <t xml:space="preserve">2026-07-01 08:28</t>
  </si>
  <si>
    <t xml:space="preserve">customer34@example.com</t>
  </si>
  <si>
    <t xml:space="preserve">01/07/2026 08:28</t>
  </si>
  <si>
    <t xml:space="preserve">#10441</t>
  </si>
  <si>
    <t xml:space="preserve">2026-07-01 08:29</t>
  </si>
  <si>
    <t xml:space="preserve">#10430</t>
  </si>
  <si>
    <t xml:space="preserve">2026-07-01 12:36</t>
  </si>
  <si>
    <t xml:space="preserve">customer314@example.com</t>
  </si>
  <si>
    <t xml:space="preserve">#10446</t>
  </si>
  <si>
    <t xml:space="preserve">01/07/2026 13:42</t>
  </si>
  <si>
    <t xml:space="preserve">customer89@example.com</t>
  </si>
  <si>
    <t xml:space="preserve">2026-07-01 13:42</t>
  </si>
  <si>
    <t xml:space="preserve">#10449</t>
  </si>
  <si>
    <t xml:space="preserve">2026-07-01 13:58</t>
  </si>
  <si>
    <t xml:space="preserve">customer82@example.com</t>
  </si>
  <si>
    <t xml:space="preserve">#10445</t>
  </si>
  <si>
    <t xml:space="preserve">2026-07-01 16:29</t>
  </si>
  <si>
    <t xml:space="preserve">01/07/2026 16:29</t>
  </si>
  <si>
    <t xml:space="preserve">#10411</t>
  </si>
  <si>
    <t xml:space="preserve">2026-07-01 17:02</t>
  </si>
  <si>
    <t xml:space="preserve">customer482@example.com</t>
  </si>
  <si>
    <t xml:space="preserve">01/07/2026 17:02</t>
  </si>
  <si>
    <t xml:space="preserve">#10436</t>
  </si>
  <si>
    <t xml:space="preserve">2026-07-01 17:39</t>
  </si>
  <si>
    <t xml:space="preserve">customer655@example.com</t>
  </si>
  <si>
    <t xml:space="preserve">#10435</t>
  </si>
  <si>
    <t xml:space="preserve">2026-07-01 19:01</t>
  </si>
  <si>
    <t xml:space="preserve">customer45@example.com</t>
  </si>
  <si>
    <t xml:space="preserve">#10444</t>
  </si>
  <si>
    <t xml:space="preserve">02/07/2026 07:04</t>
  </si>
  <si>
    <t xml:space="preserve">customer88@example.com</t>
  </si>
  <si>
    <t xml:space="preserve">2026-07-02 07:04</t>
  </si>
  <si>
    <t xml:space="preserve">#10465</t>
  </si>
  <si>
    <t xml:space="preserve">2026-07-02 07:17</t>
  </si>
  <si>
    <t xml:space="preserve">#10419</t>
  </si>
  <si>
    <t xml:space="preserve">2026-07-02 08:47</t>
  </si>
  <si>
    <t xml:space="preserve">customer135@example.com</t>
  </si>
  <si>
    <t xml:space="preserve">02/07/2026 08:47</t>
  </si>
  <si>
    <t xml:space="preserve">#10415</t>
  </si>
  <si>
    <t xml:space="preserve">2026-07-02 10:49</t>
  </si>
  <si>
    <t xml:space="preserve">customer809@example.com</t>
  </si>
  <si>
    <t xml:space="preserve">#10417</t>
  </si>
  <si>
    <t xml:space="preserve">2026-07-02 13:21</t>
  </si>
  <si>
    <t xml:space="preserve">customer69@example.com</t>
  </si>
  <si>
    <t xml:space="preserve">02/07/2026 13:21</t>
  </si>
  <si>
    <t xml:space="preserve">#10413</t>
  </si>
  <si>
    <t xml:space="preserve">2026-07-02 16:22</t>
  </si>
  <si>
    <t xml:space="preserve">#10423</t>
  </si>
  <si>
    <t xml:space="preserve">02/07/2026 17:21</t>
  </si>
  <si>
    <t xml:space="preserve">customer570@example.com</t>
  </si>
  <si>
    <t xml:space="preserve">2026-07-02 17:21</t>
  </si>
  <si>
    <t xml:space="preserve">#10414</t>
  </si>
  <si>
    <t xml:space="preserve">2026-07-02 20:53</t>
  </si>
  <si>
    <t xml:space="preserve">customer170@example.com</t>
  </si>
  <si>
    <t xml:space="preserve">#10458</t>
  </si>
  <si>
    <t xml:space="preserve">2026-07-03 15:01</t>
  </si>
  <si>
    <t xml:space="preserve">customer657@example.com</t>
  </si>
  <si>
    <t xml:space="preserve">#10425</t>
  </si>
  <si>
    <t xml:space="preserve">2026-07-03 15:46</t>
  </si>
  <si>
    <t xml:space="preserve">customer400@example.com</t>
  </si>
  <si>
    <t xml:space="preserve">03/07/2026 15:46</t>
  </si>
  <si>
    <t xml:space="preserve">#10421</t>
  </si>
  <si>
    <t xml:space="preserve">2026-07-03 18:01</t>
  </si>
  <si>
    <t xml:space="preserve">#10434</t>
  </si>
  <si>
    <t xml:space="preserve">2026-07-03 20:49</t>
  </si>
  <si>
    <t xml:space="preserve">03/07/2026 20:49</t>
  </si>
  <si>
    <t xml:space="preserve">#10462</t>
  </si>
  <si>
    <t xml:space="preserve">2026-07-03 21:21</t>
  </si>
  <si>
    <t xml:space="preserve">#10452</t>
  </si>
  <si>
    <t xml:space="preserve">2026-07-03 22:48</t>
  </si>
  <si>
    <t xml:space="preserve">customer771@example.com</t>
  </si>
  <si>
    <t xml:space="preserve">03/07/2026 22:48</t>
  </si>
  <si>
    <t xml:space="preserve">#10424</t>
  </si>
  <si>
    <t xml:space="preserve">2026-07-04 07:14</t>
  </si>
  <si>
    <t xml:space="preserve">#10450</t>
  </si>
  <si>
    <t xml:space="preserve">2026-07-04 07:42</t>
  </si>
  <si>
    <t xml:space="preserve">customer442@example.com</t>
  </si>
  <si>
    <t xml:space="preserve">#10438</t>
  </si>
  <si>
    <t xml:space="preserve">04/07/2026 08:55</t>
  </si>
  <si>
    <t xml:space="preserve">customer690@example.com</t>
  </si>
  <si>
    <t xml:space="preserve">#10454</t>
  </si>
  <si>
    <t xml:space="preserve">2026-07-04 09:34</t>
  </si>
  <si>
    <t xml:space="preserve">#10447</t>
  </si>
  <si>
    <t xml:space="preserve">2026-07-04 10:05</t>
  </si>
  <si>
    <t xml:space="preserve">customer781@example.com</t>
  </si>
  <si>
    <t xml:space="preserve">04/07/2026 10:05</t>
  </si>
  <si>
    <t xml:space="preserve">#10451</t>
  </si>
  <si>
    <t xml:space="preserve">2026-07-04 11:16</t>
  </si>
  <si>
    <t xml:space="preserve">#10427</t>
  </si>
  <si>
    <t xml:space="preserve">2026-07-04 13:07</t>
  </si>
  <si>
    <t xml:space="preserve">customer199@example.com</t>
  </si>
  <si>
    <t xml:space="preserve">04/07/2026 13:07</t>
  </si>
  <si>
    <t xml:space="preserve">#10418</t>
  </si>
  <si>
    <t xml:space="preserve">2026-07-04 15:50</t>
  </si>
  <si>
    <t xml:space="preserve">customer688@example.com</t>
  </si>
  <si>
    <t xml:space="preserve">#10432</t>
  </si>
  <si>
    <t xml:space="preserve">2026-07-04 22:31</t>
  </si>
  <si>
    <t xml:space="preserve">customer488@example.com</t>
  </si>
  <si>
    <t xml:space="preserve">#10467</t>
  </si>
  <si>
    <t xml:space="preserve">05/07/2026 07:14</t>
  </si>
  <si>
    <t xml:space="preserve">2026-07-05 07:14</t>
  </si>
  <si>
    <t xml:space="preserve">#10453</t>
  </si>
  <si>
    <t xml:space="preserve">2026-07-05 07:21</t>
  </si>
  <si>
    <t xml:space="preserve">2026-07-05 07:25</t>
  </si>
  <si>
    <t xml:space="preserve">05/07/2026 08:28</t>
  </si>
  <si>
    <t xml:space="preserve">2026-07-05 08:29</t>
  </si>
  <si>
    <t xml:space="preserve">#10457</t>
  </si>
  <si>
    <t xml:space="preserve">2026-07-05 12:39</t>
  </si>
  <si>
    <t xml:space="preserve">customer708@example.com</t>
  </si>
  <si>
    <t xml:space="preserve">#10439</t>
  </si>
  <si>
    <t xml:space="preserve">2026-07-05 22:44</t>
  </si>
  <si>
    <t xml:space="preserve">05/07/2026 22:44</t>
  </si>
  <si>
    <t xml:space="preserve">#10501</t>
  </si>
  <si>
    <t xml:space="preserve">2026-07-06 11:00</t>
  </si>
  <si>
    <t xml:space="preserve">customer861@example.com</t>
  </si>
  <si>
    <t xml:space="preserve">#10510</t>
  </si>
  <si>
    <t xml:space="preserve">2026-07-06 17:27</t>
  </si>
  <si>
    <t xml:space="preserve">customer715@example.com</t>
  </si>
  <si>
    <t xml:space="preserve">06/07/2026 17:27</t>
  </si>
  <si>
    <t xml:space="preserve">#10513</t>
  </si>
  <si>
    <t xml:space="preserve">2026-07-06 19:30</t>
  </si>
  <si>
    <t xml:space="preserve">customer296@example.com</t>
  </si>
  <si>
    <t xml:space="preserve">#10506</t>
  </si>
  <si>
    <t xml:space="preserve">2026-07-07 09:06</t>
  </si>
  <si>
    <t xml:space="preserve">customer448@example.com</t>
  </si>
  <si>
    <t xml:space="preserve">07/07/2026 09:06</t>
  </si>
  <si>
    <t xml:space="preserve">#10508</t>
  </si>
  <si>
    <t xml:space="preserve">2026-07-07 10:49</t>
  </si>
  <si>
    <t xml:space="preserve">#10489</t>
  </si>
  <si>
    <t xml:space="preserve">2026-07-07 14:27</t>
  </si>
  <si>
    <t xml:space="preserve">customer411@example.com</t>
  </si>
  <si>
    <t xml:space="preserve">#10498</t>
  </si>
  <si>
    <t xml:space="preserve">2026-07-07 15:08</t>
  </si>
  <si>
    <t xml:space="preserve">customer504@example.com</t>
  </si>
  <si>
    <t xml:space="preserve">07/07/2026 15:08</t>
  </si>
  <si>
    <t xml:space="preserve">#10480</t>
  </si>
  <si>
    <t xml:space="preserve">2026-07-07 17:26</t>
  </si>
  <si>
    <t xml:space="preserve">#10502</t>
  </si>
  <si>
    <t xml:space="preserve">2026-07-07 17:46</t>
  </si>
  <si>
    <t xml:space="preserve">customer25@example.com</t>
  </si>
  <si>
    <t xml:space="preserve">07/07/2026 17:46</t>
  </si>
  <si>
    <t xml:space="preserve">#10488</t>
  </si>
  <si>
    <t xml:space="preserve">2026-07-07 17:51</t>
  </si>
  <si>
    <t xml:space="preserve">customer695@example.com</t>
  </si>
  <si>
    <t xml:space="preserve">07/07/2026 17:51</t>
  </si>
  <si>
    <t xml:space="preserve">#10474</t>
  </si>
  <si>
    <t xml:space="preserve">2026-07-07 18:04</t>
  </si>
  <si>
    <t xml:space="preserve">customer494@example.com</t>
  </si>
  <si>
    <t xml:space="preserve">#10492</t>
  </si>
  <si>
    <t xml:space="preserve">2026-07-07 20:20</t>
  </si>
  <si>
    <t xml:space="preserve">customer693@example.com</t>
  </si>
  <si>
    <t xml:space="preserve">07/07/2026 20:20</t>
  </si>
  <si>
    <t xml:space="preserve">#10473</t>
  </si>
  <si>
    <t xml:space="preserve">2026-07-07 21:50</t>
  </si>
  <si>
    <t xml:space="preserve">#10507</t>
  </si>
  <si>
    <t xml:space="preserve">2026-07-07 22:45</t>
  </si>
  <si>
    <t xml:space="preserve">customer548@example.com</t>
  </si>
  <si>
    <t xml:space="preserve">07/07/2026 22:45</t>
  </si>
  <si>
    <t xml:space="preserve">#10472</t>
  </si>
  <si>
    <t xml:space="preserve">2026-07-08 08:15</t>
  </si>
  <si>
    <t xml:space="preserve">#10479</t>
  </si>
  <si>
    <t xml:space="preserve">2026-07-08 13:39</t>
  </si>
  <si>
    <t xml:space="preserve">08/07/2026 13:39</t>
  </si>
  <si>
    <t xml:space="preserve">#10493</t>
  </si>
  <si>
    <t xml:space="preserve">2026-07-08 13:40</t>
  </si>
  <si>
    <t xml:space="preserve">#10494</t>
  </si>
  <si>
    <t xml:space="preserve">2026-07-08 15:10</t>
  </si>
  <si>
    <t xml:space="preserve">08/07/2026 15:10</t>
  </si>
  <si>
    <t xml:space="preserve">#10484</t>
  </si>
  <si>
    <t xml:space="preserve">2026-07-08 15:45</t>
  </si>
  <si>
    <t xml:space="preserve">#10476</t>
  </si>
  <si>
    <t xml:space="preserve">08/07/2026 17:47</t>
  </si>
  <si>
    <t xml:space="preserve">customer667@example.com</t>
  </si>
  <si>
    <t xml:space="preserve">2026-07-08 17:47</t>
  </si>
  <si>
    <t xml:space="preserve">#10482</t>
  </si>
  <si>
    <t xml:space="preserve">2026-07-08 20:09</t>
  </si>
  <si>
    <t xml:space="preserve">#10468</t>
  </si>
  <si>
    <t xml:space="preserve">09/07/2026 07:03</t>
  </si>
  <si>
    <t xml:space="preserve">customer379@example.com</t>
  </si>
  <si>
    <t xml:space="preserve">2026-07-09 07:03</t>
  </si>
  <si>
    <t xml:space="preserve">#10499</t>
  </si>
  <si>
    <t xml:space="preserve">2026-07-09 11:53</t>
  </si>
  <si>
    <t xml:space="preserve">customer735@example.com</t>
  </si>
  <si>
    <t xml:space="preserve">#10487</t>
  </si>
  <si>
    <t xml:space="preserve">09/07/2026 14:26</t>
  </si>
  <si>
    <t xml:space="preserve">customer842@example.com</t>
  </si>
  <si>
    <t xml:space="preserve">2026-07-09 14:26</t>
  </si>
  <si>
    <t xml:space="preserve">#10485</t>
  </si>
  <si>
    <t xml:space="preserve">2026-07-09 19:54</t>
  </si>
  <si>
    <t xml:space="preserve">#10495</t>
  </si>
  <si>
    <t xml:space="preserve">09/07/2026 20:46</t>
  </si>
  <si>
    <t xml:space="preserve">2026-07-09 20:46</t>
  </si>
  <si>
    <t xml:space="preserve">#10475</t>
  </si>
  <si>
    <t xml:space="preserve">2026-07-10 08:34</t>
  </si>
  <si>
    <t xml:space="preserve">customer681@example.com</t>
  </si>
  <si>
    <t xml:space="preserve">10/07/2026 08:34</t>
  </si>
  <si>
    <t xml:space="preserve">#10503</t>
  </si>
  <si>
    <t xml:space="preserve">2026-07-10 12:13</t>
  </si>
  <si>
    <t xml:space="preserve">#10505</t>
  </si>
  <si>
    <t xml:space="preserve">2026-07-10 14:29</t>
  </si>
  <si>
    <t xml:space="preserve">customer804@example.com</t>
  </si>
  <si>
    <t xml:space="preserve">10/07/2026 14:29</t>
  </si>
  <si>
    <t xml:space="preserve">#10481</t>
  </si>
  <si>
    <t xml:space="preserve">2026-07-10 15:38</t>
  </si>
  <si>
    <t xml:space="preserve">customer729@example.com</t>
  </si>
  <si>
    <t xml:space="preserve">2026-07-10 19:30</t>
  </si>
  <si>
    <t xml:space="preserve">#10509</t>
  </si>
  <si>
    <t xml:space="preserve">2026-07-11 09:29</t>
  </si>
  <si>
    <t xml:space="preserve">#10471</t>
  </si>
  <si>
    <t xml:space="preserve">11/07/2026 09:32</t>
  </si>
  <si>
    <t xml:space="preserve">2026-07-11 09:32</t>
  </si>
  <si>
    <t xml:space="preserve">#10483</t>
  </si>
  <si>
    <t xml:space="preserve">2026-07-11 09:37</t>
  </si>
  <si>
    <t xml:space="preserve">#10469</t>
  </si>
  <si>
    <t xml:space="preserve">11/07/2026 10:29</t>
  </si>
  <si>
    <t xml:space="preserve">customer415@example.com</t>
  </si>
  <si>
    <t xml:space="preserve">2026-07-11 10:29</t>
  </si>
  <si>
    <t xml:space="preserve">#10500</t>
  </si>
  <si>
    <t xml:space="preserve">2026-07-11 11:12</t>
  </si>
  <si>
    <t xml:space="preserve">customer811@example.com</t>
  </si>
  <si>
    <t xml:space="preserve">#10478</t>
  </si>
  <si>
    <t xml:space="preserve">2026-07-11 12:00</t>
  </si>
  <si>
    <t xml:space="preserve">customer489@example.com</t>
  </si>
  <si>
    <t xml:space="preserve">#10486</t>
  </si>
  <si>
    <t xml:space="preserve">11/07/2026 13:27</t>
  </si>
  <si>
    <t xml:space="preserve">#10496</t>
  </si>
  <si>
    <t xml:space="preserve">2026-07-11 14:01</t>
  </si>
  <si>
    <t xml:space="preserve">#10504</t>
  </si>
  <si>
    <t xml:space="preserve">2026-07-11 16:25</t>
  </si>
  <si>
    <t xml:space="preserve">customer57@example.com</t>
  </si>
  <si>
    <t xml:space="preserve">11/07/2026 16:25</t>
  </si>
  <si>
    <t xml:space="preserve">#10512</t>
  </si>
  <si>
    <t xml:space="preserve">2026-07-11 18:07</t>
  </si>
  <si>
    <t xml:space="preserve">customer120@example.com</t>
  </si>
  <si>
    <t xml:space="preserve">#10490</t>
  </si>
  <si>
    <t xml:space="preserve">11/07/2026 18:24</t>
  </si>
  <si>
    <t xml:space="preserve">customer131@example.com</t>
  </si>
  <si>
    <t xml:space="preserve">2026-07-11 18:24</t>
  </si>
  <si>
    <t xml:space="preserve">#10477</t>
  </si>
  <si>
    <t xml:space="preserve">2026-07-12 08:18</t>
  </si>
  <si>
    <t xml:space="preserve">#10511</t>
  </si>
  <si>
    <t xml:space="preserve">12/07/2026 10:44</t>
  </si>
  <si>
    <t xml:space="preserve">2026-07-12 10:44</t>
  </si>
  <si>
    <t xml:space="preserve">#10491</t>
  </si>
  <si>
    <t xml:space="preserve">2026-07-12 11:56</t>
  </si>
  <si>
    <t xml:space="preserve">12/07/2026 11:56</t>
  </si>
  <si>
    <t xml:space="preserve">#10470</t>
  </si>
  <si>
    <t xml:space="preserve">2026-07-12 20:28</t>
  </si>
  <si>
    <t xml:space="preserve">customer273@example.com</t>
  </si>
  <si>
    <t xml:space="preserve">#10497</t>
  </si>
  <si>
    <t xml:space="preserve">2026-07-12 20:47</t>
  </si>
  <si>
    <t xml:space="preserve">customer86@example.com</t>
  </si>
  <si>
    <t xml:space="preserve">12/07/2026 20:47</t>
  </si>
  <si>
    <t xml:space="preserve">#10554</t>
  </si>
  <si>
    <t xml:space="preserve">2026-07-13 07:28</t>
  </si>
  <si>
    <t xml:space="preserve">customer346@example.com</t>
  </si>
  <si>
    <t xml:space="preserve">#10565</t>
  </si>
  <si>
    <t xml:space="preserve">2026-07-13 08:13</t>
  </si>
  <si>
    <t xml:space="preserve">customer736@example.com</t>
  </si>
  <si>
    <t xml:space="preserve">13/07/2026 08:13</t>
  </si>
  <si>
    <t xml:space="preserve">#10559</t>
  </si>
  <si>
    <t xml:space="preserve">2026-07-13 09:31</t>
  </si>
  <si>
    <t xml:space="preserve">#10551</t>
  </si>
  <si>
    <t xml:space="preserve">2026-07-13 10:11</t>
  </si>
  <si>
    <t xml:space="preserve">#10566</t>
  </si>
  <si>
    <t xml:space="preserve">13/07/2026 10:41</t>
  </si>
  <si>
    <t xml:space="preserve">customer169@example.com</t>
  </si>
  <si>
    <t xml:space="preserve">#10534</t>
  </si>
  <si>
    <t xml:space="preserve">2026-07-13 10:47</t>
  </si>
  <si>
    <t xml:space="preserve">customer222@example.com</t>
  </si>
  <si>
    <t xml:space="preserve">#10553</t>
  </si>
  <si>
    <t xml:space="preserve">2026-07-13 11:50</t>
  </si>
  <si>
    <t xml:space="preserve">customer61@example.com</t>
  </si>
  <si>
    <t xml:space="preserve">#10557</t>
  </si>
  <si>
    <t xml:space="preserve">2026-07-13 12:20</t>
  </si>
  <si>
    <t xml:space="preserve">customer217@example.com</t>
  </si>
  <si>
    <t xml:space="preserve">13/07/2026 12:20</t>
  </si>
  <si>
    <t xml:space="preserve">#10530</t>
  </si>
  <si>
    <t xml:space="preserve">2026-07-13 18:03</t>
  </si>
  <si>
    <t xml:space="preserve">customer515@example.com</t>
  </si>
  <si>
    <t xml:space="preserve">#10556</t>
  </si>
  <si>
    <t xml:space="preserve">2026-07-13 18:26</t>
  </si>
  <si>
    <t xml:space="preserve">13/07/2026 18:26</t>
  </si>
  <si>
    <t xml:space="preserve">#10548</t>
  </si>
  <si>
    <t xml:space="preserve">2026-07-14 10:46</t>
  </si>
  <si>
    <t xml:space="preserve">customer565@example.com</t>
  </si>
  <si>
    <t xml:space="preserve">#10564</t>
  </si>
  <si>
    <t xml:space="preserve">2026-07-14 11:22</t>
  </si>
  <si>
    <t xml:space="preserve">customer266@example.com</t>
  </si>
  <si>
    <t xml:space="preserve">14/07/2026 11:22</t>
  </si>
  <si>
    <t xml:space="preserve">#10539</t>
  </si>
  <si>
    <t xml:space="preserve">2026-07-14 11:32</t>
  </si>
  <si>
    <t xml:space="preserve">#10527</t>
  </si>
  <si>
    <t xml:space="preserve">2026-07-14 12:33</t>
  </si>
  <si>
    <t xml:space="preserve">customer366@example.com</t>
  </si>
  <si>
    <t xml:space="preserve">#10562</t>
  </si>
  <si>
    <t xml:space="preserve">14/07/2026 13:58</t>
  </si>
  <si>
    <t xml:space="preserve">customer437@example.com</t>
  </si>
  <si>
    <t xml:space="preserve">2026-07-14 13:58</t>
  </si>
  <si>
    <t xml:space="preserve">#10567</t>
  </si>
  <si>
    <t xml:space="preserve">2026-07-14 14:16</t>
  </si>
  <si>
    <t xml:space="preserve">#10533</t>
  </si>
  <si>
    <t xml:space="preserve">14/07/2026 14:34</t>
  </si>
  <si>
    <t xml:space="preserve">customer180@example.com</t>
  </si>
  <si>
    <t xml:space="preserve">2026-07-14 14:34</t>
  </si>
  <si>
    <t xml:space="preserve">#10518</t>
  </si>
  <si>
    <t xml:space="preserve">2026-07-14 14:52</t>
  </si>
  <si>
    <t xml:space="preserve">#10519</t>
  </si>
  <si>
    <t xml:space="preserve">14/07/2026 16:08</t>
  </si>
  <si>
    <t xml:space="preserve">customer687@example.com</t>
  </si>
  <si>
    <t xml:space="preserve">2026-07-14 16:08</t>
  </si>
  <si>
    <t xml:space="preserve">#10524</t>
  </si>
  <si>
    <t xml:space="preserve">2026-07-14 16:47</t>
  </si>
  <si>
    <t xml:space="preserve">customer615@example.com</t>
  </si>
  <si>
    <t xml:space="preserve">#10552</t>
  </si>
  <si>
    <t xml:space="preserve">2026-07-14 19:26</t>
  </si>
  <si>
    <t xml:space="preserve">customer26@example.com</t>
  </si>
  <si>
    <t xml:space="preserve">#10549</t>
  </si>
  <si>
    <t xml:space="preserve">15/07/2026 13:02</t>
  </si>
  <si>
    <t xml:space="preserve">customer396@example.com</t>
  </si>
  <si>
    <t xml:space="preserve">2026-07-15 13:02</t>
  </si>
  <si>
    <t xml:space="preserve">#10563</t>
  </si>
  <si>
    <t xml:space="preserve">2026-07-15 17:25</t>
  </si>
  <si>
    <t xml:space="preserve">customer122@example.com</t>
  </si>
  <si>
    <t xml:space="preserve">#10515</t>
  </si>
  <si>
    <t xml:space="preserve">2026-07-15 17:43</t>
  </si>
  <si>
    <t xml:space="preserve">#10528</t>
  </si>
  <si>
    <t xml:space="preserve">15/07/2026 20:10</t>
  </si>
  <si>
    <t xml:space="preserve">customer427@example.com</t>
  </si>
  <si>
    <t xml:space="preserve">2026-07-15 20:10</t>
  </si>
  <si>
    <t xml:space="preserve">#10537</t>
  </si>
  <si>
    <t xml:space="preserve">2026-07-15 20:19</t>
  </si>
  <si>
    <t xml:space="preserve">customer457@example.com</t>
  </si>
  <si>
    <t xml:space="preserve">15/07/2026 20:19</t>
  </si>
  <si>
    <t xml:space="preserve">#10568</t>
  </si>
  <si>
    <t xml:space="preserve">2026-07-15 21:13</t>
  </si>
  <si>
    <t xml:space="preserve">#10541</t>
  </si>
  <si>
    <t xml:space="preserve">2026-07-15 22:22</t>
  </si>
  <si>
    <t xml:space="preserve">#10570</t>
  </si>
  <si>
    <t xml:space="preserve">15/07/2026 22:30</t>
  </si>
  <si>
    <t xml:space="preserve">customer102@example.com</t>
  </si>
  <si>
    <t xml:space="preserve">2026-07-15 22:30</t>
  </si>
  <si>
    <t xml:space="preserve">#10560</t>
  </si>
  <si>
    <t xml:space="preserve">2026-07-16 07:05</t>
  </si>
  <si>
    <t xml:space="preserve">customer386@example.com</t>
  </si>
  <si>
    <t xml:space="preserve">16/07/2026 07:05</t>
  </si>
  <si>
    <t xml:space="preserve">#10529</t>
  </si>
  <si>
    <t xml:space="preserve">2026-07-16 07:42</t>
  </si>
  <si>
    <t xml:space="preserve">customer852@example.com</t>
  </si>
  <si>
    <t xml:space="preserve">16/07/2026 07:42</t>
  </si>
  <si>
    <t xml:space="preserve">#10542</t>
  </si>
  <si>
    <t xml:space="preserve">2026-07-16 07:43</t>
  </si>
  <si>
    <t xml:space="preserve">customer873@example.com</t>
  </si>
  <si>
    <t xml:space="preserve">#10522</t>
  </si>
  <si>
    <t xml:space="preserve">2026-07-16 07:57</t>
  </si>
  <si>
    <t xml:space="preserve">customer630@example.com</t>
  </si>
  <si>
    <t xml:space="preserve">16/07/2026 07:57</t>
  </si>
  <si>
    <t xml:space="preserve">#10543</t>
  </si>
  <si>
    <t xml:space="preserve">2026-07-16 12:35</t>
  </si>
  <si>
    <t xml:space="preserve">#10523</t>
  </si>
  <si>
    <t xml:space="preserve">2026-07-16 16:51</t>
  </si>
  <si>
    <t xml:space="preserve">customer648@example.com</t>
  </si>
  <si>
    <t xml:space="preserve">#10545</t>
  </si>
  <si>
    <t xml:space="preserve">2026-07-16 22:07</t>
  </si>
  <si>
    <t xml:space="preserve">16/07/2026 22:07</t>
  </si>
  <si>
    <t xml:space="preserve">#10525</t>
  </si>
  <si>
    <t xml:space="preserve">2026-07-16 22:28</t>
  </si>
  <si>
    <t xml:space="preserve">#10521</t>
  </si>
  <si>
    <t xml:space="preserve">2026-07-16 22:50</t>
  </si>
  <si>
    <t xml:space="preserve">16/07/2026 22:50</t>
  </si>
  <si>
    <t xml:space="preserve">#10538</t>
  </si>
  <si>
    <t xml:space="preserve">2026-07-16 22:53</t>
  </si>
  <si>
    <t xml:space="preserve">customer498@example.com</t>
  </si>
  <si>
    <t xml:space="preserve">#10526</t>
  </si>
  <si>
    <t xml:space="preserve">2026-07-17 10:41</t>
  </si>
  <si>
    <t xml:space="preserve">customer583@example.com</t>
  </si>
  <si>
    <t xml:space="preserve">#10520</t>
  </si>
  <si>
    <t xml:space="preserve">17/07/2026 11:54</t>
  </si>
  <si>
    <t xml:space="preserve">2026-07-17 11:54</t>
  </si>
  <si>
    <t xml:space="preserve">#10532</t>
  </si>
  <si>
    <t xml:space="preserve">2026-07-17 14:26</t>
  </si>
  <si>
    <t xml:space="preserve">customer56@example.com</t>
  </si>
  <si>
    <t xml:space="preserve">#10516</t>
  </si>
  <si>
    <t xml:space="preserve">2026-07-17 15:38</t>
  </si>
  <si>
    <t xml:space="preserve">17/07/2026 15:38</t>
  </si>
  <si>
    <t xml:space="preserve">#10517</t>
  </si>
  <si>
    <t xml:space="preserve">2026-07-17 16:23</t>
  </si>
  <si>
    <t xml:space="preserve">#10558</t>
  </si>
  <si>
    <t xml:space="preserve">2026-07-17 17:20</t>
  </si>
  <si>
    <t xml:space="preserve">#10561</t>
  </si>
  <si>
    <t xml:space="preserve">17/07/2026 18:06</t>
  </si>
  <si>
    <t xml:space="preserve">customer307@example.com</t>
  </si>
  <si>
    <t xml:space="preserve">2026-07-17 18:06</t>
  </si>
  <si>
    <t xml:space="preserve">#10547</t>
  </si>
  <si>
    <t xml:space="preserve">2026-07-17 19:01</t>
  </si>
  <si>
    <t xml:space="preserve">customer755@example.com</t>
  </si>
  <si>
    <t xml:space="preserve">#10535</t>
  </si>
  <si>
    <t xml:space="preserve">18/07/2026 08:31</t>
  </si>
  <si>
    <t xml:space="preserve">customer890@example.com</t>
  </si>
  <si>
    <t xml:space="preserve">2026-07-18 08:31</t>
  </si>
  <si>
    <t xml:space="preserve">#10555</t>
  </si>
  <si>
    <t xml:space="preserve">2026-07-18 11:31</t>
  </si>
  <si>
    <t xml:space="preserve">#10531</t>
  </si>
  <si>
    <t xml:space="preserve">18/07/2026 11:35</t>
  </si>
  <si>
    <t xml:space="preserve">customer449@example.com</t>
  </si>
  <si>
    <t xml:space="preserve">2026-07-18 11:35</t>
  </si>
  <si>
    <t xml:space="preserve">#10536</t>
  </si>
  <si>
    <t xml:space="preserve">2026-07-18 12:40</t>
  </si>
  <si>
    <t xml:space="preserve">customer785@example.com</t>
  </si>
  <si>
    <t xml:space="preserve">#10550</t>
  </si>
  <si>
    <t xml:space="preserve">18/07/2026 16:02</t>
  </si>
  <si>
    <t xml:space="preserve">2026-07-18 16:02</t>
  </si>
  <si>
    <t xml:space="preserve">#10540</t>
  </si>
  <si>
    <t xml:space="preserve">2026-07-18 18:46</t>
  </si>
  <si>
    <t xml:space="preserve">18/07/2026 18:46</t>
  </si>
  <si>
    <t xml:space="preserve">#10514</t>
  </si>
  <si>
    <t xml:space="preserve">2026-07-18 22:06</t>
  </si>
  <si>
    <t xml:space="preserve">customer29@example.com</t>
  </si>
  <si>
    <t xml:space="preserve">18/07/2026 22:06</t>
  </si>
  <si>
    <t xml:space="preserve">#10544</t>
  </si>
  <si>
    <t xml:space="preserve">2026-07-19 07:39</t>
  </si>
  <si>
    <t xml:space="preserve">customer282@example.com</t>
  </si>
  <si>
    <t xml:space="preserve">19/07/2026 07:39</t>
  </si>
  <si>
    <t xml:space="preserve">#10546</t>
  </si>
  <si>
    <t xml:space="preserve">2026-07-19 09:23</t>
  </si>
  <si>
    <t xml:space="preserve">2026-07-19 20:19</t>
  </si>
  <si>
    <t xml:space="preserve">#10569</t>
  </si>
  <si>
    <t xml:space="preserve">2026-07-19 21:30</t>
  </si>
  <si>
    <t xml:space="preserve">customer165@example.com</t>
  </si>
  <si>
    <t xml:space="preserve">19/07/2026 21:30</t>
  </si>
  <si>
    <t xml:space="preserve">#10604</t>
  </si>
  <si>
    <t xml:space="preserve">2026-07-20 10:23</t>
  </si>
  <si>
    <t xml:space="preserve">#10603</t>
  </si>
  <si>
    <t xml:space="preserve">2026-07-20 16:51</t>
  </si>
  <si>
    <t xml:space="preserve">#10585</t>
  </si>
  <si>
    <t xml:space="preserve">2026-07-20 17:41</t>
  </si>
  <si>
    <t xml:space="preserve">customer76@example.com</t>
  </si>
  <si>
    <t xml:space="preserve">#10595</t>
  </si>
  <si>
    <t xml:space="preserve">20/07/2026 20:55</t>
  </si>
  <si>
    <t xml:space="preserve">2026-07-20 20:55</t>
  </si>
  <si>
    <t xml:space="preserve">#10597</t>
  </si>
  <si>
    <t xml:space="preserve">2026-07-20 21:41</t>
  </si>
  <si>
    <t xml:space="preserve">customer532@example.com</t>
  </si>
  <si>
    <t xml:space="preserve">20/07/2026 21:41</t>
  </si>
  <si>
    <t xml:space="preserve">2026-07-20 22:28</t>
  </si>
  <si>
    <t xml:space="preserve">#10612</t>
  </si>
  <si>
    <t xml:space="preserve">2026-07-20 22:29</t>
  </si>
  <si>
    <t xml:space="preserve">customer474@example.com</t>
  </si>
  <si>
    <t xml:space="preserve">20/07/2026 22:29</t>
  </si>
  <si>
    <t xml:space="preserve">#10596</t>
  </si>
  <si>
    <t xml:space="preserve">2026-07-21 07:09</t>
  </si>
  <si>
    <t xml:space="preserve">#10571</t>
  </si>
  <si>
    <t xml:space="preserve">2026-07-21 10:23</t>
  </si>
  <si>
    <t xml:space="preserve">21/07/2026 10:23</t>
  </si>
  <si>
    <t xml:space="preserve">#10591</t>
  </si>
  <si>
    <t xml:space="preserve">2026-07-21 10:24</t>
  </si>
  <si>
    <t xml:space="preserve">#10573</t>
  </si>
  <si>
    <t xml:space="preserve">2026-07-21 13:34</t>
  </si>
  <si>
    <t xml:space="preserve">customer193@example.com</t>
  </si>
  <si>
    <t xml:space="preserve">21/07/2026 13:34</t>
  </si>
  <si>
    <t xml:space="preserve">#10584</t>
  </si>
  <si>
    <t xml:space="preserve">2026-07-21 14:59</t>
  </si>
  <si>
    <t xml:space="preserve">#10601</t>
  </si>
  <si>
    <t xml:space="preserve">2026-07-21 16:29</t>
  </si>
  <si>
    <t xml:space="preserve">customer751@example.com</t>
  </si>
  <si>
    <t xml:space="preserve">#10615</t>
  </si>
  <si>
    <t xml:space="preserve">2026-07-21 22:07</t>
  </si>
  <si>
    <t xml:space="preserve">customer215@example.com</t>
  </si>
  <si>
    <t xml:space="preserve">21/07/2026 22:07</t>
  </si>
  <si>
    <t xml:space="preserve">#10593</t>
  </si>
  <si>
    <t xml:space="preserve">2026-07-22 08:50</t>
  </si>
  <si>
    <t xml:space="preserve">#10589</t>
  </si>
  <si>
    <t xml:space="preserve">2026-07-22 10:12</t>
  </si>
  <si>
    <t xml:space="preserve">customer295@example.com</t>
  </si>
  <si>
    <t xml:space="preserve">22/07/2026 10:12</t>
  </si>
  <si>
    <t xml:space="preserve">#10617</t>
  </si>
  <si>
    <t xml:space="preserve">2026-07-22 10:21</t>
  </si>
  <si>
    <t xml:space="preserve">#10581</t>
  </si>
  <si>
    <t xml:space="preserve">2026-07-22 12:19</t>
  </si>
  <si>
    <t xml:space="preserve">customer574@example.com</t>
  </si>
  <si>
    <t xml:space="preserve">#10614</t>
  </si>
  <si>
    <t xml:space="preserve">22/07/2026 12:23</t>
  </si>
  <si>
    <t xml:space="preserve">customer467@example.com</t>
  </si>
  <si>
    <t xml:space="preserve">2026-07-22 12:23</t>
  </si>
  <si>
    <t xml:space="preserve">#10600</t>
  </si>
  <si>
    <t xml:space="preserve">2026-07-22 16:25</t>
  </si>
  <si>
    <t xml:space="preserve">22/07/2026 16:25</t>
  </si>
  <si>
    <t xml:space="preserve">#10613</t>
  </si>
  <si>
    <t xml:space="preserve">2026-07-22 19:10</t>
  </si>
  <si>
    <t xml:space="preserve">customer766@example.com</t>
  </si>
  <si>
    <t xml:space="preserve">22/07/2026 19:10</t>
  </si>
  <si>
    <t xml:space="preserve">#10583</t>
  </si>
  <si>
    <t xml:space="preserve">2026-07-23 09:53</t>
  </si>
  <si>
    <t xml:space="preserve">#10607</t>
  </si>
  <si>
    <t xml:space="preserve">23/07/2026 10:57</t>
  </si>
  <si>
    <t xml:space="preserve">customer610@example.com</t>
  </si>
  <si>
    <t xml:space="preserve">2026-07-23 10:57</t>
  </si>
  <si>
    <t xml:space="preserve">#10577</t>
  </si>
  <si>
    <t xml:space="preserve">2026-07-23 12:57</t>
  </si>
  <si>
    <t xml:space="preserve">customer125@example.com</t>
  </si>
  <si>
    <t xml:space="preserve">#10574</t>
  </si>
  <si>
    <t xml:space="preserve">23/07/2026 13:35</t>
  </si>
  <si>
    <t xml:space="preserve">customer679@example.com</t>
  </si>
  <si>
    <t xml:space="preserve">#10609</t>
  </si>
  <si>
    <t xml:space="preserve">2026-07-23 13:45</t>
  </si>
  <si>
    <t xml:space="preserve">customer791@example.com</t>
  </si>
  <si>
    <t xml:space="preserve">#10606</t>
  </si>
  <si>
    <t xml:space="preserve">2026-07-23 14:21</t>
  </si>
  <si>
    <t xml:space="preserve">customer438@example.com</t>
  </si>
  <si>
    <t xml:space="preserve">#10582</t>
  </si>
  <si>
    <t xml:space="preserve">23/07/2026 14:27</t>
  </si>
  <si>
    <t xml:space="preserve">customer6@example.com</t>
  </si>
  <si>
    <t xml:space="preserve">#10599</t>
  </si>
  <si>
    <t xml:space="preserve">2026-07-23 21:49</t>
  </si>
  <si>
    <t xml:space="preserve">#10587</t>
  </si>
  <si>
    <t xml:space="preserve">2026-07-23 22:07</t>
  </si>
  <si>
    <t xml:space="preserve">23/07/2026 22:07</t>
  </si>
  <si>
    <t xml:space="preserve">#10572</t>
  </si>
  <si>
    <t xml:space="preserve">2026-07-24 07:20</t>
  </si>
  <si>
    <t xml:space="preserve">#10610</t>
  </si>
  <si>
    <t xml:space="preserve">2026-07-24 09:32</t>
  </si>
  <si>
    <t xml:space="preserve">customer452@example.com</t>
  </si>
  <si>
    <t xml:space="preserve">24/07/2026 09:32</t>
  </si>
  <si>
    <t xml:space="preserve">#10586</t>
  </si>
  <si>
    <t xml:space="preserve">2026-07-24 11:11</t>
  </si>
  <si>
    <t xml:space="preserve">#10588</t>
  </si>
  <si>
    <t xml:space="preserve">24/07/2026 12:14</t>
  </si>
  <si>
    <t xml:space="preserve">customer678@example.com</t>
  </si>
  <si>
    <t xml:space="preserve">2026-07-24 12:14</t>
  </si>
  <si>
    <t xml:space="preserve">#10598</t>
  </si>
  <si>
    <t xml:space="preserve">2026-07-24 14:39</t>
  </si>
  <si>
    <t xml:space="preserve">customer516@example.com</t>
  </si>
  <si>
    <t xml:space="preserve">24/07/2026 14:39</t>
  </si>
  <si>
    <t xml:space="preserve">#10611</t>
  </si>
  <si>
    <t xml:space="preserve">2026-07-24 14:41</t>
  </si>
  <si>
    <t xml:space="preserve">#10602</t>
  </si>
  <si>
    <t xml:space="preserve">2026-07-24 15:40</t>
  </si>
  <si>
    <t xml:space="preserve">24/07/2026 15:40</t>
  </si>
  <si>
    <t xml:space="preserve">#10594</t>
  </si>
  <si>
    <t xml:space="preserve">2026-07-24 18:26</t>
  </si>
  <si>
    <t xml:space="preserve">#10590</t>
  </si>
  <si>
    <t xml:space="preserve">2026-07-24 19:26</t>
  </si>
  <si>
    <t xml:space="preserve">#10579</t>
  </si>
  <si>
    <t xml:space="preserve">24/07/2026 20:23</t>
  </si>
  <si>
    <t xml:space="preserve">2026-07-24 20:23</t>
  </si>
  <si>
    <t xml:space="preserve">2026-07-24 20:55</t>
  </si>
  <si>
    <t xml:space="preserve">#10592</t>
  </si>
  <si>
    <t xml:space="preserve">2026-07-24 21:18</t>
  </si>
  <si>
    <t xml:space="preserve">customer485@example.com</t>
  </si>
  <si>
    <t xml:space="preserve">24/07/2026 21:18</t>
  </si>
  <si>
    <t xml:space="preserve">#10575</t>
  </si>
  <si>
    <t xml:space="preserve">2026-07-25 16:59</t>
  </si>
  <si>
    <t xml:space="preserve">customer731@example.com</t>
  </si>
  <si>
    <t xml:space="preserve">#10578</t>
  </si>
  <si>
    <t xml:space="preserve">2026-07-25 17:43</t>
  </si>
  <si>
    <t xml:space="preserve">25/07/2026 17:43</t>
  </si>
  <si>
    <t xml:space="preserve">#10576</t>
  </si>
  <si>
    <t xml:space="preserve">2026-07-25 17:57</t>
  </si>
  <si>
    <t xml:space="preserve">25/07/2026 17:57</t>
  </si>
  <si>
    <t xml:space="preserve">#10580</t>
  </si>
  <si>
    <t xml:space="preserve">2026-07-25 18:35</t>
  </si>
  <si>
    <t xml:space="preserve">25/07/2026 18:35</t>
  </si>
  <si>
    <t xml:space="preserve">#10605</t>
  </si>
  <si>
    <t xml:space="preserve">2026-07-25 21:18</t>
  </si>
  <si>
    <t xml:space="preserve">2026-07-26 10:12</t>
  </si>
  <si>
    <t xml:space="preserve">#10608</t>
  </si>
  <si>
    <t xml:space="preserve">26/07/2026 10:48</t>
  </si>
  <si>
    <t xml:space="preserve">customer36@example.com</t>
  </si>
  <si>
    <t xml:space="preserve">2026-07-26 10:48</t>
  </si>
  <si>
    <t xml:space="preserve">#10616</t>
  </si>
  <si>
    <t xml:space="preserve">2026-07-26 15:18</t>
  </si>
  <si>
    <t xml:space="preserve">customer734@example.com</t>
  </si>
  <si>
    <t xml:space="preserve">26/07/2026 15:18</t>
  </si>
  <si>
    <t xml:space="preserve">#10656</t>
  </si>
  <si>
    <t xml:space="preserve">2026-07-27 09:08</t>
  </si>
  <si>
    <t xml:space="preserve">#10628</t>
  </si>
  <si>
    <t xml:space="preserve">2026-07-27 11:24</t>
  </si>
  <si>
    <t xml:space="preserve">customer805@example.com</t>
  </si>
  <si>
    <t xml:space="preserve">27/07/2026 11:24</t>
  </si>
  <si>
    <t xml:space="preserve">#10618</t>
  </si>
  <si>
    <t xml:space="preserve">2026-07-27 13:42</t>
  </si>
  <si>
    <t xml:space="preserve">#10629</t>
  </si>
  <si>
    <t xml:space="preserve">27/07/2026 14:08</t>
  </si>
  <si>
    <t xml:space="preserve">2026-07-27 14:08</t>
  </si>
  <si>
    <t xml:space="preserve">#10648</t>
  </si>
  <si>
    <t xml:space="preserve">2026-07-27 14:21</t>
  </si>
  <si>
    <t xml:space="preserve">27/07/2026 14:21</t>
  </si>
  <si>
    <t xml:space="preserve">#10636</t>
  </si>
  <si>
    <t xml:space="preserve">2026-07-27 20:24</t>
  </si>
  <si>
    <t xml:space="preserve">#10657</t>
  </si>
  <si>
    <t xml:space="preserve">2026-07-28 10:34</t>
  </si>
  <si>
    <t xml:space="preserve">customer60@example.com</t>
  </si>
  <si>
    <t xml:space="preserve">#10639</t>
  </si>
  <si>
    <t xml:space="preserve">28/07/2026 12:44</t>
  </si>
  <si>
    <t xml:space="preserve">2026-07-28 12:44</t>
  </si>
  <si>
    <t xml:space="preserve">#10637</t>
  </si>
  <si>
    <t xml:space="preserve">2026-07-28 13:28</t>
  </si>
  <si>
    <t xml:space="preserve">#10645</t>
  </si>
  <si>
    <t xml:space="preserve">2026-07-28 14:35</t>
  </si>
  <si>
    <t xml:space="preserve">#10654</t>
  </si>
  <si>
    <t xml:space="preserve">28/07/2026 16:58</t>
  </si>
  <si>
    <t xml:space="preserve">customer65@example.com</t>
  </si>
  <si>
    <t xml:space="preserve">2026-07-28 16:58</t>
  </si>
  <si>
    <t xml:space="preserve">#10664</t>
  </si>
  <si>
    <t xml:space="preserve">2026-07-28 19:25</t>
  </si>
  <si>
    <t xml:space="preserve">customer683@example.com</t>
  </si>
  <si>
    <t xml:space="preserve">#10642</t>
  </si>
  <si>
    <t xml:space="preserve">2026-07-28 21:44</t>
  </si>
  <si>
    <t xml:space="preserve">28/07/2026 21:44</t>
  </si>
  <si>
    <t xml:space="preserve">#10624</t>
  </si>
  <si>
    <t xml:space="preserve">2026-07-29 09:11</t>
  </si>
  <si>
    <t xml:space="preserve">#10649</t>
  </si>
  <si>
    <t xml:space="preserve">29/07/2026 09:59</t>
  </si>
  <si>
    <t xml:space="preserve">customer378@example.com</t>
  </si>
  <si>
    <t xml:space="preserve">2026-07-29 09:59</t>
  </si>
  <si>
    <t xml:space="preserve">#10620</t>
  </si>
  <si>
    <t xml:space="preserve">2026-07-29 13:34</t>
  </si>
  <si>
    <t xml:space="preserve">customer711@example.com</t>
  </si>
  <si>
    <t xml:space="preserve">29/07/2026 13:34</t>
  </si>
  <si>
    <t xml:space="preserve">#10638</t>
  </si>
  <si>
    <t xml:space="preserve">2026-07-29 13:54</t>
  </si>
  <si>
    <t xml:space="preserve">#10641</t>
  </si>
  <si>
    <t xml:space="preserve">29/07/2026 14:23</t>
  </si>
  <si>
    <t xml:space="preserve">customer773@example.com</t>
  </si>
  <si>
    <t xml:space="preserve">2026-07-29 14:23</t>
  </si>
  <si>
    <t xml:space="preserve">#10630</t>
  </si>
  <si>
    <t xml:space="preserve">2026-07-29 18:32</t>
  </si>
  <si>
    <t xml:space="preserve">#10627</t>
  </si>
  <si>
    <t xml:space="preserve">29/07/2026 21:38</t>
  </si>
  <si>
    <t xml:space="preserve">2026-07-29 21:38</t>
  </si>
  <si>
    <t xml:space="preserve">#10631</t>
  </si>
  <si>
    <t xml:space="preserve">2026-07-29 22:46</t>
  </si>
  <si>
    <t xml:space="preserve">customer783@example.com</t>
  </si>
  <si>
    <t xml:space="preserve">#10646</t>
  </si>
  <si>
    <t xml:space="preserve">2026-07-30 07:16</t>
  </si>
  <si>
    <t xml:space="preserve">30/07/2026 07:16</t>
  </si>
  <si>
    <t xml:space="preserve">#10626</t>
  </si>
  <si>
    <t xml:space="preserve">2026-07-30 09:01</t>
  </si>
  <si>
    <t xml:space="preserve">#10650</t>
  </si>
  <si>
    <t xml:space="preserve">2026-07-30 10:33</t>
  </si>
  <si>
    <t xml:space="preserve">customer455@example.com</t>
  </si>
  <si>
    <t xml:space="preserve">30/07/2026 10:33</t>
  </si>
  <si>
    <t xml:space="preserve">#10662</t>
  </si>
  <si>
    <t xml:space="preserve">2026-07-30 12:23</t>
  </si>
  <si>
    <t xml:space="preserve">#10651</t>
  </si>
  <si>
    <t xml:space="preserve">2026-07-30 13:20</t>
  </si>
  <si>
    <t xml:space="preserve">customer388@example.com</t>
  </si>
  <si>
    <t xml:space="preserve">#10632</t>
  </si>
  <si>
    <t xml:space="preserve">2026-07-30 13:50</t>
  </si>
  <si>
    <t xml:space="preserve">customer362@example.com</t>
  </si>
  <si>
    <t xml:space="preserve">30/07/2026 13:50</t>
  </si>
  <si>
    <t xml:space="preserve">#10625</t>
  </si>
  <si>
    <t xml:space="preserve">2026-07-30 14:55</t>
  </si>
  <si>
    <t xml:space="preserve">#10660</t>
  </si>
  <si>
    <t xml:space="preserve">2026-07-30 17:32</t>
  </si>
  <si>
    <t xml:space="preserve">customer383@example.com</t>
  </si>
  <si>
    <t xml:space="preserve">30/07/2026 17:32</t>
  </si>
  <si>
    <t xml:space="preserve">#10643</t>
  </si>
  <si>
    <t xml:space="preserve">2026-07-30 20:04</t>
  </si>
  <si>
    <t xml:space="preserve">#10644</t>
  </si>
  <si>
    <t xml:space="preserve">2026-07-30 22:17</t>
  </si>
  <si>
    <t xml:space="preserve">customer841@example.com</t>
  </si>
  <si>
    <t xml:space="preserve">30/07/2026 22:17</t>
  </si>
  <si>
    <t xml:space="preserve">#10619</t>
  </si>
  <si>
    <t xml:space="preserve">2026-07-31 08:01</t>
  </si>
  <si>
    <t xml:space="preserve">#10623</t>
  </si>
  <si>
    <t xml:space="preserve">2026-07-31 12:52</t>
  </si>
  <si>
    <t xml:space="preserve">customer83@example.com</t>
  </si>
  <si>
    <t xml:space="preserve">#10658</t>
  </si>
  <si>
    <t xml:space="preserve">31/07/2026 13:37</t>
  </si>
  <si>
    <t xml:space="preserve">customer297@example.com</t>
  </si>
  <si>
    <t xml:space="preserve">2026-07-31 13:37</t>
  </si>
  <si>
    <t xml:space="preserve">2026-07-31 13:42</t>
  </si>
  <si>
    <t xml:space="preserve">#10665</t>
  </si>
  <si>
    <t xml:space="preserve">2026-07-31 19:42</t>
  </si>
  <si>
    <t xml:space="preserve">31/07/2026 19:42</t>
  </si>
  <si>
    <t xml:space="preserve">#10635</t>
  </si>
  <si>
    <t xml:space="preserve">2026-07-31 21:27</t>
  </si>
  <si>
    <t xml:space="preserve">customer194@example.com</t>
  </si>
  <si>
    <t xml:space="preserve">#10663</t>
  </si>
  <si>
    <t xml:space="preserve">2026-08-01 10:11</t>
  </si>
  <si>
    <t xml:space="preserve">customer704@example.com</t>
  </si>
  <si>
    <t xml:space="preserve">#10652</t>
  </si>
  <si>
    <t xml:space="preserve">01/08/2026 10:37</t>
  </si>
  <si>
    <t xml:space="preserve">customer895@example.com</t>
  </si>
  <si>
    <t xml:space="preserve">2026-08-01 10:37</t>
  </si>
  <si>
    <t xml:space="preserve">#10622</t>
  </si>
  <si>
    <t xml:space="preserve">2026-08-01 13:34</t>
  </si>
  <si>
    <t xml:space="preserve">customer854@example.com</t>
  </si>
  <si>
    <t xml:space="preserve">01/08/2026 13:34</t>
  </si>
  <si>
    <t xml:space="preserve">#10659</t>
  </si>
  <si>
    <t xml:space="preserve">2026-08-01 15:40</t>
  </si>
  <si>
    <t xml:space="preserve">#10621</t>
  </si>
  <si>
    <t xml:space="preserve">01/08/2026 17:18</t>
  </si>
  <si>
    <t xml:space="preserve">2026-08-01 17:18</t>
  </si>
  <si>
    <t xml:space="preserve">#10661</t>
  </si>
  <si>
    <t xml:space="preserve">2026-08-01 21:16</t>
  </si>
  <si>
    <t xml:space="preserve">customer561@example.com</t>
  </si>
  <si>
    <t xml:space="preserve">#10633</t>
  </si>
  <si>
    <t xml:space="preserve">01/08/2026 22:18</t>
  </si>
  <si>
    <t xml:space="preserve">customer223@example.com</t>
  </si>
  <si>
    <t xml:space="preserve">2026-08-01 22:18</t>
  </si>
  <si>
    <t xml:space="preserve">2026-08-02 09:11</t>
  </si>
  <si>
    <t xml:space="preserve">#10634</t>
  </si>
  <si>
    <t xml:space="preserve">02/08/2026 11:44</t>
  </si>
  <si>
    <t xml:space="preserve">#10653</t>
  </si>
  <si>
    <t xml:space="preserve">2026-08-02 12:27</t>
  </si>
  <si>
    <t xml:space="preserve">#10640</t>
  </si>
  <si>
    <t xml:space="preserve">2026-08-02 13:05</t>
  </si>
  <si>
    <t xml:space="preserve">customer270@example.com</t>
  </si>
  <si>
    <t xml:space="preserve">02/08/2026 13:05</t>
  </si>
  <si>
    <t xml:space="preserve">#10647</t>
  </si>
  <si>
    <t xml:space="preserve">2026-08-02 13:09</t>
  </si>
  <si>
    <t xml:space="preserve">#10655</t>
  </si>
  <si>
    <t xml:space="preserve">2026-08-02 18:08</t>
  </si>
  <si>
    <t xml:space="preserve">02/08/2026 18:08</t>
  </si>
  <si>
    <t xml:space="preserve">#10685</t>
  </si>
  <si>
    <t xml:space="preserve">2026-08-03 08:21</t>
  </si>
  <si>
    <t xml:space="preserve">customer846@example.com</t>
  </si>
  <si>
    <t xml:space="preserve">#10672</t>
  </si>
  <si>
    <t xml:space="preserve">2026-08-03 08:23</t>
  </si>
  <si>
    <t xml:space="preserve">customer128@example.com</t>
  </si>
  <si>
    <t xml:space="preserve">03/08/2026 08:23</t>
  </si>
  <si>
    <t xml:space="preserve">#10722</t>
  </si>
  <si>
    <t xml:space="preserve">2026-08-03 11:06</t>
  </si>
  <si>
    <t xml:space="preserve">customer424@example.com</t>
  </si>
  <si>
    <t xml:space="preserve">03/08/2026 11:06</t>
  </si>
  <si>
    <t xml:space="preserve">#10706</t>
  </si>
  <si>
    <t xml:space="preserve">2026-08-03 13:26</t>
  </si>
  <si>
    <t xml:space="preserve">customer703@example.com</t>
  </si>
  <si>
    <t xml:space="preserve">2026-08-03 13:50</t>
  </si>
  <si>
    <t xml:space="preserve">#10687</t>
  </si>
  <si>
    <t xml:space="preserve">03/08/2026 14:01</t>
  </si>
  <si>
    <t xml:space="preserve">2026-08-03 14:01</t>
  </si>
  <si>
    <t xml:space="preserve">#10726</t>
  </si>
  <si>
    <t xml:space="preserve">2026-08-03 15:35</t>
  </si>
  <si>
    <t xml:space="preserve">customer138@example.com</t>
  </si>
  <si>
    <t xml:space="preserve">#10694</t>
  </si>
  <si>
    <t xml:space="preserve">03/08/2026 15:38</t>
  </si>
  <si>
    <t xml:space="preserve">2026-08-03 15:38</t>
  </si>
  <si>
    <t xml:space="preserve">#10667</t>
  </si>
  <si>
    <t xml:space="preserve">2026-08-03 15:57</t>
  </si>
  <si>
    <t xml:space="preserve">customer616@example.com</t>
  </si>
  <si>
    <t xml:space="preserve">#10721</t>
  </si>
  <si>
    <t xml:space="preserve">2026-08-03 19:21</t>
  </si>
  <si>
    <t xml:space="preserve">customer748@example.com</t>
  </si>
  <si>
    <t xml:space="preserve">03/08/2026 19:21</t>
  </si>
  <si>
    <t xml:space="preserve">#10666</t>
  </si>
  <si>
    <t xml:space="preserve">2026-08-03 21:02</t>
  </si>
  <si>
    <t xml:space="preserve">#10720</t>
  </si>
  <si>
    <t xml:space="preserve">2026-08-03 21:51</t>
  </si>
  <si>
    <t xml:space="preserve">03/08/2026 21:51</t>
  </si>
  <si>
    <t xml:space="preserve">#10723</t>
  </si>
  <si>
    <t xml:space="preserve">2026-08-04 07:14</t>
  </si>
  <si>
    <t xml:space="preserve">#10695</t>
  </si>
  <si>
    <t xml:space="preserve">04/08/2026 10:12</t>
  </si>
  <si>
    <t xml:space="preserve">2026-08-04 10:12</t>
  </si>
  <si>
    <t xml:space="preserve">#10686</t>
  </si>
  <si>
    <t xml:space="preserve">2026-08-04 11:39</t>
  </si>
  <si>
    <t xml:space="preserve">customer547@example.com</t>
  </si>
  <si>
    <t xml:space="preserve">04/08/2026 11:39</t>
  </si>
  <si>
    <t xml:space="preserve">#10701</t>
  </si>
  <si>
    <t xml:space="preserve">2026-08-04 12:32</t>
  </si>
  <si>
    <t xml:space="preserve">customer493@example.com</t>
  </si>
  <si>
    <t xml:space="preserve">#10690</t>
  </si>
  <si>
    <t xml:space="preserve">04/08/2026 12:53</t>
  </si>
  <si>
    <t xml:space="preserve">customer698@example.com</t>
  </si>
  <si>
    <t xml:space="preserve">2026-08-04 12:53</t>
  </si>
  <si>
    <t xml:space="preserve">#10698</t>
  </si>
  <si>
    <t xml:space="preserve">2026-08-04 13:15</t>
  </si>
  <si>
    <t xml:space="preserve">04/08/2026 13:15</t>
  </si>
  <si>
    <t xml:space="preserve">#10711</t>
  </si>
  <si>
    <t xml:space="preserve">2026-08-04 13:44</t>
  </si>
  <si>
    <t xml:space="preserve">customer541@example.com</t>
  </si>
  <si>
    <t xml:space="preserve">#10727</t>
  </si>
  <si>
    <t xml:space="preserve">2026-08-04 14:02</t>
  </si>
  <si>
    <t xml:space="preserve">customer134@example.com</t>
  </si>
  <si>
    <t xml:space="preserve">#10669</t>
  </si>
  <si>
    <t xml:space="preserve">2026-08-04 14:54</t>
  </si>
  <si>
    <t xml:space="preserve">customer274@example.com</t>
  </si>
  <si>
    <t xml:space="preserve">04/08/2026 14:54</t>
  </si>
  <si>
    <t xml:space="preserve">#10688</t>
  </si>
  <si>
    <t xml:space="preserve">2026-08-04 17:39</t>
  </si>
  <si>
    <t xml:space="preserve">customer798@example.com</t>
  </si>
  <si>
    <t xml:space="preserve">#10712</t>
  </si>
  <si>
    <t xml:space="preserve">2026-08-04 17:41</t>
  </si>
  <si>
    <t xml:space="preserve">customer81@example.com</t>
  </si>
  <si>
    <t xml:space="preserve">04/08/2026 17:41</t>
  </si>
  <si>
    <t xml:space="preserve">#10716</t>
  </si>
  <si>
    <t xml:space="preserve">2026-08-04 18:19</t>
  </si>
  <si>
    <t xml:space="preserve">customer226@example.com</t>
  </si>
  <si>
    <t xml:space="preserve">#10696</t>
  </si>
  <si>
    <t xml:space="preserve">2026-08-04 21:06</t>
  </si>
  <si>
    <t xml:space="preserve">04/08/2026 21:06</t>
  </si>
  <si>
    <t xml:space="preserve">#10703</t>
  </si>
  <si>
    <t xml:space="preserve">2026-08-04 21:53</t>
  </si>
  <si>
    <t xml:space="preserve">customer794@example.com</t>
  </si>
  <si>
    <t xml:space="preserve">#10728</t>
  </si>
  <si>
    <t xml:space="preserve">2026-08-04 22:23</t>
  </si>
  <si>
    <t xml:space="preserve">customer642@example.com</t>
  </si>
  <si>
    <t xml:space="preserve">04/08/2026 22:23</t>
  </si>
  <si>
    <t xml:space="preserve">#10717</t>
  </si>
  <si>
    <t xml:space="preserve">2026-08-04 22:36</t>
  </si>
  <si>
    <t xml:space="preserve">04/08/2026 22:36</t>
  </si>
  <si>
    <t xml:space="preserve">#10680</t>
  </si>
  <si>
    <t xml:space="preserve">2026-08-05 07:20</t>
  </si>
  <si>
    <t xml:space="preserve">#10691</t>
  </si>
  <si>
    <t xml:space="preserve">2026-08-05 08:37</t>
  </si>
  <si>
    <t xml:space="preserve">05/08/2026 08:37</t>
  </si>
  <si>
    <t xml:space="preserve">#10699</t>
  </si>
  <si>
    <t xml:space="preserve">2026-08-05 09:18</t>
  </si>
  <si>
    <t xml:space="preserve">#10677</t>
  </si>
  <si>
    <t xml:space="preserve">2026-08-05 13:21</t>
  </si>
  <si>
    <t xml:space="preserve">customer48@example.com</t>
  </si>
  <si>
    <t xml:space="preserve">05/08/2026 13:21</t>
  </si>
  <si>
    <t xml:space="preserve">#10713</t>
  </si>
  <si>
    <t xml:space="preserve">2026-08-05 14:17</t>
  </si>
  <si>
    <t xml:space="preserve">#10708</t>
  </si>
  <si>
    <t xml:space="preserve">2026-08-05 14:40</t>
  </si>
  <si>
    <t xml:space="preserve">#10682</t>
  </si>
  <si>
    <t xml:space="preserve">2026-08-05 15:26</t>
  </si>
  <si>
    <t xml:space="preserve">customer540@example.com</t>
  </si>
  <si>
    <t xml:space="preserve">05/08/2026 15:26</t>
  </si>
  <si>
    <t xml:space="preserve">#10724</t>
  </si>
  <si>
    <t xml:space="preserve">2026-08-05 16:18</t>
  </si>
  <si>
    <t xml:space="preserve">05/08/2026 16:18</t>
  </si>
  <si>
    <t xml:space="preserve">#10673</t>
  </si>
  <si>
    <t xml:space="preserve">2026-08-05 19:09</t>
  </si>
  <si>
    <t xml:space="preserve">#10689</t>
  </si>
  <si>
    <t xml:space="preserve">2026-08-05 19:22</t>
  </si>
  <si>
    <t xml:space="preserve">customer572@example.com</t>
  </si>
  <si>
    <t xml:space="preserve">05/08/2026 19:22</t>
  </si>
  <si>
    <t xml:space="preserve">#10718</t>
  </si>
  <si>
    <t xml:space="preserve">2026-08-05 19:40</t>
  </si>
  <si>
    <t xml:space="preserve">customer214@example.com</t>
  </si>
  <si>
    <t xml:space="preserve">#10725</t>
  </si>
  <si>
    <t xml:space="preserve">05/08/2026 20:16</t>
  </si>
  <si>
    <t xml:space="preserve">2026-08-05 20:16</t>
  </si>
  <si>
    <t xml:space="preserve">#10681</t>
  </si>
  <si>
    <t xml:space="preserve">2026-08-05 20:54</t>
  </si>
  <si>
    <t xml:space="preserve">#10719</t>
  </si>
  <si>
    <t xml:space="preserve">06/08/2026 08:30</t>
  </si>
  <si>
    <t xml:space="preserve">2026-08-06 08:30</t>
  </si>
  <si>
    <t xml:space="preserve">#10714</t>
  </si>
  <si>
    <t xml:space="preserve">2026-08-06 11:38</t>
  </si>
  <si>
    <t xml:space="preserve">#10679</t>
  </si>
  <si>
    <t xml:space="preserve">06/08/2026 11:49</t>
  </si>
  <si>
    <t xml:space="preserve">customer348@example.com</t>
  </si>
  <si>
    <t xml:space="preserve">2026-08-06 11:49</t>
  </si>
  <si>
    <t xml:space="preserve">#10668</t>
  </si>
  <si>
    <t xml:space="preserve">2026-08-06 12:10</t>
  </si>
  <si>
    <t xml:space="preserve">customer543@example.com</t>
  </si>
  <si>
    <t xml:space="preserve">06/08/2026 12:10</t>
  </si>
  <si>
    <t xml:space="preserve">#10676</t>
  </si>
  <si>
    <t xml:space="preserve">2026-08-06 12:51</t>
  </si>
  <si>
    <t xml:space="preserve">#10710</t>
  </si>
  <si>
    <t xml:space="preserve">06/08/2026 13:15</t>
  </si>
  <si>
    <t xml:space="preserve">customer551@example.com</t>
  </si>
  <si>
    <t xml:space="preserve">2026-08-06 13:15</t>
  </si>
  <si>
    <t xml:space="preserve">#10671</t>
  </si>
  <si>
    <t xml:space="preserve">2026-08-06 14:01</t>
  </si>
  <si>
    <t xml:space="preserve">#10704</t>
  </si>
  <si>
    <t xml:space="preserve">06/08/2026 15:40</t>
  </si>
  <si>
    <t xml:space="preserve">customer818@example.com</t>
  </si>
  <si>
    <t xml:space="preserve">2026-08-06 15:40</t>
  </si>
  <si>
    <t xml:space="preserve">#10729</t>
  </si>
  <si>
    <t xml:space="preserve">2026-08-06 18:07</t>
  </si>
  <si>
    <t xml:space="preserve">customer179@example.com</t>
  </si>
  <si>
    <t xml:space="preserve">06/08/2026 18:07</t>
  </si>
  <si>
    <t xml:space="preserve">#10683</t>
  </si>
  <si>
    <t xml:space="preserve">2026-08-06 22:46</t>
  </si>
  <si>
    <t xml:space="preserve">customer119@example.com</t>
  </si>
  <si>
    <t xml:space="preserve">#10705</t>
  </si>
  <si>
    <t xml:space="preserve">2026-08-07 07:29</t>
  </si>
  <si>
    <t xml:space="preserve">07/08/2026 07:29</t>
  </si>
  <si>
    <t xml:space="preserve">2026-08-07 08:21</t>
  </si>
  <si>
    <t xml:space="preserve">#10678</t>
  </si>
  <si>
    <t xml:space="preserve">2026-08-07 09:04</t>
  </si>
  <si>
    <t xml:space="preserve">#10700</t>
  </si>
  <si>
    <t xml:space="preserve">07/08/2026 09:07</t>
  </si>
  <si>
    <t xml:space="preserve">2026-08-07 09:07</t>
  </si>
  <si>
    <t xml:space="preserve">#10702</t>
  </si>
  <si>
    <t xml:space="preserve">2026-08-07 10:35</t>
  </si>
  <si>
    <t xml:space="preserve">07/08/2026 11:06</t>
  </si>
  <si>
    <t xml:space="preserve">#10715</t>
  </si>
  <si>
    <t xml:space="preserve">2026-08-07 14:40</t>
  </si>
  <si>
    <t xml:space="preserve">#10707</t>
  </si>
  <si>
    <t xml:space="preserve">2026-08-07 16:33</t>
  </si>
  <si>
    <t xml:space="preserve">customer779@example.com</t>
  </si>
  <si>
    <t xml:space="preserve">07/08/2026 16:33</t>
  </si>
  <si>
    <t xml:space="preserve">#10697</t>
  </si>
  <si>
    <t xml:space="preserve">2026-08-07 19:05</t>
  </si>
  <si>
    <t xml:space="preserve">customer54@example.com</t>
  </si>
  <si>
    <t xml:space="preserve">#10709</t>
  </si>
  <si>
    <t xml:space="preserve">08/08/2026 08:31</t>
  </si>
  <si>
    <t xml:space="preserve">2026-08-08 08:31</t>
  </si>
  <si>
    <t xml:space="preserve">2026-08-08 10:12</t>
  </si>
  <si>
    <t xml:space="preserve">2026-08-08 14:54</t>
  </si>
  <si>
    <t xml:space="preserve">#10675</t>
  </si>
  <si>
    <t xml:space="preserve">2026-08-08 15:42</t>
  </si>
  <si>
    <t xml:space="preserve">08/08/2026 15:42</t>
  </si>
  <si>
    <t xml:space="preserve">2026-08-08 17:41</t>
  </si>
  <si>
    <t xml:space="preserve">#10693</t>
  </si>
  <si>
    <t xml:space="preserve">2026-08-08 17:53</t>
  </si>
  <si>
    <t xml:space="preserve">customer700@example.com</t>
  </si>
  <si>
    <t xml:space="preserve">#10670</t>
  </si>
  <si>
    <t xml:space="preserve">2026-08-08 21:00</t>
  </si>
  <si>
    <t xml:space="preserve">customer1@example.com</t>
  </si>
  <si>
    <t xml:space="preserve">09/08/2026 08:37</t>
  </si>
  <si>
    <t xml:space="preserve">#10674</t>
  </si>
  <si>
    <t xml:space="preserve">2026-08-09 13:51</t>
  </si>
  <si>
    <t xml:space="preserve">#10684</t>
  </si>
  <si>
    <t xml:space="preserve">2026-08-09 15:42</t>
  </si>
  <si>
    <t xml:space="preserve">customer254@example.com</t>
  </si>
  <si>
    <t xml:space="preserve">09/08/2026 15:42</t>
  </si>
  <si>
    <t xml:space="preserve">#10692</t>
  </si>
  <si>
    <t xml:space="preserve">2026-08-09 16:14</t>
  </si>
  <si>
    <t xml:space="preserve">2026-08-10 12:51</t>
  </si>
  <si>
    <t xml:space="preserve">Query layer</t>
  </si>
  <si>
    <t xml:space="preserve">Weekly summary</t>
  </si>
  <si>
    <t xml:space="preserve">Reporting week breakdown</t>
  </si>
  <si>
    <t xml:space="preserve">Every column here reads from Raw Orders. Nothing is typed by hand, so pasting a new export updates the report by itself.</t>
  </si>
  <si>
    <t xml:space="preserve">The report tab reads from this table.</t>
  </si>
  <si>
    <t xml:space="preserve">REPORTING WEEK</t>
  </si>
  <si>
    <t xml:space="preserve">last week with orders, not just the last date in the file</t>
  </si>
  <si>
    <t xml:space="preserve">Order date</t>
  </si>
  <si>
    <t xml:space="preserve">Week starting (Mon)</t>
  </si>
  <si>
    <t xml:space="preserve">Product revenue</t>
  </si>
  <si>
    <t xml:space="preserve">Counts as an order</t>
  </si>
  <si>
    <t xml:space="preserve">Refund value</t>
  </si>
  <si>
    <t xml:space="preserve">Refunds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</si>
</sst>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"/>
    <numFmt numFmtId="166" formatCode="#,##0"/>
    <numFmt numFmtId="167" formatCode="\£#,##0.00"/>
    <numFmt numFmtId="168" formatCode="0.0%;[RED]\-0.0%"/>
    <numFmt numFmtId="169" formatCode="yyyy\-mm\-dd"/>
    <numFmt numFmtId="170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6202C"/>
      <name val="Arial"/>
      <family val="0"/>
      <charset val="1"/>
    </font>
    <font>
      <sz val="9.5"/>
      <color rgb="FF6B7A8F"/>
      <name val="Arial"/>
      <family val="0"/>
      <charset val="1"/>
    </font>
    <font>
      <b val="true"/>
      <sz val="8"/>
      <color rgb="FF6B7A8F"/>
      <name val="Arial"/>
      <family val="0"/>
      <charset val="1"/>
    </font>
    <font>
      <sz val="8.5"/>
      <color rgb="FF6B7A8F"/>
      <name val="Arial"/>
      <family val="0"/>
      <charset val="1"/>
    </font>
    <font>
      <b val="true"/>
      <sz val="11"/>
      <color rgb="FF16202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6202C"/>
      <name val="Arial"/>
      <family val="0"/>
      <charset val="1"/>
    </font>
    <font>
      <b val="true"/>
      <sz val="10"/>
      <color rgb="FF16202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E"/>
        <bgColor rgb="FFF6F8FB"/>
      </patternFill>
    </fill>
    <fill>
      <patternFill patternType="solid">
        <fgColor rgb="FF1F6FEB"/>
        <bgColor rgb="FF0066CC"/>
      </patternFill>
    </fill>
    <fill>
      <patternFill patternType="solid">
        <fgColor rgb="FFF6F8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  <border diagonalUp="false" diagonalDown="false"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8F"/>
      <rgbColor rgb="FF9999FF"/>
      <rgbColor rgb="FF993366"/>
      <rgbColor rgb="FFF6F8FB"/>
      <rgbColor rgb="FFEAF1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"/>
    <col collapsed="false" customWidth="true" hidden="false" outlineLevel="0" max="10" min="10" style="0" width="16"/>
    <col collapsed="false" customWidth="true" hidden="false" outlineLevel="0" max="11" min="11" style="0" width="3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tr">
        <f aca="false">"Week starting "&amp;TEXT('Weekly Calc'!$H$3,"d mmmm yyyy")&amp;"   ·   rebuilt automatically from the Raw Orders tab"</f>
        <v>Week starting 3 August 2026   ·   rebuilt automatically from the Raw Orders tab</v>
      </c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B5" s="4" t="s">
        <v>1</v>
      </c>
      <c r="C5" s="5"/>
      <c r="D5" s="4" t="s">
        <v>2</v>
      </c>
      <c r="E5" s="5"/>
      <c r="F5" s="4" t="s">
        <v>3</v>
      </c>
      <c r="G5" s="5"/>
      <c r="H5" s="4" t="s">
        <v>4</v>
      </c>
      <c r="I5" s="5"/>
      <c r="J5" s="4" t="s">
        <v>5</v>
      </c>
      <c r="K5" s="5"/>
    </row>
    <row r="6" customFormat="false" ht="24" hidden="false" customHeight="true" outlineLevel="0" collapsed="false">
      <c r="B6" s="6" t="n">
        <f aca="false">INDEX('Weekly Calc'!$I$5:$I$20,MATCH('Weekly Calc'!$H$3,'Weekly Calc'!$H$5:$H$20,0))</f>
        <v>6840.05</v>
      </c>
      <c r="C6" s="5"/>
      <c r="D6" s="7" t="n">
        <f aca="false">INDEX('Weekly Calc'!$J$5:$J$20,MATCH('Weekly Calc'!$H$3,'Weekly Calc'!$H$5:$H$20,0))</f>
        <v>63</v>
      </c>
      <c r="E6" s="5"/>
      <c r="F6" s="8" t="n">
        <f aca="false">INDEX('Weekly Calc'!$M$5:$M$20,MATCH('Weekly Calc'!$H$3,'Weekly Calc'!$H$5:$H$20,0))</f>
        <v>108.572222222222</v>
      </c>
      <c r="G6" s="5"/>
      <c r="H6" s="7" t="n">
        <f aca="false">INDEX('Weekly Calc'!$K$5:$K$20,MATCH('Weekly Calc'!$H$3,'Weekly Calc'!$H$5:$H$20,0))</f>
        <v>149</v>
      </c>
      <c r="I6" s="5"/>
      <c r="J6" s="9" t="n">
        <f aca="false">INDEX('Weekly Calc'!$N$5:$N$20,MATCH('Weekly Calc'!$H$3,'Weekly Calc'!$H$5:$H$20,0))</f>
        <v>0.312340515339307</v>
      </c>
      <c r="K6" s="5"/>
    </row>
    <row r="7" customFormat="false" ht="15" hidden="false" customHeight="false" outlineLevel="0" collapsed="false">
      <c r="B7" s="10" t="s">
        <v>6</v>
      </c>
      <c r="C7" s="5"/>
      <c r="D7" s="10" t="s">
        <v>7</v>
      </c>
      <c r="E7" s="5"/>
      <c r="F7" s="10" t="s">
        <v>8</v>
      </c>
      <c r="G7" s="5"/>
      <c r="H7" s="10" t="s">
        <v>9</v>
      </c>
      <c r="I7" s="5"/>
      <c r="J7" s="10" t="s">
        <v>10</v>
      </c>
      <c r="K7" s="5"/>
    </row>
    <row r="9" customFormat="false" ht="15" hidden="false" customHeight="false" outlineLevel="0" collapsed="false">
      <c r="B9" s="11" t="s">
        <v>11</v>
      </c>
    </row>
    <row r="11" customFormat="false" ht="15" hidden="false" customHeight="false" outlineLevel="0" collapsed="false">
      <c r="B11" s="12" t="s">
        <v>12</v>
      </c>
    </row>
    <row r="12" customFormat="false" ht="19.5" hidden="false" customHeight="true" outlineLevel="0" collapsed="false">
      <c r="B12" s="13" t="s">
        <v>13</v>
      </c>
      <c r="C12" s="13" t="s">
        <v>14</v>
      </c>
      <c r="D12" s="13" t="s">
        <v>15</v>
      </c>
      <c r="E12" s="13" t="s">
        <v>16</v>
      </c>
      <c r="F12" s="13" t="s">
        <v>17</v>
      </c>
    </row>
    <row r="13" customFormat="false" ht="15" hidden="false" customHeight="false" outlineLevel="0" collapsed="false">
      <c r="B13" s="14" t="n">
        <f aca="false">('Weekly Calc'!$H$3-91)</f>
        <v>46146</v>
      </c>
      <c r="C13" s="15" t="n">
        <f aca="false">IFERROR(INDEX('Weekly Calc'!$I$5:$I$20,MATCH(('Weekly Calc'!$H$3-91),'Weekly Calc'!$H$5:$H$20,0)),0)</f>
        <v>6169.5</v>
      </c>
      <c r="D13" s="16" t="n">
        <f aca="false">IFERROR(INDEX('Weekly Calc'!$J$5:$J$20,MATCH(('Weekly Calc'!$H$3-91),'Weekly Calc'!$H$5:$H$20,0)),0)</f>
        <v>56</v>
      </c>
      <c r="E13" s="17" t="n">
        <f aca="false">IFERROR(INDEX('Weekly Calc'!$M$5:$M$20,MATCH(('Weekly Calc'!$H$3-91),'Weekly Calc'!$H$5:$H$20,0)),0)</f>
        <v>110.169642857143</v>
      </c>
      <c r="F13" s="18" t="str">
        <f aca="false">IFERROR(IF(INDEX('Weekly Calc'!$N$5:$N$20,MATCH(('Weekly Calc'!$H$3-91),'Weekly Calc'!$H$5:$H$20,0))="","",INDEX('Weekly Calc'!$N$5:$N$20,MATCH(('Weekly Calc'!$H$3-91),'Weekly Calc'!$H$5:$H$20,0))),"")</f>
        <v/>
      </c>
    </row>
    <row r="14" customFormat="false" ht="15" hidden="false" customHeight="false" outlineLevel="0" collapsed="false">
      <c r="B14" s="19" t="n">
        <f aca="false">('Weekly Calc'!$H$3-84)</f>
        <v>46153</v>
      </c>
      <c r="C14" s="20" t="n">
        <f aca="false">IFERROR(INDEX('Weekly Calc'!$I$5:$I$20,MATCH(('Weekly Calc'!$H$3-84),'Weekly Calc'!$H$5:$H$20,0)),0)</f>
        <v>4203.05</v>
      </c>
      <c r="D14" s="21" t="n">
        <f aca="false">IFERROR(INDEX('Weekly Calc'!$J$5:$J$20,MATCH(('Weekly Calc'!$H$3-84),'Weekly Calc'!$H$5:$H$20,0)),0)</f>
        <v>44</v>
      </c>
      <c r="E14" s="22" t="n">
        <f aca="false">IFERROR(INDEX('Weekly Calc'!$M$5:$M$20,MATCH(('Weekly Calc'!$H$3-84),'Weekly Calc'!$H$5:$H$20,0)),0)</f>
        <v>95.5238636363636</v>
      </c>
      <c r="F14" s="23" t="n">
        <f aca="false">IFERROR(IF(INDEX('Weekly Calc'!$N$5:$N$20,MATCH(('Weekly Calc'!$H$3-84),'Weekly Calc'!$H$5:$H$20,0))="","",INDEX('Weekly Calc'!$N$5:$N$20,MATCH(('Weekly Calc'!$H$3-84),'Weekly Calc'!$H$5:$H$20,0))),"")</f>
        <v>-0.318737336899262</v>
      </c>
    </row>
    <row r="15" customFormat="false" ht="15" hidden="false" customHeight="false" outlineLevel="0" collapsed="false">
      <c r="B15" s="14" t="n">
        <f aca="false">('Weekly Calc'!$H$3-77)</f>
        <v>46160</v>
      </c>
      <c r="C15" s="15" t="n">
        <f aca="false">IFERROR(INDEX('Weekly Calc'!$I$5:$I$20,MATCH(('Weekly Calc'!$H$3-77),'Weekly Calc'!$H$5:$H$20,0)),0)</f>
        <v>3420.3</v>
      </c>
      <c r="D15" s="16" t="n">
        <f aca="false">IFERROR(INDEX('Weekly Calc'!$J$5:$J$20,MATCH(('Weekly Calc'!$H$3-77),'Weekly Calc'!$H$5:$H$20,0)),0)</f>
        <v>38</v>
      </c>
      <c r="E15" s="17" t="n">
        <f aca="false">IFERROR(INDEX('Weekly Calc'!$M$5:$M$20,MATCH(('Weekly Calc'!$H$3-77),'Weekly Calc'!$H$5:$H$20,0)),0)</f>
        <v>90.0078947368421</v>
      </c>
      <c r="F15" s="18" t="n">
        <f aca="false">IFERROR(IF(INDEX('Weekly Calc'!$N$5:$N$20,MATCH(('Weekly Calc'!$H$3-77),'Weekly Calc'!$H$5:$H$20,0))="","",INDEX('Weekly Calc'!$N$5:$N$20,MATCH(('Weekly Calc'!$H$3-77),'Weekly Calc'!$H$5:$H$20,0))),"")</f>
        <v>-0.186233806402493</v>
      </c>
    </row>
    <row r="16" customFormat="false" ht="15" hidden="false" customHeight="false" outlineLevel="0" collapsed="false">
      <c r="B16" s="19" t="n">
        <f aca="false">('Weekly Calc'!$H$3-70)</f>
        <v>46167</v>
      </c>
      <c r="C16" s="20" t="n">
        <f aca="false">IFERROR(INDEX('Weekly Calc'!$I$5:$I$20,MATCH(('Weekly Calc'!$H$3-70),'Weekly Calc'!$H$5:$H$20,0)),0)</f>
        <v>5843.8</v>
      </c>
      <c r="D16" s="21" t="n">
        <f aca="false">IFERROR(INDEX('Weekly Calc'!$J$5:$J$20,MATCH(('Weekly Calc'!$H$3-70),'Weekly Calc'!$H$5:$H$20,0)),0)</f>
        <v>53</v>
      </c>
      <c r="E16" s="22" t="n">
        <f aca="false">IFERROR(INDEX('Weekly Calc'!$M$5:$M$20,MATCH(('Weekly Calc'!$H$3-70),'Weekly Calc'!$H$5:$H$20,0)),0)</f>
        <v>110.260377358491</v>
      </c>
      <c r="F16" s="23" t="n">
        <f aca="false">IFERROR(IF(INDEX('Weekly Calc'!$N$5:$N$20,MATCH(('Weekly Calc'!$H$3-70),'Weekly Calc'!$H$5:$H$20,0))="","",INDEX('Weekly Calc'!$N$5:$N$20,MATCH(('Weekly Calc'!$H$3-70),'Weekly Calc'!$H$5:$H$20,0))),"")</f>
        <v>0.708563576294477</v>
      </c>
    </row>
    <row r="17" customFormat="false" ht="15" hidden="false" customHeight="false" outlineLevel="0" collapsed="false">
      <c r="B17" s="14" t="n">
        <f aca="false">('Weekly Calc'!$H$3-63)</f>
        <v>46174</v>
      </c>
      <c r="C17" s="15" t="n">
        <f aca="false">IFERROR(INDEX('Weekly Calc'!$I$5:$I$20,MATCH(('Weekly Calc'!$H$3-63),'Weekly Calc'!$H$5:$H$20,0)),0)</f>
        <v>4768</v>
      </c>
      <c r="D17" s="16" t="n">
        <f aca="false">IFERROR(INDEX('Weekly Calc'!$J$5:$J$20,MATCH(('Weekly Calc'!$H$3-63),'Weekly Calc'!$H$5:$H$20,0)),0)</f>
        <v>58</v>
      </c>
      <c r="E17" s="17" t="n">
        <f aca="false">IFERROR(INDEX('Weekly Calc'!$M$5:$M$20,MATCH(('Weekly Calc'!$H$3-63),'Weekly Calc'!$H$5:$H$20,0)),0)</f>
        <v>82.2068965517241</v>
      </c>
      <c r="F17" s="18" t="n">
        <f aca="false">IFERROR(IF(INDEX('Weekly Calc'!$N$5:$N$20,MATCH(('Weekly Calc'!$H$3-63),'Weekly Calc'!$H$5:$H$20,0))="","",INDEX('Weekly Calc'!$N$5:$N$20,MATCH(('Weekly Calc'!$H$3-63),'Weekly Calc'!$H$5:$H$20,0))),"")</f>
        <v>-0.1840925425237</v>
      </c>
    </row>
    <row r="18" customFormat="false" ht="15" hidden="false" customHeight="false" outlineLevel="0" collapsed="false">
      <c r="B18" s="19" t="n">
        <f aca="false">('Weekly Calc'!$H$3-56)</f>
        <v>46181</v>
      </c>
      <c r="C18" s="20" t="n">
        <f aca="false">IFERROR(INDEX('Weekly Calc'!$I$5:$I$20,MATCH(('Weekly Calc'!$H$3-56),'Weekly Calc'!$H$5:$H$20,0)),0)</f>
        <v>4908.2</v>
      </c>
      <c r="D18" s="21" t="n">
        <f aca="false">IFERROR(INDEX('Weekly Calc'!$J$5:$J$20,MATCH(('Weekly Calc'!$H$3-56),'Weekly Calc'!$H$5:$H$20,0)),0)</f>
        <v>54</v>
      </c>
      <c r="E18" s="22" t="n">
        <f aca="false">IFERROR(INDEX('Weekly Calc'!$M$5:$M$20,MATCH(('Weekly Calc'!$H$3-56),'Weekly Calc'!$H$5:$H$20,0)),0)</f>
        <v>90.8925925925926</v>
      </c>
      <c r="F18" s="23" t="n">
        <f aca="false">IFERROR(IF(INDEX('Weekly Calc'!$N$5:$N$20,MATCH(('Weekly Calc'!$H$3-56),'Weekly Calc'!$H$5:$H$20,0))="","",INDEX('Weekly Calc'!$N$5:$N$20,MATCH(('Weekly Calc'!$H$3-56),'Weekly Calc'!$H$5:$H$20,0))),"")</f>
        <v>0.0294043624161073</v>
      </c>
    </row>
    <row r="19" customFormat="false" ht="15" hidden="false" customHeight="false" outlineLevel="0" collapsed="false">
      <c r="B19" s="14" t="n">
        <f aca="false">('Weekly Calc'!$H$3-49)</f>
        <v>46188</v>
      </c>
      <c r="C19" s="15" t="n">
        <f aca="false">IFERROR(INDEX('Weekly Calc'!$I$5:$I$20,MATCH(('Weekly Calc'!$H$3-49),'Weekly Calc'!$H$5:$H$20,0)),0)</f>
        <v>5063</v>
      </c>
      <c r="D19" s="16" t="n">
        <f aca="false">IFERROR(INDEX('Weekly Calc'!$J$5:$J$20,MATCH(('Weekly Calc'!$H$3-49),'Weekly Calc'!$H$5:$H$20,0)),0)</f>
        <v>52</v>
      </c>
      <c r="E19" s="17" t="n">
        <f aca="false">IFERROR(INDEX('Weekly Calc'!$M$5:$M$20,MATCH(('Weekly Calc'!$H$3-49),'Weekly Calc'!$H$5:$H$20,0)),0)</f>
        <v>97.3653846153846</v>
      </c>
      <c r="F19" s="18" t="n">
        <f aca="false">IFERROR(IF(INDEX('Weekly Calc'!$N$5:$N$20,MATCH(('Weekly Calc'!$H$3-49),'Weekly Calc'!$H$5:$H$20,0))="","",INDEX('Weekly Calc'!$N$5:$N$20,MATCH(('Weekly Calc'!$H$3-49),'Weekly Calc'!$H$5:$H$20,0))),"")</f>
        <v>0.0315390570881382</v>
      </c>
    </row>
    <row r="20" customFormat="false" ht="15" hidden="false" customHeight="false" outlineLevel="0" collapsed="false">
      <c r="B20" s="19" t="n">
        <f aca="false">('Weekly Calc'!$H$3-42)</f>
        <v>46195</v>
      </c>
      <c r="C20" s="20" t="n">
        <f aca="false">IFERROR(INDEX('Weekly Calc'!$I$5:$I$20,MATCH(('Weekly Calc'!$H$3-42),'Weekly Calc'!$H$5:$H$20,0)),0)</f>
        <v>4877.55</v>
      </c>
      <c r="D20" s="21" t="n">
        <f aca="false">IFERROR(INDEX('Weekly Calc'!$J$5:$J$20,MATCH(('Weekly Calc'!$H$3-42),'Weekly Calc'!$H$5:$H$20,0)),0)</f>
        <v>50</v>
      </c>
      <c r="E20" s="22" t="n">
        <f aca="false">IFERROR(INDEX('Weekly Calc'!$M$5:$M$20,MATCH(('Weekly Calc'!$H$3-42),'Weekly Calc'!$H$5:$H$20,0)),0)</f>
        <v>97.551</v>
      </c>
      <c r="F20" s="23" t="n">
        <f aca="false">IFERROR(IF(INDEX('Weekly Calc'!$N$5:$N$20,MATCH(('Weekly Calc'!$H$3-42),'Weekly Calc'!$H$5:$H$20,0))="","",INDEX('Weekly Calc'!$N$5:$N$20,MATCH(('Weekly Calc'!$H$3-42),'Weekly Calc'!$H$5:$H$20,0))),"")</f>
        <v>-0.0366284811376654</v>
      </c>
    </row>
    <row r="21" customFormat="false" ht="15" hidden="false" customHeight="false" outlineLevel="0" collapsed="false">
      <c r="B21" s="14" t="n">
        <f aca="false">('Weekly Calc'!$H$3-35)</f>
        <v>46202</v>
      </c>
      <c r="C21" s="15" t="n">
        <f aca="false">IFERROR(INDEX('Weekly Calc'!$I$5:$I$20,MATCH(('Weekly Calc'!$H$3-35),'Weekly Calc'!$H$5:$H$20,0)),0)</f>
        <v>5541.3</v>
      </c>
      <c r="D21" s="16" t="n">
        <f aca="false">IFERROR(INDEX('Weekly Calc'!$J$5:$J$20,MATCH(('Weekly Calc'!$H$3-35),'Weekly Calc'!$H$5:$H$20,0)),0)</f>
        <v>55</v>
      </c>
      <c r="E21" s="17" t="n">
        <f aca="false">IFERROR(INDEX('Weekly Calc'!$M$5:$M$20,MATCH(('Weekly Calc'!$H$3-35),'Weekly Calc'!$H$5:$H$20,0)),0)</f>
        <v>100.750909090909</v>
      </c>
      <c r="F21" s="18" t="n">
        <f aca="false">IFERROR(IF(INDEX('Weekly Calc'!$N$5:$N$20,MATCH(('Weekly Calc'!$H$3-35),'Weekly Calc'!$H$5:$H$20,0))="","",INDEX('Weekly Calc'!$N$5:$N$20,MATCH(('Weekly Calc'!$H$3-35),'Weekly Calc'!$H$5:$H$20,0))),"")</f>
        <v>0.13608266445244</v>
      </c>
    </row>
    <row r="22" customFormat="false" ht="15" hidden="false" customHeight="false" outlineLevel="0" collapsed="false">
      <c r="B22" s="19" t="n">
        <f aca="false">('Weekly Calc'!$H$3-28)</f>
        <v>46209</v>
      </c>
      <c r="C22" s="20" t="n">
        <f aca="false">IFERROR(INDEX('Weekly Calc'!$I$5:$I$20,MATCH(('Weekly Calc'!$H$3-28),'Weekly Calc'!$H$5:$H$20,0)),0)</f>
        <v>5333.1</v>
      </c>
      <c r="D22" s="21" t="n">
        <f aca="false">IFERROR(INDEX('Weekly Calc'!$J$5:$J$20,MATCH(('Weekly Calc'!$H$3-28),'Weekly Calc'!$H$5:$H$20,0)),0)</f>
        <v>46</v>
      </c>
      <c r="E22" s="22" t="n">
        <f aca="false">IFERROR(INDEX('Weekly Calc'!$M$5:$M$20,MATCH(('Weekly Calc'!$H$3-28),'Weekly Calc'!$H$5:$H$20,0)),0)</f>
        <v>115.936956521739</v>
      </c>
      <c r="F22" s="23" t="n">
        <f aca="false">IFERROR(IF(INDEX('Weekly Calc'!$N$5:$N$20,MATCH(('Weekly Calc'!$H$3-28),'Weekly Calc'!$H$5:$H$20,0))="","",INDEX('Weekly Calc'!$N$5:$N$20,MATCH(('Weekly Calc'!$H$3-28),'Weekly Calc'!$H$5:$H$20,0))),"")</f>
        <v>-0.0375724108061285</v>
      </c>
    </row>
    <row r="23" customFormat="false" ht="15" hidden="false" customHeight="false" outlineLevel="0" collapsed="false">
      <c r="B23" s="14" t="n">
        <f aca="false">('Weekly Calc'!$H$3-21)</f>
        <v>46216</v>
      </c>
      <c r="C23" s="15" t="n">
        <f aca="false">IFERROR(INDEX('Weekly Calc'!$I$5:$I$20,MATCH(('Weekly Calc'!$H$3-21),'Weekly Calc'!$H$5:$H$20,0)),0)</f>
        <v>5796.8</v>
      </c>
      <c r="D23" s="16" t="n">
        <f aca="false">IFERROR(INDEX('Weekly Calc'!$J$5:$J$20,MATCH(('Weekly Calc'!$H$3-21),'Weekly Calc'!$H$5:$H$20,0)),0)</f>
        <v>54</v>
      </c>
      <c r="E23" s="17" t="n">
        <f aca="false">IFERROR(INDEX('Weekly Calc'!$M$5:$M$20,MATCH(('Weekly Calc'!$H$3-21),'Weekly Calc'!$H$5:$H$20,0)),0)</f>
        <v>107.348148148148</v>
      </c>
      <c r="F23" s="18" t="n">
        <f aca="false">IFERROR(IF(INDEX('Weekly Calc'!$N$5:$N$20,MATCH(('Weekly Calc'!$H$3-21),'Weekly Calc'!$H$5:$H$20,0))="","",INDEX('Weekly Calc'!$N$5:$N$20,MATCH(('Weekly Calc'!$H$3-21),'Weekly Calc'!$H$5:$H$20,0))),"")</f>
        <v>0.0869475539554856</v>
      </c>
    </row>
    <row r="24" customFormat="false" ht="15" hidden="false" customHeight="false" outlineLevel="0" collapsed="false">
      <c r="B24" s="19" t="n">
        <f aca="false">('Weekly Calc'!$H$3-14)</f>
        <v>46223</v>
      </c>
      <c r="C24" s="20" t="n">
        <f aca="false">IFERROR(INDEX('Weekly Calc'!$I$5:$I$20,MATCH(('Weekly Calc'!$H$3-14),'Weekly Calc'!$H$5:$H$20,0)),0)</f>
        <v>3991.3</v>
      </c>
      <c r="D24" s="21" t="n">
        <f aca="false">IFERROR(INDEX('Weekly Calc'!$J$5:$J$20,MATCH(('Weekly Calc'!$H$3-14),'Weekly Calc'!$H$5:$H$20,0)),0)</f>
        <v>46</v>
      </c>
      <c r="E24" s="22" t="n">
        <f aca="false">IFERROR(INDEX('Weekly Calc'!$M$5:$M$20,MATCH(('Weekly Calc'!$H$3-14),'Weekly Calc'!$H$5:$H$20,0)),0)</f>
        <v>86.7673913043478</v>
      </c>
      <c r="F24" s="23" t="n">
        <f aca="false">IFERROR(IF(INDEX('Weekly Calc'!$N$5:$N$20,MATCH(('Weekly Calc'!$H$3-14),'Weekly Calc'!$H$5:$H$20,0))="","",INDEX('Weekly Calc'!$N$5:$N$20,MATCH(('Weekly Calc'!$H$3-14),'Weekly Calc'!$H$5:$H$20,0))),"")</f>
        <v>-0.311464946177201</v>
      </c>
    </row>
    <row r="25" customFormat="false" ht="15" hidden="false" customHeight="false" outlineLevel="0" collapsed="false">
      <c r="B25" s="14" t="n">
        <f aca="false">('Weekly Calc'!$H$3-7)</f>
        <v>46230</v>
      </c>
      <c r="C25" s="15" t="n">
        <f aca="false">IFERROR(INDEX('Weekly Calc'!$I$5:$I$20,MATCH(('Weekly Calc'!$H$3-7),'Weekly Calc'!$H$5:$H$20,0)),0)</f>
        <v>5212.1</v>
      </c>
      <c r="D25" s="16" t="n">
        <f aca="false">IFERROR(INDEX('Weekly Calc'!$J$5:$J$20,MATCH(('Weekly Calc'!$H$3-7),'Weekly Calc'!$H$5:$H$20,0)),0)</f>
        <v>48</v>
      </c>
      <c r="E25" s="17" t="n">
        <f aca="false">IFERROR(INDEX('Weekly Calc'!$M$5:$M$20,MATCH(('Weekly Calc'!$H$3-7),'Weekly Calc'!$H$5:$H$20,0)),0)</f>
        <v>108.585416666667</v>
      </c>
      <c r="F25" s="18" t="n">
        <f aca="false">IFERROR(IF(INDEX('Weekly Calc'!$N$5:$N$20,MATCH(('Weekly Calc'!$H$3-7),'Weekly Calc'!$H$5:$H$20,0))="","",INDEX('Weekly Calc'!$N$5:$N$20,MATCH(('Weekly Calc'!$H$3-7),'Weekly Calc'!$H$5:$H$20,0))),"")</f>
        <v>0.305865256933831</v>
      </c>
    </row>
    <row r="26" customFormat="false" ht="15" hidden="false" customHeight="false" outlineLevel="0" collapsed="false">
      <c r="B26" s="19" t="n">
        <f aca="false">('Weekly Calc'!$H$3-0)</f>
        <v>46237</v>
      </c>
      <c r="C26" s="20" t="n">
        <f aca="false">IFERROR(INDEX('Weekly Calc'!$I$5:$I$20,MATCH(('Weekly Calc'!$H$3-0),'Weekly Calc'!$H$5:$H$20,0)),0)</f>
        <v>6840.05</v>
      </c>
      <c r="D26" s="21" t="n">
        <f aca="false">IFERROR(INDEX('Weekly Calc'!$J$5:$J$20,MATCH(('Weekly Calc'!$H$3-0),'Weekly Calc'!$H$5:$H$20,0)),0)</f>
        <v>63</v>
      </c>
      <c r="E26" s="22" t="n">
        <f aca="false">IFERROR(INDEX('Weekly Calc'!$M$5:$M$20,MATCH(('Weekly Calc'!$H$3-0),'Weekly Calc'!$H$5:$H$20,0)),0)</f>
        <v>108.572222222222</v>
      </c>
      <c r="F26" s="23" t="n">
        <f aca="false">IFERROR(IF(INDEX('Weekly Calc'!$N$5:$N$20,MATCH(('Weekly Calc'!$H$3-0),'Weekly Calc'!$H$5:$H$20,0))="","",INDEX('Weekly Calc'!$N$5:$N$20,MATCH(('Weekly Calc'!$H$3-0),'Weekly Calc'!$H$5:$H$20,0))),"")</f>
        <v>0.312340515339307</v>
      </c>
    </row>
    <row r="28" customFormat="false" ht="15" hidden="false" customHeight="false" outlineLevel="0" collapsed="false">
      <c r="B28" s="12" t="s">
        <v>18</v>
      </c>
      <c r="F28" s="12" t="s">
        <v>19</v>
      </c>
    </row>
    <row r="29" customFormat="false" ht="19.5" hidden="false" customHeight="true" outlineLevel="0" collapsed="false">
      <c r="B29" s="13" t="s">
        <v>20</v>
      </c>
      <c r="C29" s="13" t="s">
        <v>14</v>
      </c>
      <c r="D29" s="13" t="s">
        <v>21</v>
      </c>
      <c r="F29" s="13" t="s">
        <v>22</v>
      </c>
      <c r="G29" s="13" t="s">
        <v>14</v>
      </c>
      <c r="H29" s="13" t="s">
        <v>23</v>
      </c>
    </row>
    <row r="30" customFormat="false" ht="15" hidden="false" customHeight="false" outlineLevel="0" collapsed="false">
      <c r="B30" s="24" t="str">
        <f aca="false">IFERROR(INDEX('Weekly Calc'!$P$5:$P$15,MATCH(LARGE('Weekly Calc'!$Q$5:$Q$15,1),'Weekly Calc'!$Q$5:$Q$15,0)),"")</f>
        <v>Linen Bedding Set</v>
      </c>
      <c r="C30" s="15" t="n">
        <f aca="false">IFERROR(LARGE('Weekly Calc'!$Q$5:$Q$15,1),"")</f>
        <v>2006.95</v>
      </c>
      <c r="D30" s="16" t="n">
        <f aca="false">IFERROR(INDEX('Weekly Calc'!$R$5:$R$15,MATCH(LARGE('Weekly Calc'!$Q$5:$Q$15,1),'Weekly Calc'!$Q$5:$Q$15,0)),"")</f>
        <v>24</v>
      </c>
      <c r="F30" s="24" t="str">
        <f aca="false">'Weekly Calc'!T5</f>
        <v>Amazon</v>
      </c>
      <c r="G30" s="15" t="n">
        <f aca="false">'Weekly Calc'!U5</f>
        <v>779.15</v>
      </c>
      <c r="H30" s="25" t="n">
        <f aca="false">IFERROR(G30/SUM($G$30:$G$34),0)</f>
        <v>0.113909986038114</v>
      </c>
    </row>
    <row r="31" customFormat="false" ht="15" hidden="false" customHeight="false" outlineLevel="0" collapsed="false">
      <c r="B31" s="26" t="str">
        <f aca="false">IFERROR(INDEX('Weekly Calc'!$P$5:$P$15,MATCH(LARGE('Weekly Calc'!$Q$5:$Q$15,2),'Weekly Calc'!$Q$5:$Q$15,0)),"")</f>
        <v>Weighted Blanket 7kg</v>
      </c>
      <c r="C31" s="20" t="n">
        <f aca="false">IFERROR(LARGE('Weekly Calc'!$Q$5:$Q$15,2),"")</f>
        <v>1587</v>
      </c>
      <c r="D31" s="21" t="n">
        <f aca="false">IFERROR(INDEX('Weekly Calc'!$R$5:$R$15,MATCH(LARGE('Weekly Calc'!$Q$5:$Q$15,2),'Weekly Calc'!$Q$5:$Q$15,0)),"")</f>
        <v>24</v>
      </c>
      <c r="F31" s="26" t="str">
        <f aca="false">'Weekly Calc'!T6</f>
        <v>Etsy</v>
      </c>
      <c r="G31" s="20" t="n">
        <f aca="false">'Weekly Calc'!U6</f>
        <v>418</v>
      </c>
      <c r="H31" s="27" t="n">
        <f aca="false">IFERROR(G31/SUM($G$30:$G$34),0)</f>
        <v>0.0611106643957281</v>
      </c>
    </row>
    <row r="32" customFormat="false" ht="15" hidden="false" customHeight="false" outlineLevel="0" collapsed="false">
      <c r="B32" s="24" t="str">
        <f aca="false">IFERROR(INDEX('Weekly Calc'!$P$5:$P$15,MATCH(LARGE('Weekly Calc'!$Q$5:$Q$15,3),'Weekly Calc'!$Q$5:$Q$15,0)),"")</f>
        <v>Bamboo Pillow Pair</v>
      </c>
      <c r="C32" s="15" t="n">
        <f aca="false">IFERROR(LARGE('Weekly Calc'!$Q$5:$Q$15,3),"")</f>
        <v>702</v>
      </c>
      <c r="D32" s="16" t="n">
        <f aca="false">IFERROR(INDEX('Weekly Calc'!$R$5:$R$15,MATCH(LARGE('Weekly Calc'!$Q$5:$Q$15,3),'Weekly Calc'!$Q$5:$Q$15,0)),"")</f>
        <v>20</v>
      </c>
      <c r="F32" s="24" t="str">
        <f aca="false">'Weekly Calc'!T7</f>
        <v>Instagram</v>
      </c>
      <c r="G32" s="15" t="n">
        <f aca="false">'Weekly Calc'!U7</f>
        <v>1169.1</v>
      </c>
      <c r="H32" s="25" t="n">
        <f aca="false">IFERROR(G32/SUM($G$30:$G$34),0)</f>
        <v>0.170919803217813</v>
      </c>
    </row>
    <row r="33" customFormat="false" ht="15" hidden="false" customHeight="false" outlineLevel="0" collapsed="false">
      <c r="B33" s="26" t="str">
        <f aca="false">IFERROR(INDEX('Weekly Calc'!$P$5:$P$15,MATCH(LARGE('Weekly Calc'!$Q$5:$Q$15,4),'Weekly Calc'!$Q$5:$Q$15,0)),"")</f>
        <v>Mattress Protector</v>
      </c>
      <c r="C33" s="20" t="n">
        <f aca="false">IFERROR(LARGE('Weekly Calc'!$Q$5:$Q$15,4),"")</f>
        <v>619.5</v>
      </c>
      <c r="D33" s="21" t="n">
        <f aca="false">IFERROR(INDEX('Weekly Calc'!$R$5:$R$15,MATCH(LARGE('Weekly Calc'!$Q$5:$Q$15,4),'Weekly Calc'!$Q$5:$Q$15,0)),"")</f>
        <v>19</v>
      </c>
      <c r="F33" s="26" t="str">
        <f aca="false">'Weekly Calc'!T8</f>
        <v>Website</v>
      </c>
      <c r="G33" s="20" t="n">
        <f aca="false">'Weekly Calc'!U8</f>
        <v>4201.9</v>
      </c>
      <c r="H33" s="27" t="n">
        <f aca="false">IFERROR(G33/SUM($G$30:$G$34),0)</f>
        <v>0.61430837493878</v>
      </c>
    </row>
    <row r="34" customFormat="false" ht="15" hidden="false" customHeight="false" outlineLevel="0" collapsed="false">
      <c r="B34" s="24" t="str">
        <f aca="false">IFERROR(INDEX('Weekly Calc'!$P$5:$P$15,MATCH(LARGE('Weekly Calc'!$Q$5:$Q$15,5),'Weekly Calc'!$Q$5:$Q$15,0)),"")</f>
        <v>Cotton Waffle Throw</v>
      </c>
      <c r="C34" s="15" t="n">
        <f aca="false">IFERROR(LARGE('Weekly Calc'!$Q$5:$Q$15,5),"")</f>
        <v>585</v>
      </c>
      <c r="D34" s="16" t="n">
        <f aca="false">IFERROR(INDEX('Weekly Calc'!$R$5:$R$15,MATCH(LARGE('Weekly Calc'!$Q$5:$Q$15,5),'Weekly Calc'!$Q$5:$Q$15,0)),"")</f>
        <v>14</v>
      </c>
      <c r="F34" s="24" t="str">
        <f aca="false">'Weekly Calc'!T9</f>
        <v>Wholesale</v>
      </c>
      <c r="G34" s="15" t="n">
        <f aca="false">'Weekly Calc'!U9</f>
        <v>271.9</v>
      </c>
      <c r="H34" s="25" t="n">
        <f aca="false">IFERROR(G34/SUM($G$30:$G$34),0)</f>
        <v>0.0397511714095657</v>
      </c>
    </row>
    <row r="35" customFormat="false" ht="15" hidden="false" customHeight="false" outlineLevel="0" collapsed="false">
      <c r="B35" s="26" t="str">
        <f aca="false">IFERROR(INDEX('Weekly Calc'!$P$5:$P$15,MATCH(LARGE('Weekly Calc'!$Q$5:$Q$15,6),'Weekly Calc'!$Q$5:$Q$15,0)),"")</f>
        <v>Fitted Sheet Single</v>
      </c>
      <c r="C35" s="20" t="n">
        <f aca="false">IFERROR(LARGE('Weekly Calc'!$Q$5:$Q$15,6),"")</f>
        <v>326.7</v>
      </c>
      <c r="D35" s="21" t="n">
        <f aca="false">IFERROR(INDEX('Weekly Calc'!$R$5:$R$15,MATCH(LARGE('Weekly Calc'!$Q$5:$Q$15,6),'Weekly Calc'!$Q$5:$Q$15,0)),"")</f>
        <v>17</v>
      </c>
    </row>
    <row r="36" customFormat="false" ht="15" hidden="false" customHeight="false" outlineLevel="0" collapsed="false">
      <c r="B36" s="24" t="str">
        <f aca="false">IFERROR(INDEX('Weekly Calc'!$P$5:$P$15,MATCH(LARGE('Weekly Calc'!$Q$5:$Q$15,7),'Weekly Calc'!$Q$5:$Q$15,0)),"")</f>
        <v>Duvet Inner 10.5 tog</v>
      </c>
      <c r="C36" s="15" t="n">
        <f aca="false">IFERROR(LARGE('Weekly Calc'!$Q$5:$Q$15,7),"")</f>
        <v>300</v>
      </c>
      <c r="D36" s="16" t="n">
        <f aca="false">IFERROR(INDEX('Weekly Calc'!$R$5:$R$15,MATCH(LARGE('Weekly Calc'!$Q$5:$Q$15,7),'Weekly Calc'!$Q$5:$Q$15,0)),"")</f>
        <v>4</v>
      </c>
    </row>
    <row r="37" customFormat="false" ht="15" hidden="false" customHeight="false" outlineLevel="0" collapsed="false">
      <c r="B37" s="26" t="str">
        <f aca="false">IFERROR(INDEX('Weekly Calc'!$P$5:$P$15,MATCH(LARGE('Weekly Calc'!$Q$5:$Q$15,8),'Weekly Calc'!$Q$5:$Q$15,0)),"")</f>
        <v>Silk Pillowcase</v>
      </c>
      <c r="C37" s="20" t="n">
        <f aca="false">IFERROR(LARGE('Weekly Calc'!$Q$5:$Q$15,8),"")</f>
        <v>261</v>
      </c>
      <c r="D37" s="21" t="n">
        <f aca="false">IFERROR(INDEX('Weekly Calc'!$R$5:$R$15,MATCH(LARGE('Weekly Calc'!$Q$5:$Q$15,8),'Weekly Calc'!$Q$5:$Q$15,0)),"")</f>
        <v>9</v>
      </c>
    </row>
    <row r="40" customFormat="false" ht="15" hidden="false" customHeight="false" outlineLevel="0" collapsed="false">
      <c r="B40" s="12" t="s">
        <v>24</v>
      </c>
    </row>
    <row r="41" customFormat="false" ht="15" hidden="false" customHeight="false" outlineLevel="0" collapsed="false">
      <c r="B41" s="11" t="s">
        <v>25</v>
      </c>
    </row>
    <row r="42" customFormat="false" ht="15" hidden="false" customHeight="false" outlineLevel="0" collapsed="false">
      <c r="B42" s="28" t="s">
        <v>26</v>
      </c>
      <c r="C42" s="29" t="n">
        <f aca="false">INDEX('Weekly Calc'!$L$5:$L$20,MATCH('Weekly Calc'!$H$3,'Weekly Calc'!$H$5:$H$20,0))</f>
        <v>-386</v>
      </c>
    </row>
    <row r="43" customFormat="false" ht="15" hidden="false" customHeight="false" outlineLevel="0" collapsed="false">
      <c r="B43" s="28" t="s">
        <v>27</v>
      </c>
      <c r="C43" s="29" t="n">
        <f aca="false">SUMIFS('Raw Orders'!$G$2:$G$1836,'Raw Orders'!$C$2:$C$1836,"Shipping")</f>
        <v>2031.45</v>
      </c>
    </row>
    <row r="44" customFormat="false" ht="15" hidden="false" customHeight="false" outlineLevel="0" collapsed="false">
      <c r="B44" s="28" t="s">
        <v>28</v>
      </c>
      <c r="C44" s="29" t="n">
        <f aca="false">SUMIFS('Raw Orders'!$G$2:$G$1836,'Raw Orders'!$C$2:$C$1836,"Discount")</f>
        <v>-975</v>
      </c>
    </row>
    <row r="45" customFormat="false" ht="15" hidden="false" customHeight="false" outlineLevel="0" collapsed="false">
      <c r="B45" s="28" t="s">
        <v>29</v>
      </c>
      <c r="C45" s="30" t="n">
        <f aca="false">COUNTIFS('Raw Orders'!$K$2:$K$1836,"Cancelled")</f>
        <v>36</v>
      </c>
    </row>
    <row r="46" customFormat="false" ht="15" hidden="false" customHeight="false" outlineLevel="0" collapsed="false">
      <c r="B46" s="28" t="s">
        <v>30</v>
      </c>
      <c r="C46" s="30" t="n">
        <f aca="false">COUNTIFS('Raw Orders'!$J$2:$J$1836,"",'Raw Orders'!$C$2:$C$1836,"Product")</f>
        <v>138</v>
      </c>
    </row>
    <row r="49" customFormat="false" ht="15" hidden="false" customHeight="false" outlineLevel="0" collapsed="false">
      <c r="B49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27"/>
    <col collapsed="false" customWidth="true" hidden="false" outlineLevel="0" max="5" min="5" style="0" width="6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7"/>
    <col collapsed="false" customWidth="true" hidden="false" outlineLevel="0" max="11" min="11" style="0" width="11"/>
  </cols>
  <sheetData>
    <row r="1" customFormat="false" ht="19.5" hidden="false" customHeight="true" outlineLevel="0" collapsed="false">
      <c r="A1" s="13" t="s">
        <v>32</v>
      </c>
      <c r="B1" s="13" t="s">
        <v>33</v>
      </c>
      <c r="C1" s="13" t="s">
        <v>34</v>
      </c>
      <c r="D1" s="13" t="s">
        <v>35</v>
      </c>
      <c r="E1" s="13" t="s">
        <v>36</v>
      </c>
      <c r="F1" s="13" t="s">
        <v>37</v>
      </c>
      <c r="G1" s="13" t="s">
        <v>38</v>
      </c>
      <c r="H1" s="13" t="s">
        <v>22</v>
      </c>
      <c r="I1" s="13" t="s">
        <v>39</v>
      </c>
      <c r="J1" s="13" t="s">
        <v>40</v>
      </c>
      <c r="K1" s="13" t="s">
        <v>41</v>
      </c>
    </row>
    <row r="2" customFormat="false" ht="15" hidden="false" customHeight="false" outlineLevel="0" collapsed="false">
      <c r="A2" s="31" t="s">
        <v>42</v>
      </c>
      <c r="B2" s="31" t="s">
        <v>43</v>
      </c>
      <c r="C2" s="31" t="s">
        <v>44</v>
      </c>
      <c r="D2" s="31" t="s">
        <v>44</v>
      </c>
      <c r="E2" s="31" t="n">
        <v>1</v>
      </c>
      <c r="F2" s="32" t="n">
        <v>3.95</v>
      </c>
      <c r="G2" s="32" t="n">
        <v>3.95</v>
      </c>
      <c r="H2" s="31" t="s">
        <v>45</v>
      </c>
      <c r="I2" s="31" t="s">
        <v>46</v>
      </c>
      <c r="J2" s="31" t="s">
        <v>47</v>
      </c>
      <c r="K2" s="31" t="s">
        <v>48</v>
      </c>
    </row>
    <row r="3" customFormat="false" ht="15" hidden="false" customHeight="false" outlineLevel="0" collapsed="false">
      <c r="A3" s="31" t="s">
        <v>42</v>
      </c>
      <c r="B3" s="31" t="s">
        <v>49</v>
      </c>
      <c r="C3" s="31" t="s">
        <v>50</v>
      </c>
      <c r="D3" s="31" t="s">
        <v>51</v>
      </c>
      <c r="E3" s="31" t="n">
        <v>1</v>
      </c>
      <c r="F3" s="32" t="n">
        <v>-10</v>
      </c>
      <c r="G3" s="32" t="n">
        <v>-10</v>
      </c>
      <c r="H3" s="31" t="s">
        <v>45</v>
      </c>
      <c r="I3" s="31" t="s">
        <v>46</v>
      </c>
      <c r="J3" s="31" t="s">
        <v>47</v>
      </c>
      <c r="K3" s="31" t="s">
        <v>48</v>
      </c>
    </row>
    <row r="4" customFormat="false" ht="15" hidden="false" customHeight="false" outlineLevel="0" collapsed="false">
      <c r="A4" s="31" t="s">
        <v>42</v>
      </c>
      <c r="B4" s="31" t="s">
        <v>49</v>
      </c>
      <c r="C4" s="31" t="s">
        <v>20</v>
      </c>
      <c r="D4" s="31" t="s">
        <v>52</v>
      </c>
      <c r="E4" s="31" t="n">
        <v>1</v>
      </c>
      <c r="F4" s="32" t="n">
        <v>22</v>
      </c>
      <c r="G4" s="32" t="n">
        <v>22</v>
      </c>
      <c r="H4" s="31" t="s">
        <v>45</v>
      </c>
      <c r="I4" s="31" t="s">
        <v>46</v>
      </c>
      <c r="J4" s="31" t="s">
        <v>47</v>
      </c>
      <c r="K4" s="31" t="s">
        <v>48</v>
      </c>
    </row>
    <row r="5" customFormat="false" ht="15" hidden="false" customHeight="false" outlineLevel="0" collapsed="false">
      <c r="A5" s="31" t="s">
        <v>42</v>
      </c>
      <c r="B5" s="31" t="s">
        <v>49</v>
      </c>
      <c r="C5" s="31" t="s">
        <v>20</v>
      </c>
      <c r="D5" s="31" t="s">
        <v>53</v>
      </c>
      <c r="E5" s="31" t="n">
        <v>1</v>
      </c>
      <c r="F5" s="32" t="n">
        <v>39</v>
      </c>
      <c r="G5" s="32" t="n">
        <v>39</v>
      </c>
      <c r="H5" s="31" t="s">
        <v>45</v>
      </c>
      <c r="I5" s="31" t="s">
        <v>46</v>
      </c>
      <c r="J5" s="31" t="s">
        <v>47</v>
      </c>
      <c r="K5" s="31" t="s">
        <v>48</v>
      </c>
    </row>
    <row r="6" customFormat="false" ht="15" hidden="false" customHeight="false" outlineLevel="0" collapsed="false">
      <c r="A6" s="31" t="s">
        <v>54</v>
      </c>
      <c r="B6" s="31" t="s">
        <v>55</v>
      </c>
      <c r="C6" s="31" t="s">
        <v>20</v>
      </c>
      <c r="D6" s="31" t="s">
        <v>56</v>
      </c>
      <c r="E6" s="31" t="n">
        <v>2</v>
      </c>
      <c r="F6" s="32" t="n">
        <v>45</v>
      </c>
      <c r="G6" s="32" t="n">
        <v>90</v>
      </c>
      <c r="H6" s="31" t="s">
        <v>57</v>
      </c>
      <c r="I6" s="31" t="s">
        <v>58</v>
      </c>
      <c r="J6" s="31" t="s">
        <v>59</v>
      </c>
      <c r="K6" s="31" t="s">
        <v>48</v>
      </c>
    </row>
    <row r="7" customFormat="false" ht="15" hidden="false" customHeight="false" outlineLevel="0" collapsed="false">
      <c r="A7" s="31" t="s">
        <v>54</v>
      </c>
      <c r="B7" s="31" t="s">
        <v>60</v>
      </c>
      <c r="C7" s="31" t="s">
        <v>44</v>
      </c>
      <c r="D7" s="31" t="s">
        <v>44</v>
      </c>
      <c r="E7" s="31" t="n">
        <v>1</v>
      </c>
      <c r="F7" s="32" t="n">
        <v>5.95</v>
      </c>
      <c r="G7" s="32" t="n">
        <v>5.95</v>
      </c>
      <c r="H7" s="31" t="s">
        <v>57</v>
      </c>
      <c r="I7" s="31" t="s">
        <v>58</v>
      </c>
      <c r="J7" s="31" t="s">
        <v>59</v>
      </c>
      <c r="K7" s="31" t="s">
        <v>48</v>
      </c>
    </row>
    <row r="8" customFormat="false" ht="15" hidden="false" customHeight="false" outlineLevel="0" collapsed="false">
      <c r="A8" s="31" t="s">
        <v>61</v>
      </c>
      <c r="B8" s="31" t="s">
        <v>62</v>
      </c>
      <c r="C8" s="31" t="s">
        <v>20</v>
      </c>
      <c r="D8" s="31" t="s">
        <v>63</v>
      </c>
      <c r="E8" s="31" t="n">
        <v>1</v>
      </c>
      <c r="F8" s="32" t="n">
        <v>14</v>
      </c>
      <c r="G8" s="32" t="n">
        <v>14</v>
      </c>
      <c r="H8" s="31" t="s">
        <v>57</v>
      </c>
      <c r="I8" s="31" t="s">
        <v>58</v>
      </c>
      <c r="J8" s="31"/>
      <c r="K8" s="31" t="s">
        <v>48</v>
      </c>
    </row>
    <row r="9" customFormat="false" ht="15" hidden="false" customHeight="false" outlineLevel="0" collapsed="false">
      <c r="A9" s="31" t="s">
        <v>61</v>
      </c>
      <c r="B9" s="31" t="s">
        <v>62</v>
      </c>
      <c r="C9" s="31" t="s">
        <v>44</v>
      </c>
      <c r="D9" s="31" t="s">
        <v>44</v>
      </c>
      <c r="E9" s="31" t="n">
        <v>1</v>
      </c>
      <c r="F9" s="32" t="n">
        <v>4.95</v>
      </c>
      <c r="G9" s="32" t="n">
        <v>4.95</v>
      </c>
      <c r="H9" s="31" t="s">
        <v>57</v>
      </c>
      <c r="I9" s="31" t="s">
        <v>58</v>
      </c>
      <c r="J9" s="31"/>
      <c r="K9" s="31" t="s">
        <v>48</v>
      </c>
    </row>
    <row r="10" customFormat="false" ht="15" hidden="false" customHeight="false" outlineLevel="0" collapsed="false">
      <c r="A10" s="31" t="s">
        <v>64</v>
      </c>
      <c r="B10" s="31" t="s">
        <v>65</v>
      </c>
      <c r="C10" s="31" t="s">
        <v>20</v>
      </c>
      <c r="D10" s="31" t="s">
        <v>66</v>
      </c>
      <c r="E10" s="31" t="n">
        <v>3</v>
      </c>
      <c r="F10" s="32" t="n">
        <v>32</v>
      </c>
      <c r="G10" s="32" t="n">
        <v>96</v>
      </c>
      <c r="H10" s="31" t="s">
        <v>45</v>
      </c>
      <c r="I10" s="31" t="s">
        <v>58</v>
      </c>
      <c r="J10" s="31" t="s">
        <v>67</v>
      </c>
      <c r="K10" s="31" t="s">
        <v>48</v>
      </c>
    </row>
    <row r="11" customFormat="false" ht="15" hidden="false" customHeight="false" outlineLevel="0" collapsed="false">
      <c r="A11" s="31" t="s">
        <v>64</v>
      </c>
      <c r="B11" s="31" t="s">
        <v>65</v>
      </c>
      <c r="C11" s="31" t="s">
        <v>44</v>
      </c>
      <c r="D11" s="31" t="s">
        <v>44</v>
      </c>
      <c r="E11" s="31" t="n">
        <v>1</v>
      </c>
      <c r="F11" s="32" t="n">
        <v>4.95</v>
      </c>
      <c r="G11" s="32" t="n">
        <v>4.95</v>
      </c>
      <c r="H11" s="31" t="s">
        <v>45</v>
      </c>
      <c r="I11" s="31" t="s">
        <v>58</v>
      </c>
      <c r="J11" s="31" t="s">
        <v>67</v>
      </c>
      <c r="K11" s="31" t="s">
        <v>48</v>
      </c>
    </row>
    <row r="12" customFormat="false" ht="15" hidden="false" customHeight="false" outlineLevel="0" collapsed="false">
      <c r="A12" s="31" t="s">
        <v>64</v>
      </c>
      <c r="B12" s="31" t="s">
        <v>68</v>
      </c>
      <c r="C12" s="31" t="s">
        <v>20</v>
      </c>
      <c r="D12" s="31" t="s">
        <v>69</v>
      </c>
      <c r="E12" s="31" t="n">
        <v>1</v>
      </c>
      <c r="F12" s="32" t="n">
        <v>29</v>
      </c>
      <c r="G12" s="32" t="n">
        <v>29</v>
      </c>
      <c r="H12" s="31" t="s">
        <v>45</v>
      </c>
      <c r="I12" s="31" t="s">
        <v>58</v>
      </c>
      <c r="J12" s="31" t="s">
        <v>67</v>
      </c>
      <c r="K12" s="31" t="s">
        <v>48</v>
      </c>
    </row>
    <row r="13" customFormat="false" ht="15" hidden="false" customHeight="false" outlineLevel="0" collapsed="false">
      <c r="A13" s="31" t="s">
        <v>64</v>
      </c>
      <c r="B13" s="31" t="s">
        <v>65</v>
      </c>
      <c r="C13" s="31" t="s">
        <v>20</v>
      </c>
      <c r="D13" s="31" t="s">
        <v>52</v>
      </c>
      <c r="E13" s="31" t="n">
        <v>1</v>
      </c>
      <c r="F13" s="32" t="n">
        <v>22</v>
      </c>
      <c r="G13" s="32" t="n">
        <v>22</v>
      </c>
      <c r="H13" s="31" t="s">
        <v>45</v>
      </c>
      <c r="I13" s="31" t="s">
        <v>58</v>
      </c>
      <c r="J13" s="31" t="s">
        <v>67</v>
      </c>
      <c r="K13" s="31" t="s">
        <v>48</v>
      </c>
    </row>
    <row r="14" customFormat="false" ht="15" hidden="false" customHeight="false" outlineLevel="0" collapsed="false">
      <c r="A14" s="31" t="s">
        <v>70</v>
      </c>
      <c r="B14" s="31" t="s">
        <v>71</v>
      </c>
      <c r="C14" s="31" t="s">
        <v>20</v>
      </c>
      <c r="D14" s="31" t="s">
        <v>52</v>
      </c>
      <c r="E14" s="31" t="n">
        <v>1</v>
      </c>
      <c r="F14" s="32" t="n">
        <v>22</v>
      </c>
      <c r="G14" s="32" t="n">
        <v>22</v>
      </c>
      <c r="H14" s="31" t="s">
        <v>45</v>
      </c>
      <c r="I14" s="31" t="s">
        <v>58</v>
      </c>
      <c r="J14" s="31" t="s">
        <v>72</v>
      </c>
      <c r="K14" s="31" t="s">
        <v>48</v>
      </c>
    </row>
    <row r="15" customFormat="false" ht="15" hidden="false" customHeight="false" outlineLevel="0" collapsed="false">
      <c r="A15" s="31" t="s">
        <v>70</v>
      </c>
      <c r="B15" s="31" t="s">
        <v>71</v>
      </c>
      <c r="C15" s="31" t="s">
        <v>20</v>
      </c>
      <c r="D15" s="31" t="s">
        <v>73</v>
      </c>
      <c r="E15" s="31" t="n">
        <v>1</v>
      </c>
      <c r="F15" s="32" t="n">
        <v>55.2</v>
      </c>
      <c r="G15" s="32" t="n">
        <v>55.2</v>
      </c>
      <c r="H15" s="31" t="s">
        <v>45</v>
      </c>
      <c r="I15" s="31" t="s">
        <v>58</v>
      </c>
      <c r="J15" s="31" t="s">
        <v>72</v>
      </c>
      <c r="K15" s="31" t="s">
        <v>48</v>
      </c>
    </row>
    <row r="16" customFormat="false" ht="15" hidden="false" customHeight="false" outlineLevel="0" collapsed="false">
      <c r="A16" s="31" t="s">
        <v>70</v>
      </c>
      <c r="B16" s="31" t="s">
        <v>71</v>
      </c>
      <c r="C16" s="31" t="s">
        <v>44</v>
      </c>
      <c r="D16" s="31" t="s">
        <v>44</v>
      </c>
      <c r="E16" s="31" t="n">
        <v>1</v>
      </c>
      <c r="F16" s="32" t="n">
        <v>5.95</v>
      </c>
      <c r="G16" s="32" t="n">
        <v>5.95</v>
      </c>
      <c r="H16" s="31" t="s">
        <v>45</v>
      </c>
      <c r="I16" s="31" t="s">
        <v>58</v>
      </c>
      <c r="J16" s="31" t="s">
        <v>72</v>
      </c>
      <c r="K16" s="31" t="s">
        <v>48</v>
      </c>
    </row>
    <row r="17" customFormat="false" ht="15" hidden="false" customHeight="false" outlineLevel="0" collapsed="false">
      <c r="A17" s="31" t="s">
        <v>70</v>
      </c>
      <c r="B17" s="31" t="s">
        <v>74</v>
      </c>
      <c r="C17" s="31" t="s">
        <v>20</v>
      </c>
      <c r="D17" s="31" t="s">
        <v>53</v>
      </c>
      <c r="E17" s="31" t="n">
        <v>1</v>
      </c>
      <c r="F17" s="32" t="n">
        <v>39</v>
      </c>
      <c r="G17" s="32" t="n">
        <v>39</v>
      </c>
      <c r="H17" s="31" t="s">
        <v>45</v>
      </c>
      <c r="I17" s="31" t="s">
        <v>58</v>
      </c>
      <c r="J17" s="31" t="s">
        <v>72</v>
      </c>
      <c r="K17" s="31" t="s">
        <v>48</v>
      </c>
    </row>
    <row r="18" customFormat="false" ht="15" hidden="false" customHeight="false" outlineLevel="0" collapsed="false">
      <c r="A18" s="31" t="s">
        <v>75</v>
      </c>
      <c r="B18" s="31" t="s">
        <v>76</v>
      </c>
      <c r="C18" s="31" t="s">
        <v>50</v>
      </c>
      <c r="D18" s="31" t="s">
        <v>51</v>
      </c>
      <c r="E18" s="31" t="n">
        <v>1</v>
      </c>
      <c r="F18" s="32" t="n">
        <v>-10</v>
      </c>
      <c r="G18" s="32" t="n">
        <v>-10</v>
      </c>
      <c r="H18" s="31" t="s">
        <v>45</v>
      </c>
      <c r="I18" s="31" t="s">
        <v>58</v>
      </c>
      <c r="J18" s="31" t="s">
        <v>77</v>
      </c>
      <c r="K18" s="31" t="s">
        <v>48</v>
      </c>
    </row>
    <row r="19" customFormat="false" ht="15" hidden="false" customHeight="false" outlineLevel="0" collapsed="false">
      <c r="A19" s="31" t="s">
        <v>75</v>
      </c>
      <c r="B19" s="31" t="s">
        <v>76</v>
      </c>
      <c r="C19" s="31" t="s">
        <v>20</v>
      </c>
      <c r="D19" s="31" t="s">
        <v>78</v>
      </c>
      <c r="E19" s="31" t="n">
        <v>1</v>
      </c>
      <c r="F19" s="32" t="n">
        <v>89</v>
      </c>
      <c r="G19" s="32" t="n">
        <v>89</v>
      </c>
      <c r="H19" s="31" t="s">
        <v>45</v>
      </c>
      <c r="I19" s="31" t="s">
        <v>58</v>
      </c>
      <c r="J19" s="31" t="s">
        <v>77</v>
      </c>
      <c r="K19" s="31" t="s">
        <v>48</v>
      </c>
    </row>
    <row r="20" customFormat="false" ht="15" hidden="false" customHeight="false" outlineLevel="0" collapsed="false">
      <c r="A20" s="31" t="s">
        <v>79</v>
      </c>
      <c r="B20" s="31" t="s">
        <v>80</v>
      </c>
      <c r="C20" s="31" t="s">
        <v>20</v>
      </c>
      <c r="D20" s="31" t="s">
        <v>78</v>
      </c>
      <c r="E20" s="31" t="n">
        <v>1</v>
      </c>
      <c r="F20" s="32" t="n">
        <v>89</v>
      </c>
      <c r="G20" s="32" t="n">
        <v>89</v>
      </c>
      <c r="H20" s="31" t="s">
        <v>45</v>
      </c>
      <c r="I20" s="31" t="s">
        <v>58</v>
      </c>
      <c r="J20" s="31" t="s">
        <v>81</v>
      </c>
      <c r="K20" s="31" t="s">
        <v>48</v>
      </c>
    </row>
    <row r="21" customFormat="false" ht="15" hidden="false" customHeight="false" outlineLevel="0" collapsed="false">
      <c r="A21" s="31" t="s">
        <v>79</v>
      </c>
      <c r="B21" s="31" t="s">
        <v>80</v>
      </c>
      <c r="C21" s="31" t="s">
        <v>44</v>
      </c>
      <c r="D21" s="31" t="s">
        <v>44</v>
      </c>
      <c r="E21" s="31" t="n">
        <v>1</v>
      </c>
      <c r="F21" s="32" t="n">
        <v>3.95</v>
      </c>
      <c r="G21" s="32" t="n">
        <v>3.95</v>
      </c>
      <c r="H21" s="31" t="s">
        <v>45</v>
      </c>
      <c r="I21" s="31" t="s">
        <v>58</v>
      </c>
      <c r="J21" s="31" t="s">
        <v>81</v>
      </c>
      <c r="K21" s="31" t="s">
        <v>48</v>
      </c>
    </row>
    <row r="22" customFormat="false" ht="15" hidden="false" customHeight="false" outlineLevel="0" collapsed="false">
      <c r="A22" s="31" t="s">
        <v>82</v>
      </c>
      <c r="B22" s="31" t="s">
        <v>83</v>
      </c>
      <c r="C22" s="31" t="s">
        <v>20</v>
      </c>
      <c r="D22" s="31" t="s">
        <v>78</v>
      </c>
      <c r="E22" s="31" t="n">
        <v>1</v>
      </c>
      <c r="F22" s="32" t="n">
        <v>89</v>
      </c>
      <c r="G22" s="32" t="n">
        <v>89</v>
      </c>
      <c r="H22" s="31" t="s">
        <v>57</v>
      </c>
      <c r="I22" s="31" t="s">
        <v>84</v>
      </c>
      <c r="J22" s="31" t="s">
        <v>85</v>
      </c>
      <c r="K22" s="31" t="s">
        <v>48</v>
      </c>
    </row>
    <row r="23" customFormat="false" ht="15" hidden="false" customHeight="false" outlineLevel="0" collapsed="false">
      <c r="A23" s="31" t="s">
        <v>82</v>
      </c>
      <c r="B23" s="31" t="s">
        <v>86</v>
      </c>
      <c r="C23" s="31" t="s">
        <v>20</v>
      </c>
      <c r="D23" s="31" t="s">
        <v>87</v>
      </c>
      <c r="E23" s="31" t="n">
        <v>1</v>
      </c>
      <c r="F23" s="32" t="n">
        <v>35</v>
      </c>
      <c r="G23" s="32" t="n">
        <v>35</v>
      </c>
      <c r="H23" s="31" t="s">
        <v>57</v>
      </c>
      <c r="I23" s="31" t="s">
        <v>84</v>
      </c>
      <c r="J23" s="31" t="s">
        <v>85</v>
      </c>
      <c r="K23" s="31" t="s">
        <v>48</v>
      </c>
    </row>
    <row r="24" customFormat="false" ht="15" hidden="false" customHeight="false" outlineLevel="0" collapsed="false">
      <c r="A24" s="31" t="s">
        <v>82</v>
      </c>
      <c r="B24" s="31" t="s">
        <v>86</v>
      </c>
      <c r="C24" s="31" t="s">
        <v>44</v>
      </c>
      <c r="D24" s="31" t="s">
        <v>44</v>
      </c>
      <c r="E24" s="31" t="n">
        <v>1</v>
      </c>
      <c r="F24" s="32" t="n">
        <v>4.95</v>
      </c>
      <c r="G24" s="32" t="n">
        <v>4.95</v>
      </c>
      <c r="H24" s="31" t="s">
        <v>57</v>
      </c>
      <c r="I24" s="31" t="s">
        <v>84</v>
      </c>
      <c r="J24" s="31" t="s">
        <v>85</v>
      </c>
      <c r="K24" s="31" t="s">
        <v>48</v>
      </c>
    </row>
    <row r="25" customFormat="false" ht="15" hidden="false" customHeight="false" outlineLevel="0" collapsed="false">
      <c r="A25" s="31" t="s">
        <v>88</v>
      </c>
      <c r="B25" s="31" t="s">
        <v>89</v>
      </c>
      <c r="C25" s="31" t="s">
        <v>44</v>
      </c>
      <c r="D25" s="31" t="s">
        <v>44</v>
      </c>
      <c r="E25" s="31" t="n">
        <v>1</v>
      </c>
      <c r="F25" s="32" t="n">
        <v>3.95</v>
      </c>
      <c r="G25" s="32" t="n">
        <v>3.95</v>
      </c>
      <c r="H25" s="31" t="s">
        <v>45</v>
      </c>
      <c r="I25" s="31" t="s">
        <v>58</v>
      </c>
      <c r="J25" s="31" t="s">
        <v>90</v>
      </c>
      <c r="K25" s="31" t="s">
        <v>48</v>
      </c>
    </row>
    <row r="26" customFormat="false" ht="15" hidden="false" customHeight="false" outlineLevel="0" collapsed="false">
      <c r="A26" s="31" t="s">
        <v>88</v>
      </c>
      <c r="B26" s="31" t="s">
        <v>89</v>
      </c>
      <c r="C26" s="31" t="s">
        <v>20</v>
      </c>
      <c r="D26" s="31" t="s">
        <v>87</v>
      </c>
      <c r="E26" s="31" t="n">
        <v>2</v>
      </c>
      <c r="F26" s="32" t="n">
        <v>35</v>
      </c>
      <c r="G26" s="32" t="n">
        <v>70</v>
      </c>
      <c r="H26" s="31" t="s">
        <v>45</v>
      </c>
      <c r="I26" s="31" t="s">
        <v>58</v>
      </c>
      <c r="J26" s="31" t="s">
        <v>90</v>
      </c>
      <c r="K26" s="31" t="s">
        <v>48</v>
      </c>
    </row>
    <row r="27" customFormat="false" ht="15" hidden="false" customHeight="false" outlineLevel="0" collapsed="false">
      <c r="A27" s="31" t="s">
        <v>88</v>
      </c>
      <c r="B27" s="31" t="s">
        <v>91</v>
      </c>
      <c r="C27" s="31" t="s">
        <v>20</v>
      </c>
      <c r="D27" s="31" t="s">
        <v>87</v>
      </c>
      <c r="E27" s="31" t="n">
        <v>2</v>
      </c>
      <c r="F27" s="32" t="n">
        <v>35</v>
      </c>
      <c r="G27" s="32" t="n">
        <v>70</v>
      </c>
      <c r="H27" s="31" t="s">
        <v>45</v>
      </c>
      <c r="I27" s="31" t="s">
        <v>58</v>
      </c>
      <c r="J27" s="31" t="s">
        <v>90</v>
      </c>
      <c r="K27" s="31" t="s">
        <v>48</v>
      </c>
    </row>
    <row r="28" customFormat="false" ht="15" hidden="false" customHeight="false" outlineLevel="0" collapsed="false">
      <c r="A28" s="31" t="s">
        <v>92</v>
      </c>
      <c r="B28" s="31" t="s">
        <v>93</v>
      </c>
      <c r="C28" s="31" t="s">
        <v>44</v>
      </c>
      <c r="D28" s="31" t="s">
        <v>44</v>
      </c>
      <c r="E28" s="31" t="n">
        <v>1</v>
      </c>
      <c r="F28" s="32" t="n">
        <v>5.95</v>
      </c>
      <c r="G28" s="32" t="n">
        <v>5.95</v>
      </c>
      <c r="H28" s="31" t="s">
        <v>45</v>
      </c>
      <c r="I28" s="31" t="s">
        <v>58</v>
      </c>
      <c r="J28" s="31" t="s">
        <v>94</v>
      </c>
      <c r="K28" s="31" t="s">
        <v>48</v>
      </c>
    </row>
    <row r="29" customFormat="false" ht="15" hidden="false" customHeight="false" outlineLevel="0" collapsed="false">
      <c r="A29" s="31" t="s">
        <v>92</v>
      </c>
      <c r="B29" s="31" t="s">
        <v>93</v>
      </c>
      <c r="C29" s="31" t="s">
        <v>20</v>
      </c>
      <c r="D29" s="31" t="s">
        <v>87</v>
      </c>
      <c r="E29" s="31" t="n">
        <v>3</v>
      </c>
      <c r="F29" s="32" t="n">
        <v>35</v>
      </c>
      <c r="G29" s="32" t="n">
        <v>105</v>
      </c>
      <c r="H29" s="31" t="s">
        <v>45</v>
      </c>
      <c r="I29" s="31" t="s">
        <v>58</v>
      </c>
      <c r="J29" s="31" t="s">
        <v>94</v>
      </c>
      <c r="K29" s="31" t="s">
        <v>48</v>
      </c>
    </row>
    <row r="30" customFormat="false" ht="15" hidden="false" customHeight="false" outlineLevel="0" collapsed="false">
      <c r="A30" s="31" t="s">
        <v>92</v>
      </c>
      <c r="B30" s="31" t="s">
        <v>93</v>
      </c>
      <c r="C30" s="31" t="s">
        <v>20</v>
      </c>
      <c r="D30" s="31" t="s">
        <v>78</v>
      </c>
      <c r="E30" s="31" t="n">
        <v>1</v>
      </c>
      <c r="F30" s="32" t="n">
        <v>89</v>
      </c>
      <c r="G30" s="32" t="n">
        <v>89</v>
      </c>
      <c r="H30" s="31" t="s">
        <v>45</v>
      </c>
      <c r="I30" s="31" t="s">
        <v>58</v>
      </c>
      <c r="J30" s="31" t="s">
        <v>94</v>
      </c>
      <c r="K30" s="31" t="s">
        <v>48</v>
      </c>
    </row>
    <row r="31" customFormat="false" ht="15" hidden="false" customHeight="false" outlineLevel="0" collapsed="false">
      <c r="A31" s="31" t="s">
        <v>95</v>
      </c>
      <c r="B31" s="31" t="s">
        <v>96</v>
      </c>
      <c r="C31" s="31" t="s">
        <v>20</v>
      </c>
      <c r="D31" s="31" t="s">
        <v>69</v>
      </c>
      <c r="E31" s="31" t="n">
        <v>1</v>
      </c>
      <c r="F31" s="32" t="n">
        <v>29</v>
      </c>
      <c r="G31" s="32" t="n">
        <v>29</v>
      </c>
      <c r="H31" s="31" t="s">
        <v>45</v>
      </c>
      <c r="I31" s="31" t="s">
        <v>58</v>
      </c>
      <c r="J31" s="31" t="s">
        <v>97</v>
      </c>
      <c r="K31" s="31" t="s">
        <v>48</v>
      </c>
    </row>
    <row r="32" customFormat="false" ht="15" hidden="false" customHeight="false" outlineLevel="0" collapsed="false">
      <c r="A32" s="31" t="s">
        <v>98</v>
      </c>
      <c r="B32" s="31" t="s">
        <v>99</v>
      </c>
      <c r="C32" s="31" t="s">
        <v>44</v>
      </c>
      <c r="D32" s="31" t="s">
        <v>44</v>
      </c>
      <c r="E32" s="31" t="n">
        <v>1</v>
      </c>
      <c r="F32" s="32" t="n">
        <v>4.95</v>
      </c>
      <c r="G32" s="32" t="n">
        <v>4.95</v>
      </c>
      <c r="H32" s="31" t="s">
        <v>45</v>
      </c>
      <c r="I32" s="31" t="s">
        <v>58</v>
      </c>
      <c r="J32" s="31" t="s">
        <v>100</v>
      </c>
      <c r="K32" s="31" t="s">
        <v>48</v>
      </c>
    </row>
    <row r="33" customFormat="false" ht="15" hidden="false" customHeight="false" outlineLevel="0" collapsed="false">
      <c r="A33" s="31" t="s">
        <v>98</v>
      </c>
      <c r="B33" s="31" t="s">
        <v>101</v>
      </c>
      <c r="C33" s="31" t="s">
        <v>20</v>
      </c>
      <c r="D33" s="31" t="s">
        <v>53</v>
      </c>
      <c r="E33" s="31" t="n">
        <v>2</v>
      </c>
      <c r="F33" s="32" t="n">
        <v>39</v>
      </c>
      <c r="G33" s="32" t="n">
        <v>78</v>
      </c>
      <c r="H33" s="31" t="s">
        <v>45</v>
      </c>
      <c r="I33" s="31" t="s">
        <v>58</v>
      </c>
      <c r="J33" s="31" t="s">
        <v>100</v>
      </c>
      <c r="K33" s="31" t="s">
        <v>48</v>
      </c>
    </row>
    <row r="34" customFormat="false" ht="15" hidden="false" customHeight="false" outlineLevel="0" collapsed="false">
      <c r="A34" s="31" t="s">
        <v>98</v>
      </c>
      <c r="B34" s="31" t="s">
        <v>101</v>
      </c>
      <c r="C34" s="31" t="s">
        <v>20</v>
      </c>
      <c r="D34" s="31" t="s">
        <v>73</v>
      </c>
      <c r="E34" s="31" t="n">
        <v>2</v>
      </c>
      <c r="F34" s="32" t="n">
        <v>69</v>
      </c>
      <c r="G34" s="32" t="n">
        <v>138</v>
      </c>
      <c r="H34" s="31" t="s">
        <v>45</v>
      </c>
      <c r="I34" s="31" t="s">
        <v>58</v>
      </c>
      <c r="J34" s="31" t="s">
        <v>100</v>
      </c>
      <c r="K34" s="31" t="s">
        <v>48</v>
      </c>
    </row>
    <row r="35" customFormat="false" ht="15" hidden="false" customHeight="false" outlineLevel="0" collapsed="false">
      <c r="A35" s="31" t="s">
        <v>102</v>
      </c>
      <c r="B35" s="31" t="s">
        <v>103</v>
      </c>
      <c r="C35" s="31" t="s">
        <v>44</v>
      </c>
      <c r="D35" s="31" t="s">
        <v>44</v>
      </c>
      <c r="E35" s="31" t="n">
        <v>1</v>
      </c>
      <c r="F35" s="32" t="n">
        <v>0</v>
      </c>
      <c r="G35" s="32" t="n">
        <v>0</v>
      </c>
      <c r="H35" s="31" t="s">
        <v>57</v>
      </c>
      <c r="I35" s="31" t="s">
        <v>104</v>
      </c>
      <c r="J35" s="31" t="s">
        <v>105</v>
      </c>
      <c r="K35" s="31" t="s">
        <v>48</v>
      </c>
    </row>
    <row r="36" customFormat="false" ht="15" hidden="false" customHeight="false" outlineLevel="0" collapsed="false">
      <c r="A36" s="31" t="s">
        <v>102</v>
      </c>
      <c r="B36" s="31" t="s">
        <v>103</v>
      </c>
      <c r="C36" s="31" t="s">
        <v>20</v>
      </c>
      <c r="D36" s="31" t="s">
        <v>78</v>
      </c>
      <c r="E36" s="31" t="n">
        <v>1</v>
      </c>
      <c r="F36" s="32" t="n">
        <v>89</v>
      </c>
      <c r="G36" s="32" t="n">
        <v>89</v>
      </c>
      <c r="H36" s="31" t="s">
        <v>57</v>
      </c>
      <c r="I36" s="31" t="s">
        <v>104</v>
      </c>
      <c r="J36" s="31" t="s">
        <v>105</v>
      </c>
      <c r="K36" s="31" t="s">
        <v>48</v>
      </c>
    </row>
    <row r="37" customFormat="false" ht="15" hidden="false" customHeight="false" outlineLevel="0" collapsed="false">
      <c r="A37" s="31" t="s">
        <v>102</v>
      </c>
      <c r="B37" s="31" t="s">
        <v>106</v>
      </c>
      <c r="C37" s="31" t="s">
        <v>50</v>
      </c>
      <c r="D37" s="31" t="s">
        <v>51</v>
      </c>
      <c r="E37" s="31" t="n">
        <v>1</v>
      </c>
      <c r="F37" s="32" t="n">
        <v>-10</v>
      </c>
      <c r="G37" s="32" t="n">
        <v>-10</v>
      </c>
      <c r="H37" s="31" t="s">
        <v>57</v>
      </c>
      <c r="I37" s="31" t="s">
        <v>104</v>
      </c>
      <c r="J37" s="31" t="s">
        <v>105</v>
      </c>
      <c r="K37" s="31" t="s">
        <v>48</v>
      </c>
    </row>
    <row r="38" customFormat="false" ht="15" hidden="false" customHeight="false" outlineLevel="0" collapsed="false">
      <c r="A38" s="31" t="s">
        <v>102</v>
      </c>
      <c r="B38" s="31" t="s">
        <v>103</v>
      </c>
      <c r="C38" s="31" t="s">
        <v>20</v>
      </c>
      <c r="D38" s="31" t="s">
        <v>66</v>
      </c>
      <c r="E38" s="31" t="n">
        <v>3</v>
      </c>
      <c r="F38" s="32" t="n">
        <v>32</v>
      </c>
      <c r="G38" s="32" t="n">
        <v>96</v>
      </c>
      <c r="H38" s="31" t="s">
        <v>57</v>
      </c>
      <c r="I38" s="31" t="s">
        <v>104</v>
      </c>
      <c r="J38" s="31" t="s">
        <v>105</v>
      </c>
      <c r="K38" s="31" t="s">
        <v>48</v>
      </c>
    </row>
    <row r="39" customFormat="false" ht="15" hidden="false" customHeight="false" outlineLevel="0" collapsed="false">
      <c r="A39" s="31" t="s">
        <v>102</v>
      </c>
      <c r="B39" s="31" t="s">
        <v>103</v>
      </c>
      <c r="C39" s="31" t="s">
        <v>20</v>
      </c>
      <c r="D39" s="31" t="s">
        <v>56</v>
      </c>
      <c r="E39" s="31" t="n">
        <v>1</v>
      </c>
      <c r="F39" s="32" t="n">
        <v>45</v>
      </c>
      <c r="G39" s="32" t="n">
        <v>45</v>
      </c>
      <c r="H39" s="31" t="s">
        <v>57</v>
      </c>
      <c r="I39" s="31" t="s">
        <v>104</v>
      </c>
      <c r="J39" s="31" t="s">
        <v>105</v>
      </c>
      <c r="K39" s="31" t="s">
        <v>48</v>
      </c>
    </row>
    <row r="40" customFormat="false" ht="15" hidden="false" customHeight="false" outlineLevel="0" collapsed="false">
      <c r="A40" s="31" t="s">
        <v>107</v>
      </c>
      <c r="B40" s="31" t="s">
        <v>108</v>
      </c>
      <c r="C40" s="31" t="s">
        <v>20</v>
      </c>
      <c r="D40" s="31" t="s">
        <v>87</v>
      </c>
      <c r="E40" s="31" t="n">
        <v>1</v>
      </c>
      <c r="F40" s="32" t="n">
        <v>35</v>
      </c>
      <c r="G40" s="32" t="n">
        <v>35</v>
      </c>
      <c r="H40" s="31" t="s">
        <v>45</v>
      </c>
      <c r="I40" s="31" t="s">
        <v>58</v>
      </c>
      <c r="J40" s="31"/>
      <c r="K40" s="31" t="s">
        <v>48</v>
      </c>
    </row>
    <row r="41" customFormat="false" ht="15" hidden="false" customHeight="false" outlineLevel="0" collapsed="false">
      <c r="A41" s="31" t="s">
        <v>107</v>
      </c>
      <c r="B41" s="31" t="s">
        <v>108</v>
      </c>
      <c r="C41" s="31" t="s">
        <v>44</v>
      </c>
      <c r="D41" s="31" t="s">
        <v>44</v>
      </c>
      <c r="E41" s="31" t="n">
        <v>1</v>
      </c>
      <c r="F41" s="32" t="n">
        <v>0</v>
      </c>
      <c r="G41" s="32" t="n">
        <v>0</v>
      </c>
      <c r="H41" s="31" t="s">
        <v>45</v>
      </c>
      <c r="I41" s="31" t="s">
        <v>58</v>
      </c>
      <c r="J41" s="31"/>
      <c r="K41" s="31" t="s">
        <v>48</v>
      </c>
    </row>
    <row r="42" customFormat="false" ht="15" hidden="false" customHeight="false" outlineLevel="0" collapsed="false">
      <c r="A42" s="31" t="s">
        <v>109</v>
      </c>
      <c r="B42" s="31" t="s">
        <v>110</v>
      </c>
      <c r="C42" s="31" t="s">
        <v>20</v>
      </c>
      <c r="D42" s="31" t="s">
        <v>56</v>
      </c>
      <c r="E42" s="31" t="n">
        <v>1</v>
      </c>
      <c r="F42" s="32" t="n">
        <v>45</v>
      </c>
      <c r="G42" s="32" t="n">
        <v>45</v>
      </c>
      <c r="H42" s="31" t="s">
        <v>45</v>
      </c>
      <c r="I42" s="31" t="s">
        <v>58</v>
      </c>
      <c r="J42" s="31" t="s">
        <v>111</v>
      </c>
      <c r="K42" s="31" t="s">
        <v>48</v>
      </c>
    </row>
    <row r="43" customFormat="false" ht="15" hidden="false" customHeight="false" outlineLevel="0" collapsed="false">
      <c r="A43" s="31" t="s">
        <v>109</v>
      </c>
      <c r="B43" s="31" t="s">
        <v>112</v>
      </c>
      <c r="C43" s="31" t="s">
        <v>44</v>
      </c>
      <c r="D43" s="31" t="s">
        <v>44</v>
      </c>
      <c r="E43" s="31" t="n">
        <v>1</v>
      </c>
      <c r="F43" s="32" t="n">
        <v>0</v>
      </c>
      <c r="G43" s="32" t="n">
        <v>0</v>
      </c>
      <c r="H43" s="31" t="s">
        <v>45</v>
      </c>
      <c r="I43" s="31" t="s">
        <v>58</v>
      </c>
      <c r="J43" s="31" t="s">
        <v>111</v>
      </c>
      <c r="K43" s="31" t="s">
        <v>48</v>
      </c>
    </row>
    <row r="44" customFormat="false" ht="15" hidden="false" customHeight="false" outlineLevel="0" collapsed="false">
      <c r="A44" s="31" t="s">
        <v>113</v>
      </c>
      <c r="B44" s="31" t="s">
        <v>114</v>
      </c>
      <c r="C44" s="31" t="s">
        <v>44</v>
      </c>
      <c r="D44" s="31" t="s">
        <v>44</v>
      </c>
      <c r="E44" s="31" t="n">
        <v>1</v>
      </c>
      <c r="F44" s="32" t="n">
        <v>3.95</v>
      </c>
      <c r="G44" s="32" t="n">
        <v>3.95</v>
      </c>
      <c r="H44" s="31" t="s">
        <v>45</v>
      </c>
      <c r="I44" s="31" t="s">
        <v>58</v>
      </c>
      <c r="J44" s="31" t="s">
        <v>115</v>
      </c>
      <c r="K44" s="31" t="s">
        <v>48</v>
      </c>
    </row>
    <row r="45" customFormat="false" ht="15" hidden="false" customHeight="false" outlineLevel="0" collapsed="false">
      <c r="A45" s="31" t="s">
        <v>116</v>
      </c>
      <c r="B45" s="31" t="s">
        <v>114</v>
      </c>
      <c r="C45" s="31" t="s">
        <v>44</v>
      </c>
      <c r="D45" s="31" t="s">
        <v>44</v>
      </c>
      <c r="E45" s="31" t="n">
        <v>1</v>
      </c>
      <c r="F45" s="32" t="n">
        <v>4.95</v>
      </c>
      <c r="G45" s="32" t="n">
        <v>4.95</v>
      </c>
      <c r="H45" s="31" t="s">
        <v>45</v>
      </c>
      <c r="I45" s="31" t="s">
        <v>84</v>
      </c>
      <c r="J45" s="31" t="s">
        <v>117</v>
      </c>
      <c r="K45" s="31" t="s">
        <v>48</v>
      </c>
    </row>
    <row r="46" customFormat="false" ht="15" hidden="false" customHeight="false" outlineLevel="0" collapsed="false">
      <c r="A46" s="31" t="s">
        <v>116</v>
      </c>
      <c r="B46" s="31" t="s">
        <v>114</v>
      </c>
      <c r="C46" s="31" t="s">
        <v>20</v>
      </c>
      <c r="D46" s="31" t="s">
        <v>66</v>
      </c>
      <c r="E46" s="31" t="n">
        <v>1</v>
      </c>
      <c r="F46" s="32" t="n">
        <v>32</v>
      </c>
      <c r="G46" s="32" t="n">
        <v>32</v>
      </c>
      <c r="H46" s="31" t="s">
        <v>45</v>
      </c>
      <c r="I46" s="31" t="s">
        <v>84</v>
      </c>
      <c r="J46" s="31" t="s">
        <v>117</v>
      </c>
      <c r="K46" s="31" t="s">
        <v>48</v>
      </c>
    </row>
    <row r="47" customFormat="false" ht="15" hidden="false" customHeight="false" outlineLevel="0" collapsed="false">
      <c r="A47" s="31" t="s">
        <v>116</v>
      </c>
      <c r="B47" s="31" t="s">
        <v>118</v>
      </c>
      <c r="C47" s="31" t="s">
        <v>20</v>
      </c>
      <c r="D47" s="31" t="s">
        <v>69</v>
      </c>
      <c r="E47" s="31" t="n">
        <v>1</v>
      </c>
      <c r="F47" s="32" t="n">
        <v>29</v>
      </c>
      <c r="G47" s="32" t="n">
        <v>29</v>
      </c>
      <c r="H47" s="31" t="s">
        <v>45</v>
      </c>
      <c r="I47" s="31" t="s">
        <v>84</v>
      </c>
      <c r="J47" s="31" t="s">
        <v>117</v>
      </c>
      <c r="K47" s="31" t="s">
        <v>48</v>
      </c>
    </row>
    <row r="48" customFormat="false" ht="15" hidden="false" customHeight="false" outlineLevel="0" collapsed="false">
      <c r="A48" s="31" t="s">
        <v>113</v>
      </c>
      <c r="B48" s="31" t="s">
        <v>114</v>
      </c>
      <c r="C48" s="31" t="s">
        <v>20</v>
      </c>
      <c r="D48" s="31" t="s">
        <v>63</v>
      </c>
      <c r="E48" s="31" t="n">
        <v>2</v>
      </c>
      <c r="F48" s="32" t="n">
        <v>14</v>
      </c>
      <c r="G48" s="32" t="n">
        <v>28</v>
      </c>
      <c r="H48" s="31" t="s">
        <v>45</v>
      </c>
      <c r="I48" s="31" t="s">
        <v>58</v>
      </c>
      <c r="J48" s="31" t="s">
        <v>115</v>
      </c>
      <c r="K48" s="31" t="s">
        <v>48</v>
      </c>
    </row>
    <row r="49" customFormat="false" ht="15" hidden="false" customHeight="false" outlineLevel="0" collapsed="false">
      <c r="A49" s="31" t="s">
        <v>119</v>
      </c>
      <c r="B49" s="31" t="s">
        <v>120</v>
      </c>
      <c r="C49" s="31" t="s">
        <v>20</v>
      </c>
      <c r="D49" s="31" t="s">
        <v>87</v>
      </c>
      <c r="E49" s="31" t="n">
        <v>1</v>
      </c>
      <c r="F49" s="32" t="n">
        <v>35</v>
      </c>
      <c r="G49" s="32" t="n">
        <v>35</v>
      </c>
      <c r="H49" s="31" t="s">
        <v>57</v>
      </c>
      <c r="I49" s="31" t="s">
        <v>121</v>
      </c>
      <c r="J49" s="31" t="s">
        <v>122</v>
      </c>
      <c r="K49" s="31" t="s">
        <v>48</v>
      </c>
    </row>
    <row r="50" customFormat="false" ht="15" hidden="false" customHeight="false" outlineLevel="0" collapsed="false">
      <c r="A50" s="31" t="s">
        <v>119</v>
      </c>
      <c r="B50" s="31" t="s">
        <v>120</v>
      </c>
      <c r="C50" s="31" t="s">
        <v>20</v>
      </c>
      <c r="D50" s="31" t="s">
        <v>123</v>
      </c>
      <c r="E50" s="31" t="n">
        <v>3</v>
      </c>
      <c r="F50" s="32" t="n">
        <v>67.5</v>
      </c>
      <c r="G50" s="32" t="n">
        <v>202.5</v>
      </c>
      <c r="H50" s="31" t="s">
        <v>57</v>
      </c>
      <c r="I50" s="31" t="s">
        <v>121</v>
      </c>
      <c r="J50" s="31" t="s">
        <v>122</v>
      </c>
      <c r="K50" s="31" t="s">
        <v>48</v>
      </c>
    </row>
    <row r="51" customFormat="false" ht="15" hidden="false" customHeight="false" outlineLevel="0" collapsed="false">
      <c r="A51" s="31" t="s">
        <v>119</v>
      </c>
      <c r="B51" s="31" t="s">
        <v>120</v>
      </c>
      <c r="C51" s="31" t="s">
        <v>44</v>
      </c>
      <c r="D51" s="31" t="s">
        <v>44</v>
      </c>
      <c r="E51" s="31" t="n">
        <v>1</v>
      </c>
      <c r="F51" s="32" t="n">
        <v>4.95</v>
      </c>
      <c r="G51" s="32" t="n">
        <v>4.95</v>
      </c>
      <c r="H51" s="31" t="s">
        <v>57</v>
      </c>
      <c r="I51" s="31" t="s">
        <v>121</v>
      </c>
      <c r="J51" s="31" t="s">
        <v>122</v>
      </c>
      <c r="K51" s="31" t="s">
        <v>48</v>
      </c>
    </row>
    <row r="52" customFormat="false" ht="15" hidden="false" customHeight="false" outlineLevel="0" collapsed="false">
      <c r="A52" s="31" t="s">
        <v>119</v>
      </c>
      <c r="B52" s="31" t="s">
        <v>124</v>
      </c>
      <c r="C52" s="31" t="s">
        <v>50</v>
      </c>
      <c r="D52" s="31" t="s">
        <v>51</v>
      </c>
      <c r="E52" s="31" t="n">
        <v>1</v>
      </c>
      <c r="F52" s="32" t="n">
        <v>-5</v>
      </c>
      <c r="G52" s="32" t="n">
        <v>-5</v>
      </c>
      <c r="H52" s="31" t="s">
        <v>57</v>
      </c>
      <c r="I52" s="31" t="s">
        <v>121</v>
      </c>
      <c r="J52" s="31" t="s">
        <v>122</v>
      </c>
      <c r="K52" s="31" t="s">
        <v>48</v>
      </c>
    </row>
    <row r="53" customFormat="false" ht="15" hidden="false" customHeight="false" outlineLevel="0" collapsed="false">
      <c r="A53" s="31" t="s">
        <v>125</v>
      </c>
      <c r="B53" s="31" t="s">
        <v>126</v>
      </c>
      <c r="C53" s="31" t="s">
        <v>20</v>
      </c>
      <c r="D53" s="31" t="s">
        <v>56</v>
      </c>
      <c r="E53" s="31" t="n">
        <v>1</v>
      </c>
      <c r="F53" s="32" t="n">
        <v>45</v>
      </c>
      <c r="G53" s="32" t="n">
        <v>45</v>
      </c>
      <c r="H53" s="31" t="s">
        <v>57</v>
      </c>
      <c r="I53" s="31" t="s">
        <v>121</v>
      </c>
      <c r="J53" s="31"/>
      <c r="K53" s="31" t="s">
        <v>48</v>
      </c>
    </row>
    <row r="54" customFormat="false" ht="15" hidden="false" customHeight="false" outlineLevel="0" collapsed="false">
      <c r="A54" s="31" t="s">
        <v>125</v>
      </c>
      <c r="B54" s="31" t="s">
        <v>126</v>
      </c>
      <c r="C54" s="31" t="s">
        <v>44</v>
      </c>
      <c r="D54" s="31" t="s">
        <v>44</v>
      </c>
      <c r="E54" s="31" t="n">
        <v>1</v>
      </c>
      <c r="F54" s="32" t="n">
        <v>0</v>
      </c>
      <c r="G54" s="32" t="n">
        <v>0</v>
      </c>
      <c r="H54" s="31" t="s">
        <v>57</v>
      </c>
      <c r="I54" s="31" t="s">
        <v>121</v>
      </c>
      <c r="J54" s="31"/>
      <c r="K54" s="31" t="s">
        <v>48</v>
      </c>
    </row>
    <row r="55" customFormat="false" ht="15" hidden="false" customHeight="false" outlineLevel="0" collapsed="false">
      <c r="A55" s="31" t="s">
        <v>125</v>
      </c>
      <c r="B55" s="31" t="s">
        <v>126</v>
      </c>
      <c r="C55" s="31" t="s">
        <v>50</v>
      </c>
      <c r="D55" s="31" t="s">
        <v>51</v>
      </c>
      <c r="E55" s="31" t="n">
        <v>1</v>
      </c>
      <c r="F55" s="32" t="n">
        <v>-10</v>
      </c>
      <c r="G55" s="32" t="n">
        <v>-10</v>
      </c>
      <c r="H55" s="31" t="s">
        <v>57</v>
      </c>
      <c r="I55" s="31" t="s">
        <v>121</v>
      </c>
      <c r="J55" s="31"/>
      <c r="K55" s="31" t="s">
        <v>48</v>
      </c>
    </row>
    <row r="56" customFormat="false" ht="15" hidden="false" customHeight="false" outlineLevel="0" collapsed="false">
      <c r="A56" s="31" t="s">
        <v>125</v>
      </c>
      <c r="B56" s="31" t="s">
        <v>126</v>
      </c>
      <c r="C56" s="31" t="s">
        <v>20</v>
      </c>
      <c r="D56" s="31" t="s">
        <v>78</v>
      </c>
      <c r="E56" s="31" t="n">
        <v>2</v>
      </c>
      <c r="F56" s="32" t="n">
        <v>75.65</v>
      </c>
      <c r="G56" s="32" t="n">
        <v>151.3</v>
      </c>
      <c r="H56" s="31" t="s">
        <v>57</v>
      </c>
      <c r="I56" s="31" t="s">
        <v>121</v>
      </c>
      <c r="J56" s="31"/>
      <c r="K56" s="31" t="s">
        <v>48</v>
      </c>
    </row>
    <row r="57" customFormat="false" ht="15" hidden="false" customHeight="false" outlineLevel="0" collapsed="false">
      <c r="A57" s="31" t="s">
        <v>127</v>
      </c>
      <c r="B57" s="31" t="s">
        <v>128</v>
      </c>
      <c r="C57" s="31" t="s">
        <v>20</v>
      </c>
      <c r="D57" s="31" t="s">
        <v>87</v>
      </c>
      <c r="E57" s="31" t="n">
        <v>1</v>
      </c>
      <c r="F57" s="32" t="n">
        <v>35</v>
      </c>
      <c r="G57" s="32" t="n">
        <v>35</v>
      </c>
      <c r="H57" s="31" t="s">
        <v>45</v>
      </c>
      <c r="I57" s="31" t="s">
        <v>58</v>
      </c>
      <c r="J57" s="31" t="s">
        <v>129</v>
      </c>
      <c r="K57" s="31" t="s">
        <v>48</v>
      </c>
    </row>
    <row r="58" customFormat="false" ht="15" hidden="false" customHeight="false" outlineLevel="0" collapsed="false">
      <c r="A58" s="31" t="s">
        <v>127</v>
      </c>
      <c r="B58" s="31" t="s">
        <v>130</v>
      </c>
      <c r="C58" s="31" t="s">
        <v>20</v>
      </c>
      <c r="D58" s="31" t="s">
        <v>69</v>
      </c>
      <c r="E58" s="31" t="n">
        <v>1</v>
      </c>
      <c r="F58" s="32" t="n">
        <v>29</v>
      </c>
      <c r="G58" s="32" t="n">
        <v>29</v>
      </c>
      <c r="H58" s="31" t="s">
        <v>45</v>
      </c>
      <c r="I58" s="31" t="s">
        <v>58</v>
      </c>
      <c r="J58" s="31" t="s">
        <v>129</v>
      </c>
      <c r="K58" s="31" t="s">
        <v>48</v>
      </c>
    </row>
    <row r="59" customFormat="false" ht="15" hidden="false" customHeight="false" outlineLevel="0" collapsed="false">
      <c r="A59" s="31" t="s">
        <v>127</v>
      </c>
      <c r="B59" s="31" t="s">
        <v>130</v>
      </c>
      <c r="C59" s="31" t="s">
        <v>20</v>
      </c>
      <c r="D59" s="31" t="s">
        <v>52</v>
      </c>
      <c r="E59" s="31" t="n">
        <v>1</v>
      </c>
      <c r="F59" s="32" t="n">
        <v>22</v>
      </c>
      <c r="G59" s="32" t="n">
        <v>22</v>
      </c>
      <c r="H59" s="31" t="s">
        <v>45</v>
      </c>
      <c r="I59" s="31" t="s">
        <v>58</v>
      </c>
      <c r="J59" s="31" t="s">
        <v>129</v>
      </c>
      <c r="K59" s="31" t="s">
        <v>48</v>
      </c>
    </row>
    <row r="60" customFormat="false" ht="15" hidden="false" customHeight="false" outlineLevel="0" collapsed="false">
      <c r="A60" s="31" t="s">
        <v>131</v>
      </c>
      <c r="B60" s="31" t="s">
        <v>132</v>
      </c>
      <c r="C60" s="31" t="s">
        <v>44</v>
      </c>
      <c r="D60" s="31" t="s">
        <v>44</v>
      </c>
      <c r="E60" s="31" t="n">
        <v>1</v>
      </c>
      <c r="F60" s="32" t="n">
        <v>4.95</v>
      </c>
      <c r="G60" s="32" t="n">
        <v>4.95</v>
      </c>
      <c r="H60" s="31" t="s">
        <v>45</v>
      </c>
      <c r="I60" s="31" t="s">
        <v>58</v>
      </c>
      <c r="J60" s="31" t="s">
        <v>133</v>
      </c>
      <c r="K60" s="31" t="s">
        <v>48</v>
      </c>
    </row>
    <row r="61" customFormat="false" ht="15" hidden="false" customHeight="false" outlineLevel="0" collapsed="false">
      <c r="A61" s="31" t="s">
        <v>131</v>
      </c>
      <c r="B61" s="31" t="s">
        <v>132</v>
      </c>
      <c r="C61" s="31" t="s">
        <v>20</v>
      </c>
      <c r="D61" s="31" t="s">
        <v>53</v>
      </c>
      <c r="E61" s="31" t="n">
        <v>2</v>
      </c>
      <c r="F61" s="32" t="n">
        <v>39</v>
      </c>
      <c r="G61" s="32" t="n">
        <v>78</v>
      </c>
      <c r="H61" s="31" t="s">
        <v>45</v>
      </c>
      <c r="I61" s="31" t="s">
        <v>58</v>
      </c>
      <c r="J61" s="31" t="s">
        <v>133</v>
      </c>
      <c r="K61" s="31" t="s">
        <v>48</v>
      </c>
    </row>
    <row r="62" customFormat="false" ht="15" hidden="false" customHeight="false" outlineLevel="0" collapsed="false">
      <c r="A62" s="31" t="s">
        <v>131</v>
      </c>
      <c r="B62" s="31" t="s">
        <v>134</v>
      </c>
      <c r="C62" s="31" t="s">
        <v>20</v>
      </c>
      <c r="D62" s="31" t="s">
        <v>69</v>
      </c>
      <c r="E62" s="31" t="n">
        <v>1</v>
      </c>
      <c r="F62" s="32" t="n">
        <v>29</v>
      </c>
      <c r="G62" s="32" t="n">
        <v>29</v>
      </c>
      <c r="H62" s="31" t="s">
        <v>45</v>
      </c>
      <c r="I62" s="31" t="s">
        <v>58</v>
      </c>
      <c r="J62" s="31" t="s">
        <v>133</v>
      </c>
      <c r="K62" s="31" t="s">
        <v>48</v>
      </c>
    </row>
    <row r="63" customFormat="false" ht="15" hidden="false" customHeight="false" outlineLevel="0" collapsed="false">
      <c r="A63" s="31" t="s">
        <v>135</v>
      </c>
      <c r="B63" s="31" t="s">
        <v>136</v>
      </c>
      <c r="C63" s="31" t="s">
        <v>44</v>
      </c>
      <c r="D63" s="31" t="s">
        <v>44</v>
      </c>
      <c r="E63" s="31" t="n">
        <v>1</v>
      </c>
      <c r="F63" s="32" t="n">
        <v>4.95</v>
      </c>
      <c r="G63" s="32" t="n">
        <v>4.95</v>
      </c>
      <c r="H63" s="31" t="s">
        <v>45</v>
      </c>
      <c r="I63" s="31" t="s">
        <v>58</v>
      </c>
      <c r="J63" s="31" t="s">
        <v>137</v>
      </c>
      <c r="K63" s="31" t="s">
        <v>48</v>
      </c>
    </row>
    <row r="64" customFormat="false" ht="15" hidden="false" customHeight="false" outlineLevel="0" collapsed="false">
      <c r="A64" s="31" t="s">
        <v>135</v>
      </c>
      <c r="B64" s="31" t="s">
        <v>136</v>
      </c>
      <c r="C64" s="31" t="s">
        <v>20</v>
      </c>
      <c r="D64" s="31" t="s">
        <v>53</v>
      </c>
      <c r="E64" s="31" t="n">
        <v>1</v>
      </c>
      <c r="F64" s="32" t="n">
        <v>39</v>
      </c>
      <c r="G64" s="32" t="n">
        <v>39</v>
      </c>
      <c r="H64" s="31" t="s">
        <v>45</v>
      </c>
      <c r="I64" s="31" t="s">
        <v>58</v>
      </c>
      <c r="J64" s="31" t="s">
        <v>137</v>
      </c>
      <c r="K64" s="31" t="s">
        <v>48</v>
      </c>
    </row>
    <row r="65" customFormat="false" ht="15" hidden="false" customHeight="false" outlineLevel="0" collapsed="false">
      <c r="A65" s="31" t="s">
        <v>135</v>
      </c>
      <c r="B65" s="31" t="s">
        <v>136</v>
      </c>
      <c r="C65" s="31" t="s">
        <v>20</v>
      </c>
      <c r="D65" s="31" t="s">
        <v>78</v>
      </c>
      <c r="E65" s="31" t="n">
        <v>1</v>
      </c>
      <c r="F65" s="32" t="n">
        <v>89</v>
      </c>
      <c r="G65" s="32" t="n">
        <v>89</v>
      </c>
      <c r="H65" s="31" t="s">
        <v>45</v>
      </c>
      <c r="I65" s="31" t="s">
        <v>58</v>
      </c>
      <c r="J65" s="31" t="s">
        <v>137</v>
      </c>
      <c r="K65" s="31" t="s">
        <v>48</v>
      </c>
    </row>
    <row r="66" customFormat="false" ht="15" hidden="false" customHeight="false" outlineLevel="0" collapsed="false">
      <c r="A66" s="31" t="s">
        <v>138</v>
      </c>
      <c r="B66" s="31" t="s">
        <v>139</v>
      </c>
      <c r="C66" s="31" t="s">
        <v>20</v>
      </c>
      <c r="D66" s="31" t="s">
        <v>140</v>
      </c>
      <c r="E66" s="31" t="n">
        <v>2</v>
      </c>
      <c r="F66" s="32" t="n">
        <v>26</v>
      </c>
      <c r="G66" s="32" t="n">
        <v>52</v>
      </c>
      <c r="H66" s="31" t="s">
        <v>45</v>
      </c>
      <c r="I66" s="31" t="s">
        <v>58</v>
      </c>
      <c r="J66" s="31" t="s">
        <v>141</v>
      </c>
      <c r="K66" s="31" t="s">
        <v>48</v>
      </c>
    </row>
    <row r="67" customFormat="false" ht="15" hidden="false" customHeight="false" outlineLevel="0" collapsed="false">
      <c r="A67" s="31" t="s">
        <v>138</v>
      </c>
      <c r="B67" s="31" t="s">
        <v>142</v>
      </c>
      <c r="C67" s="31" t="s">
        <v>44</v>
      </c>
      <c r="D67" s="31" t="s">
        <v>44</v>
      </c>
      <c r="E67" s="31" t="n">
        <v>1</v>
      </c>
      <c r="F67" s="32" t="n">
        <v>5.95</v>
      </c>
      <c r="G67" s="32" t="n">
        <v>5.95</v>
      </c>
      <c r="H67" s="31" t="s">
        <v>45</v>
      </c>
      <c r="I67" s="31" t="s">
        <v>58</v>
      </c>
      <c r="J67" s="31" t="s">
        <v>141</v>
      </c>
      <c r="K67" s="31" t="s">
        <v>48</v>
      </c>
    </row>
    <row r="68" customFormat="false" ht="15" hidden="false" customHeight="false" outlineLevel="0" collapsed="false">
      <c r="A68" s="31" t="s">
        <v>143</v>
      </c>
      <c r="B68" s="31" t="s">
        <v>144</v>
      </c>
      <c r="C68" s="31" t="s">
        <v>20</v>
      </c>
      <c r="D68" s="31" t="s">
        <v>56</v>
      </c>
      <c r="E68" s="31" t="n">
        <v>1</v>
      </c>
      <c r="F68" s="32" t="n">
        <v>45</v>
      </c>
      <c r="G68" s="32" t="n">
        <v>45</v>
      </c>
      <c r="H68" s="31" t="s">
        <v>145</v>
      </c>
      <c r="I68" s="31" t="s">
        <v>58</v>
      </c>
      <c r="J68" s="31"/>
      <c r="K68" s="31" t="s">
        <v>48</v>
      </c>
    </row>
    <row r="69" customFormat="false" ht="15" hidden="false" customHeight="false" outlineLevel="0" collapsed="false">
      <c r="A69" s="31" t="s">
        <v>143</v>
      </c>
      <c r="B69" s="31" t="s">
        <v>144</v>
      </c>
      <c r="C69" s="31" t="s">
        <v>20</v>
      </c>
      <c r="D69" s="31" t="s">
        <v>78</v>
      </c>
      <c r="E69" s="31" t="n">
        <v>2</v>
      </c>
      <c r="F69" s="32" t="n">
        <v>89</v>
      </c>
      <c r="G69" s="32" t="n">
        <v>178</v>
      </c>
      <c r="H69" s="31" t="s">
        <v>145</v>
      </c>
      <c r="I69" s="31" t="s">
        <v>58</v>
      </c>
      <c r="J69" s="31"/>
      <c r="K69" s="31" t="s">
        <v>48</v>
      </c>
    </row>
    <row r="70" customFormat="false" ht="15" hidden="false" customHeight="false" outlineLevel="0" collapsed="false">
      <c r="A70" s="31" t="s">
        <v>143</v>
      </c>
      <c r="B70" s="31" t="s">
        <v>144</v>
      </c>
      <c r="C70" s="31" t="s">
        <v>44</v>
      </c>
      <c r="D70" s="31" t="s">
        <v>44</v>
      </c>
      <c r="E70" s="31" t="n">
        <v>1</v>
      </c>
      <c r="F70" s="32" t="n">
        <v>3.95</v>
      </c>
      <c r="G70" s="32" t="n">
        <v>3.95</v>
      </c>
      <c r="H70" s="31" t="s">
        <v>145</v>
      </c>
      <c r="I70" s="31" t="s">
        <v>58</v>
      </c>
      <c r="J70" s="31"/>
      <c r="K70" s="31" t="s">
        <v>48</v>
      </c>
    </row>
    <row r="71" customFormat="false" ht="15" hidden="false" customHeight="false" outlineLevel="0" collapsed="false">
      <c r="A71" s="31" t="s">
        <v>146</v>
      </c>
      <c r="B71" s="31" t="s">
        <v>147</v>
      </c>
      <c r="C71" s="31" t="s">
        <v>44</v>
      </c>
      <c r="D71" s="31" t="s">
        <v>44</v>
      </c>
      <c r="E71" s="31" t="n">
        <v>1</v>
      </c>
      <c r="F71" s="32" t="n">
        <v>3.95</v>
      </c>
      <c r="G71" s="32" t="n">
        <v>3.95</v>
      </c>
      <c r="H71" s="31" t="s">
        <v>45</v>
      </c>
      <c r="I71" s="31" t="s">
        <v>84</v>
      </c>
      <c r="J71" s="31" t="s">
        <v>148</v>
      </c>
      <c r="K71" s="31" t="s">
        <v>48</v>
      </c>
    </row>
    <row r="72" customFormat="false" ht="15" hidden="false" customHeight="false" outlineLevel="0" collapsed="false">
      <c r="A72" s="31" t="s">
        <v>146</v>
      </c>
      <c r="B72" s="31" t="s">
        <v>149</v>
      </c>
      <c r="C72" s="31" t="s">
        <v>20</v>
      </c>
      <c r="D72" s="31" t="s">
        <v>140</v>
      </c>
      <c r="E72" s="31" t="n">
        <v>1</v>
      </c>
      <c r="F72" s="32" t="n">
        <v>26</v>
      </c>
      <c r="G72" s="32" t="n">
        <v>26</v>
      </c>
      <c r="H72" s="31" t="s">
        <v>45</v>
      </c>
      <c r="I72" s="31" t="s">
        <v>84</v>
      </c>
      <c r="J72" s="31" t="s">
        <v>148</v>
      </c>
      <c r="K72" s="31" t="s">
        <v>48</v>
      </c>
    </row>
    <row r="73" customFormat="false" ht="15" hidden="false" customHeight="false" outlineLevel="0" collapsed="false">
      <c r="A73" s="31" t="s">
        <v>146</v>
      </c>
      <c r="B73" s="31" t="s">
        <v>147</v>
      </c>
      <c r="C73" s="31" t="s">
        <v>20</v>
      </c>
      <c r="D73" s="31" t="s">
        <v>87</v>
      </c>
      <c r="E73" s="31" t="n">
        <v>1</v>
      </c>
      <c r="F73" s="32" t="n">
        <v>31.5</v>
      </c>
      <c r="G73" s="32" t="n">
        <v>31.5</v>
      </c>
      <c r="H73" s="31" t="s">
        <v>45</v>
      </c>
      <c r="I73" s="31" t="s">
        <v>84</v>
      </c>
      <c r="J73" s="31" t="s">
        <v>148</v>
      </c>
      <c r="K73" s="31" t="s">
        <v>48</v>
      </c>
    </row>
    <row r="74" customFormat="false" ht="15" hidden="false" customHeight="false" outlineLevel="0" collapsed="false">
      <c r="A74" s="31" t="s">
        <v>150</v>
      </c>
      <c r="B74" s="31" t="s">
        <v>151</v>
      </c>
      <c r="C74" s="31" t="s">
        <v>20</v>
      </c>
      <c r="D74" s="31" t="s">
        <v>56</v>
      </c>
      <c r="E74" s="31" t="n">
        <v>1</v>
      </c>
      <c r="F74" s="32" t="n">
        <v>45</v>
      </c>
      <c r="G74" s="32" t="n">
        <v>45</v>
      </c>
      <c r="H74" s="31" t="s">
        <v>45</v>
      </c>
      <c r="I74" s="31" t="s">
        <v>58</v>
      </c>
      <c r="J74" s="31" t="s">
        <v>152</v>
      </c>
      <c r="K74" s="31" t="s">
        <v>48</v>
      </c>
    </row>
    <row r="75" customFormat="false" ht="15" hidden="false" customHeight="false" outlineLevel="0" collapsed="false">
      <c r="A75" s="31" t="s">
        <v>150</v>
      </c>
      <c r="B75" s="31" t="s">
        <v>151</v>
      </c>
      <c r="C75" s="31" t="s">
        <v>44</v>
      </c>
      <c r="D75" s="31" t="s">
        <v>44</v>
      </c>
      <c r="E75" s="31" t="n">
        <v>1</v>
      </c>
      <c r="F75" s="32" t="n">
        <v>5.95</v>
      </c>
      <c r="G75" s="32" t="n">
        <v>5.95</v>
      </c>
      <c r="H75" s="31" t="s">
        <v>45</v>
      </c>
      <c r="I75" s="31" t="s">
        <v>58</v>
      </c>
      <c r="J75" s="31" t="s">
        <v>152</v>
      </c>
      <c r="K75" s="31" t="s">
        <v>48</v>
      </c>
    </row>
    <row r="76" customFormat="false" ht="15" hidden="false" customHeight="false" outlineLevel="0" collapsed="false">
      <c r="A76" s="31" t="s">
        <v>153</v>
      </c>
      <c r="B76" s="31" t="s">
        <v>154</v>
      </c>
      <c r="C76" s="31" t="s">
        <v>44</v>
      </c>
      <c r="D76" s="31" t="s">
        <v>44</v>
      </c>
      <c r="E76" s="31" t="n">
        <v>1</v>
      </c>
      <c r="F76" s="32" t="n">
        <v>3.95</v>
      </c>
      <c r="G76" s="32" t="n">
        <v>3.95</v>
      </c>
      <c r="H76" s="31" t="s">
        <v>45</v>
      </c>
      <c r="I76" s="31" t="s">
        <v>155</v>
      </c>
      <c r="J76" s="31" t="s">
        <v>156</v>
      </c>
      <c r="K76" s="31" t="s">
        <v>48</v>
      </c>
    </row>
    <row r="77" customFormat="false" ht="15" hidden="false" customHeight="false" outlineLevel="0" collapsed="false">
      <c r="A77" s="31" t="s">
        <v>153</v>
      </c>
      <c r="B77" s="31" t="s">
        <v>157</v>
      </c>
      <c r="C77" s="31" t="s">
        <v>20</v>
      </c>
      <c r="D77" s="31" t="s">
        <v>140</v>
      </c>
      <c r="E77" s="31" t="n">
        <v>1</v>
      </c>
      <c r="F77" s="32" t="n">
        <v>26</v>
      </c>
      <c r="G77" s="32" t="n">
        <v>26</v>
      </c>
      <c r="H77" s="31" t="s">
        <v>45</v>
      </c>
      <c r="I77" s="31" t="s">
        <v>155</v>
      </c>
      <c r="J77" s="31" t="s">
        <v>156</v>
      </c>
      <c r="K77" s="31" t="s">
        <v>48</v>
      </c>
    </row>
    <row r="78" customFormat="false" ht="15" hidden="false" customHeight="false" outlineLevel="0" collapsed="false">
      <c r="A78" s="31" t="s">
        <v>153</v>
      </c>
      <c r="B78" s="31" t="s">
        <v>154</v>
      </c>
      <c r="C78" s="31" t="s">
        <v>20</v>
      </c>
      <c r="D78" s="31" t="s">
        <v>73</v>
      </c>
      <c r="E78" s="31" t="n">
        <v>1</v>
      </c>
      <c r="F78" s="32" t="n">
        <v>69</v>
      </c>
      <c r="G78" s="32" t="n">
        <v>69</v>
      </c>
      <c r="H78" s="31" t="s">
        <v>45</v>
      </c>
      <c r="I78" s="31" t="s">
        <v>155</v>
      </c>
      <c r="J78" s="31" t="s">
        <v>156</v>
      </c>
      <c r="K78" s="31" t="s">
        <v>48</v>
      </c>
    </row>
    <row r="79" customFormat="false" ht="15" hidden="false" customHeight="false" outlineLevel="0" collapsed="false">
      <c r="A79" s="31" t="s">
        <v>153</v>
      </c>
      <c r="B79" s="31" t="s">
        <v>154</v>
      </c>
      <c r="C79" s="31" t="s">
        <v>20</v>
      </c>
      <c r="D79" s="31" t="s">
        <v>52</v>
      </c>
      <c r="E79" s="31" t="n">
        <v>2</v>
      </c>
      <c r="F79" s="32" t="n">
        <v>22</v>
      </c>
      <c r="G79" s="32" t="n">
        <v>44</v>
      </c>
      <c r="H79" s="31" t="s">
        <v>45</v>
      </c>
      <c r="I79" s="31" t="s">
        <v>155</v>
      </c>
      <c r="J79" s="31" t="s">
        <v>156</v>
      </c>
      <c r="K79" s="31" t="s">
        <v>48</v>
      </c>
    </row>
    <row r="80" customFormat="false" ht="15" hidden="false" customHeight="false" outlineLevel="0" collapsed="false">
      <c r="A80" s="31" t="s">
        <v>158</v>
      </c>
      <c r="B80" s="31" t="s">
        <v>159</v>
      </c>
      <c r="C80" s="31" t="s">
        <v>20</v>
      </c>
      <c r="D80" s="31" t="s">
        <v>52</v>
      </c>
      <c r="E80" s="31" t="n">
        <v>2</v>
      </c>
      <c r="F80" s="32" t="n">
        <v>22</v>
      </c>
      <c r="G80" s="32" t="n">
        <v>44</v>
      </c>
      <c r="H80" s="31" t="s">
        <v>160</v>
      </c>
      <c r="I80" s="31" t="s">
        <v>104</v>
      </c>
      <c r="J80" s="31" t="s">
        <v>72</v>
      </c>
      <c r="K80" s="31" t="s">
        <v>48</v>
      </c>
    </row>
    <row r="81" customFormat="false" ht="15" hidden="false" customHeight="false" outlineLevel="0" collapsed="false">
      <c r="A81" s="31" t="s">
        <v>158</v>
      </c>
      <c r="B81" s="31" t="s">
        <v>159</v>
      </c>
      <c r="C81" s="31" t="s">
        <v>44</v>
      </c>
      <c r="D81" s="31" t="s">
        <v>44</v>
      </c>
      <c r="E81" s="31" t="n">
        <v>1</v>
      </c>
      <c r="F81" s="32" t="n">
        <v>0</v>
      </c>
      <c r="G81" s="32" t="n">
        <v>0</v>
      </c>
      <c r="H81" s="31" t="s">
        <v>160</v>
      </c>
      <c r="I81" s="31" t="s">
        <v>104</v>
      </c>
      <c r="J81" s="31" t="s">
        <v>72</v>
      </c>
      <c r="K81" s="31" t="s">
        <v>48</v>
      </c>
    </row>
    <row r="82" customFormat="false" ht="15" hidden="false" customHeight="false" outlineLevel="0" collapsed="false">
      <c r="A82" s="31" t="s">
        <v>161</v>
      </c>
      <c r="B82" s="31" t="s">
        <v>162</v>
      </c>
      <c r="C82" s="31" t="s">
        <v>44</v>
      </c>
      <c r="D82" s="31" t="s">
        <v>44</v>
      </c>
      <c r="E82" s="31" t="n">
        <v>1</v>
      </c>
      <c r="F82" s="32" t="n">
        <v>4.95</v>
      </c>
      <c r="G82" s="32" t="n">
        <v>4.95</v>
      </c>
      <c r="H82" s="31" t="s">
        <v>45</v>
      </c>
      <c r="I82" s="31" t="s">
        <v>58</v>
      </c>
      <c r="J82" s="31"/>
      <c r="K82" s="31" t="s">
        <v>48</v>
      </c>
    </row>
    <row r="83" customFormat="false" ht="15" hidden="false" customHeight="false" outlineLevel="0" collapsed="false">
      <c r="A83" s="31" t="s">
        <v>161</v>
      </c>
      <c r="B83" s="31" t="s">
        <v>163</v>
      </c>
      <c r="C83" s="31" t="s">
        <v>20</v>
      </c>
      <c r="D83" s="31" t="s">
        <v>123</v>
      </c>
      <c r="E83" s="31" t="n">
        <v>1</v>
      </c>
      <c r="F83" s="32" t="n">
        <v>75</v>
      </c>
      <c r="G83" s="32" t="n">
        <v>75</v>
      </c>
      <c r="H83" s="31" t="s">
        <v>45</v>
      </c>
      <c r="I83" s="31" t="s">
        <v>58</v>
      </c>
      <c r="J83" s="31"/>
      <c r="K83" s="31" t="s">
        <v>48</v>
      </c>
    </row>
    <row r="84" customFormat="false" ht="15" hidden="false" customHeight="false" outlineLevel="0" collapsed="false">
      <c r="A84" s="31" t="s">
        <v>164</v>
      </c>
      <c r="B84" s="31" t="s">
        <v>165</v>
      </c>
      <c r="C84" s="31" t="s">
        <v>44</v>
      </c>
      <c r="D84" s="31" t="s">
        <v>44</v>
      </c>
      <c r="E84" s="31" t="n">
        <v>1</v>
      </c>
      <c r="F84" s="32" t="n">
        <v>3.95</v>
      </c>
      <c r="G84" s="32" t="n">
        <v>3.95</v>
      </c>
      <c r="H84" s="31" t="s">
        <v>57</v>
      </c>
      <c r="I84" s="31" t="s">
        <v>58</v>
      </c>
      <c r="J84" s="31" t="s">
        <v>166</v>
      </c>
      <c r="K84" s="31" t="s">
        <v>48</v>
      </c>
    </row>
    <row r="85" customFormat="false" ht="15" hidden="false" customHeight="false" outlineLevel="0" collapsed="false">
      <c r="A85" s="31" t="s">
        <v>164</v>
      </c>
      <c r="B85" s="31" t="s">
        <v>165</v>
      </c>
      <c r="C85" s="31" t="s">
        <v>20</v>
      </c>
      <c r="D85" s="31" t="s">
        <v>87</v>
      </c>
      <c r="E85" s="31" t="n">
        <v>2</v>
      </c>
      <c r="F85" s="32" t="n">
        <v>28</v>
      </c>
      <c r="G85" s="32" t="n">
        <v>56</v>
      </c>
      <c r="H85" s="31" t="s">
        <v>57</v>
      </c>
      <c r="I85" s="31" t="s">
        <v>58</v>
      </c>
      <c r="J85" s="31" t="s">
        <v>166</v>
      </c>
      <c r="K85" s="31" t="s">
        <v>48</v>
      </c>
    </row>
    <row r="86" customFormat="false" ht="15" hidden="false" customHeight="false" outlineLevel="0" collapsed="false">
      <c r="A86" s="31" t="s">
        <v>164</v>
      </c>
      <c r="B86" s="31" t="s">
        <v>165</v>
      </c>
      <c r="C86" s="31" t="s">
        <v>20</v>
      </c>
      <c r="D86" s="31" t="s">
        <v>69</v>
      </c>
      <c r="E86" s="31" t="n">
        <v>3</v>
      </c>
      <c r="F86" s="32" t="n">
        <v>29</v>
      </c>
      <c r="G86" s="32" t="n">
        <v>87</v>
      </c>
      <c r="H86" s="31" t="s">
        <v>57</v>
      </c>
      <c r="I86" s="31" t="s">
        <v>58</v>
      </c>
      <c r="J86" s="31" t="s">
        <v>166</v>
      </c>
      <c r="K86" s="31" t="s">
        <v>48</v>
      </c>
    </row>
    <row r="87" customFormat="false" ht="15" hidden="false" customHeight="false" outlineLevel="0" collapsed="false">
      <c r="A87" s="31" t="s">
        <v>167</v>
      </c>
      <c r="B87" s="31" t="s">
        <v>168</v>
      </c>
      <c r="C87" s="31" t="s">
        <v>20</v>
      </c>
      <c r="D87" s="31" t="s">
        <v>123</v>
      </c>
      <c r="E87" s="31" t="n">
        <v>1</v>
      </c>
      <c r="F87" s="32" t="n">
        <v>75</v>
      </c>
      <c r="G87" s="32" t="n">
        <v>75</v>
      </c>
      <c r="H87" s="31" t="s">
        <v>45</v>
      </c>
      <c r="I87" s="31" t="s">
        <v>58</v>
      </c>
      <c r="J87" s="31" t="s">
        <v>169</v>
      </c>
      <c r="K87" s="31" t="s">
        <v>48</v>
      </c>
    </row>
    <row r="88" customFormat="false" ht="15" hidden="false" customHeight="false" outlineLevel="0" collapsed="false">
      <c r="A88" s="31" t="s">
        <v>167</v>
      </c>
      <c r="B88" s="31" t="s">
        <v>170</v>
      </c>
      <c r="C88" s="31" t="s">
        <v>44</v>
      </c>
      <c r="D88" s="31" t="s">
        <v>44</v>
      </c>
      <c r="E88" s="31" t="n">
        <v>1</v>
      </c>
      <c r="F88" s="32" t="n">
        <v>4.95</v>
      </c>
      <c r="G88" s="32" t="n">
        <v>4.95</v>
      </c>
      <c r="H88" s="31" t="s">
        <v>45</v>
      </c>
      <c r="I88" s="31" t="s">
        <v>58</v>
      </c>
      <c r="J88" s="31" t="s">
        <v>169</v>
      </c>
      <c r="K88" s="31" t="s">
        <v>48</v>
      </c>
    </row>
    <row r="89" customFormat="false" ht="15" hidden="false" customHeight="false" outlineLevel="0" collapsed="false">
      <c r="A89" s="31" t="s">
        <v>171</v>
      </c>
      <c r="B89" s="31" t="s">
        <v>172</v>
      </c>
      <c r="C89" s="31" t="s">
        <v>20</v>
      </c>
      <c r="D89" s="31" t="s">
        <v>56</v>
      </c>
      <c r="E89" s="31" t="n">
        <v>1</v>
      </c>
      <c r="F89" s="32" t="n">
        <v>45</v>
      </c>
      <c r="G89" s="32" t="n">
        <v>45</v>
      </c>
      <c r="H89" s="31" t="s">
        <v>45</v>
      </c>
      <c r="I89" s="31" t="s">
        <v>104</v>
      </c>
      <c r="J89" s="31"/>
      <c r="K89" s="31" t="s">
        <v>48</v>
      </c>
    </row>
    <row r="90" customFormat="false" ht="15" hidden="false" customHeight="false" outlineLevel="0" collapsed="false">
      <c r="A90" s="31" t="s">
        <v>173</v>
      </c>
      <c r="B90" s="31" t="s">
        <v>174</v>
      </c>
      <c r="C90" s="31" t="s">
        <v>20</v>
      </c>
      <c r="D90" s="31" t="s">
        <v>140</v>
      </c>
      <c r="E90" s="31" t="n">
        <v>2</v>
      </c>
      <c r="F90" s="32" t="n">
        <v>26</v>
      </c>
      <c r="G90" s="32" t="n">
        <v>52</v>
      </c>
      <c r="H90" s="31" t="s">
        <v>45</v>
      </c>
      <c r="I90" s="31" t="s">
        <v>58</v>
      </c>
      <c r="J90" s="31" t="s">
        <v>175</v>
      </c>
      <c r="K90" s="31" t="s">
        <v>48</v>
      </c>
    </row>
    <row r="91" customFormat="false" ht="15" hidden="false" customHeight="false" outlineLevel="0" collapsed="false">
      <c r="A91" s="31" t="s">
        <v>173</v>
      </c>
      <c r="B91" s="31" t="s">
        <v>174</v>
      </c>
      <c r="C91" s="31" t="s">
        <v>20</v>
      </c>
      <c r="D91" s="31" t="s">
        <v>78</v>
      </c>
      <c r="E91" s="31" t="n">
        <v>1</v>
      </c>
      <c r="F91" s="32" t="n">
        <v>80.1</v>
      </c>
      <c r="G91" s="32" t="n">
        <v>80.1</v>
      </c>
      <c r="H91" s="31" t="s">
        <v>45</v>
      </c>
      <c r="I91" s="31" t="s">
        <v>58</v>
      </c>
      <c r="J91" s="31" t="s">
        <v>175</v>
      </c>
      <c r="K91" s="31" t="s">
        <v>48</v>
      </c>
    </row>
    <row r="92" customFormat="false" ht="15" hidden="false" customHeight="false" outlineLevel="0" collapsed="false">
      <c r="A92" s="31" t="s">
        <v>173</v>
      </c>
      <c r="B92" s="31" t="s">
        <v>176</v>
      </c>
      <c r="C92" s="31" t="s">
        <v>20</v>
      </c>
      <c r="D92" s="31" t="s">
        <v>63</v>
      </c>
      <c r="E92" s="31" t="n">
        <v>1</v>
      </c>
      <c r="F92" s="32" t="n">
        <v>14</v>
      </c>
      <c r="G92" s="32" t="n">
        <v>14</v>
      </c>
      <c r="H92" s="31" t="s">
        <v>45</v>
      </c>
      <c r="I92" s="31" t="s">
        <v>58</v>
      </c>
      <c r="J92" s="31" t="s">
        <v>175</v>
      </c>
      <c r="K92" s="31" t="s">
        <v>48</v>
      </c>
    </row>
    <row r="93" customFormat="false" ht="15" hidden="false" customHeight="false" outlineLevel="0" collapsed="false">
      <c r="A93" s="31" t="s">
        <v>177</v>
      </c>
      <c r="B93" s="31" t="s">
        <v>178</v>
      </c>
      <c r="C93" s="31" t="s">
        <v>20</v>
      </c>
      <c r="D93" s="31" t="s">
        <v>73</v>
      </c>
      <c r="E93" s="31" t="n">
        <v>1</v>
      </c>
      <c r="F93" s="32" t="n">
        <v>69</v>
      </c>
      <c r="G93" s="32" t="n">
        <v>69</v>
      </c>
      <c r="H93" s="31" t="s">
        <v>57</v>
      </c>
      <c r="I93" s="31" t="s">
        <v>58</v>
      </c>
      <c r="J93" s="31" t="s">
        <v>179</v>
      </c>
      <c r="K93" s="31" t="s">
        <v>48</v>
      </c>
    </row>
    <row r="94" customFormat="false" ht="15" hidden="false" customHeight="false" outlineLevel="0" collapsed="false">
      <c r="A94" s="31" t="s">
        <v>180</v>
      </c>
      <c r="B94" s="31" t="s">
        <v>181</v>
      </c>
      <c r="C94" s="31" t="s">
        <v>20</v>
      </c>
      <c r="D94" s="31" t="s">
        <v>52</v>
      </c>
      <c r="E94" s="31" t="n">
        <v>2</v>
      </c>
      <c r="F94" s="32" t="n">
        <v>22</v>
      </c>
      <c r="G94" s="32" t="n">
        <v>44</v>
      </c>
      <c r="H94" s="31" t="s">
        <v>57</v>
      </c>
      <c r="I94" s="31" t="s">
        <v>58</v>
      </c>
      <c r="J94" s="31" t="s">
        <v>77</v>
      </c>
      <c r="K94" s="31" t="s">
        <v>48</v>
      </c>
    </row>
    <row r="95" customFormat="false" ht="15" hidden="false" customHeight="false" outlineLevel="0" collapsed="false">
      <c r="A95" s="31" t="s">
        <v>180</v>
      </c>
      <c r="B95" s="31" t="s">
        <v>181</v>
      </c>
      <c r="C95" s="31" t="s">
        <v>20</v>
      </c>
      <c r="D95" s="31" t="s">
        <v>73</v>
      </c>
      <c r="E95" s="31" t="n">
        <v>1</v>
      </c>
      <c r="F95" s="32" t="n">
        <v>69</v>
      </c>
      <c r="G95" s="32" t="n">
        <v>69</v>
      </c>
      <c r="H95" s="31" t="s">
        <v>57</v>
      </c>
      <c r="I95" s="31" t="s">
        <v>58</v>
      </c>
      <c r="J95" s="31" t="s">
        <v>77</v>
      </c>
      <c r="K95" s="31" t="s">
        <v>48</v>
      </c>
    </row>
    <row r="96" customFormat="false" ht="15" hidden="false" customHeight="false" outlineLevel="0" collapsed="false">
      <c r="A96" s="31" t="s">
        <v>182</v>
      </c>
      <c r="B96" s="31" t="s">
        <v>183</v>
      </c>
      <c r="C96" s="31" t="s">
        <v>44</v>
      </c>
      <c r="D96" s="31" t="s">
        <v>44</v>
      </c>
      <c r="E96" s="31" t="n">
        <v>1</v>
      </c>
      <c r="F96" s="32" t="n">
        <v>0</v>
      </c>
      <c r="G96" s="32" t="n">
        <v>0</v>
      </c>
      <c r="H96" s="31" t="s">
        <v>184</v>
      </c>
      <c r="I96" s="31" t="s">
        <v>58</v>
      </c>
      <c r="J96" s="31" t="s">
        <v>185</v>
      </c>
      <c r="K96" s="31" t="s">
        <v>48</v>
      </c>
    </row>
    <row r="97" customFormat="false" ht="15" hidden="false" customHeight="false" outlineLevel="0" collapsed="false">
      <c r="A97" s="31" t="s">
        <v>182</v>
      </c>
      <c r="B97" s="31" t="s">
        <v>186</v>
      </c>
      <c r="C97" s="31" t="s">
        <v>20</v>
      </c>
      <c r="D97" s="31" t="s">
        <v>78</v>
      </c>
      <c r="E97" s="31" t="n">
        <v>1</v>
      </c>
      <c r="F97" s="32" t="n">
        <v>89</v>
      </c>
      <c r="G97" s="32" t="n">
        <v>89</v>
      </c>
      <c r="H97" s="31" t="s">
        <v>184</v>
      </c>
      <c r="I97" s="31" t="s">
        <v>58</v>
      </c>
      <c r="J97" s="31" t="s">
        <v>185</v>
      </c>
      <c r="K97" s="31" t="s">
        <v>48</v>
      </c>
    </row>
    <row r="98" customFormat="false" ht="15" hidden="false" customHeight="false" outlineLevel="0" collapsed="false">
      <c r="A98" s="31" t="s">
        <v>182</v>
      </c>
      <c r="B98" s="31" t="s">
        <v>183</v>
      </c>
      <c r="C98" s="31" t="s">
        <v>20</v>
      </c>
      <c r="D98" s="31" t="s">
        <v>73</v>
      </c>
      <c r="E98" s="31" t="n">
        <v>1</v>
      </c>
      <c r="F98" s="32" t="n">
        <v>69</v>
      </c>
      <c r="G98" s="32" t="n">
        <v>69</v>
      </c>
      <c r="H98" s="31" t="s">
        <v>184</v>
      </c>
      <c r="I98" s="31" t="s">
        <v>58</v>
      </c>
      <c r="J98" s="31" t="s">
        <v>185</v>
      </c>
      <c r="K98" s="31" t="s">
        <v>48</v>
      </c>
    </row>
    <row r="99" customFormat="false" ht="15" hidden="false" customHeight="false" outlineLevel="0" collapsed="false">
      <c r="A99" s="31" t="s">
        <v>187</v>
      </c>
      <c r="B99" s="31" t="s">
        <v>188</v>
      </c>
      <c r="C99" s="31" t="s">
        <v>20</v>
      </c>
      <c r="D99" s="31" t="s">
        <v>78</v>
      </c>
      <c r="E99" s="31" t="n">
        <v>1</v>
      </c>
      <c r="F99" s="32" t="n">
        <v>89</v>
      </c>
      <c r="G99" s="32" t="n">
        <v>89</v>
      </c>
      <c r="H99" s="31" t="s">
        <v>45</v>
      </c>
      <c r="I99" s="31" t="s">
        <v>58</v>
      </c>
      <c r="J99" s="31" t="s">
        <v>185</v>
      </c>
      <c r="K99" s="31" t="s">
        <v>48</v>
      </c>
    </row>
    <row r="100" customFormat="false" ht="15" hidden="false" customHeight="false" outlineLevel="0" collapsed="false">
      <c r="A100" s="31" t="s">
        <v>187</v>
      </c>
      <c r="B100" s="31" t="s">
        <v>188</v>
      </c>
      <c r="C100" s="31" t="s">
        <v>44</v>
      </c>
      <c r="D100" s="31" t="s">
        <v>44</v>
      </c>
      <c r="E100" s="31" t="n">
        <v>1</v>
      </c>
      <c r="F100" s="32" t="n">
        <v>0</v>
      </c>
      <c r="G100" s="32" t="n">
        <v>0</v>
      </c>
      <c r="H100" s="31" t="s">
        <v>45</v>
      </c>
      <c r="I100" s="31" t="s">
        <v>58</v>
      </c>
      <c r="J100" s="31" t="s">
        <v>185</v>
      </c>
      <c r="K100" s="31" t="s">
        <v>48</v>
      </c>
    </row>
    <row r="101" customFormat="false" ht="15" hidden="false" customHeight="false" outlineLevel="0" collapsed="false">
      <c r="A101" s="31" t="s">
        <v>189</v>
      </c>
      <c r="B101" s="31" t="s">
        <v>190</v>
      </c>
      <c r="C101" s="31" t="s">
        <v>44</v>
      </c>
      <c r="D101" s="31" t="s">
        <v>44</v>
      </c>
      <c r="E101" s="31" t="n">
        <v>1</v>
      </c>
      <c r="F101" s="32" t="n">
        <v>4.95</v>
      </c>
      <c r="G101" s="32" t="n">
        <v>4.95</v>
      </c>
      <c r="H101" s="31" t="s">
        <v>184</v>
      </c>
      <c r="I101" s="31" t="s">
        <v>58</v>
      </c>
      <c r="J101" s="31" t="s">
        <v>191</v>
      </c>
      <c r="K101" s="31" t="s">
        <v>48</v>
      </c>
    </row>
    <row r="102" customFormat="false" ht="15" hidden="false" customHeight="false" outlineLevel="0" collapsed="false">
      <c r="A102" s="31" t="s">
        <v>189</v>
      </c>
      <c r="B102" s="31" t="s">
        <v>192</v>
      </c>
      <c r="C102" s="31" t="s">
        <v>20</v>
      </c>
      <c r="D102" s="31" t="s">
        <v>69</v>
      </c>
      <c r="E102" s="31" t="n">
        <v>2</v>
      </c>
      <c r="F102" s="32" t="n">
        <v>29</v>
      </c>
      <c r="G102" s="32" t="n">
        <v>58</v>
      </c>
      <c r="H102" s="31" t="s">
        <v>184</v>
      </c>
      <c r="I102" s="31" t="s">
        <v>58</v>
      </c>
      <c r="J102" s="31" t="s">
        <v>191</v>
      </c>
      <c r="K102" s="31" t="s">
        <v>48</v>
      </c>
    </row>
    <row r="103" customFormat="false" ht="15" hidden="false" customHeight="false" outlineLevel="0" collapsed="false">
      <c r="A103" s="31" t="s">
        <v>189</v>
      </c>
      <c r="B103" s="31" t="s">
        <v>190</v>
      </c>
      <c r="C103" s="31" t="s">
        <v>20</v>
      </c>
      <c r="D103" s="31" t="s">
        <v>53</v>
      </c>
      <c r="E103" s="31" t="n">
        <v>4</v>
      </c>
      <c r="F103" s="32" t="n">
        <v>39</v>
      </c>
      <c r="G103" s="32" t="n">
        <v>156</v>
      </c>
      <c r="H103" s="31" t="s">
        <v>184</v>
      </c>
      <c r="I103" s="31" t="s">
        <v>58</v>
      </c>
      <c r="J103" s="31" t="s">
        <v>191</v>
      </c>
      <c r="K103" s="31" t="s">
        <v>48</v>
      </c>
    </row>
    <row r="104" customFormat="false" ht="15" hidden="false" customHeight="false" outlineLevel="0" collapsed="false">
      <c r="A104" s="31" t="s">
        <v>189</v>
      </c>
      <c r="B104" s="31" t="s">
        <v>190</v>
      </c>
      <c r="C104" s="31" t="s">
        <v>20</v>
      </c>
      <c r="D104" s="31" t="s">
        <v>73</v>
      </c>
      <c r="E104" s="31" t="n">
        <v>1</v>
      </c>
      <c r="F104" s="32" t="n">
        <v>69</v>
      </c>
      <c r="G104" s="32" t="n">
        <v>69</v>
      </c>
      <c r="H104" s="31" t="s">
        <v>184</v>
      </c>
      <c r="I104" s="31" t="s">
        <v>58</v>
      </c>
      <c r="J104" s="31" t="s">
        <v>191</v>
      </c>
      <c r="K104" s="31" t="s">
        <v>48</v>
      </c>
    </row>
    <row r="105" customFormat="false" ht="15" hidden="false" customHeight="false" outlineLevel="0" collapsed="false">
      <c r="A105" s="31" t="s">
        <v>193</v>
      </c>
      <c r="B105" s="31" t="s">
        <v>194</v>
      </c>
      <c r="C105" s="31" t="s">
        <v>20</v>
      </c>
      <c r="D105" s="31" t="s">
        <v>56</v>
      </c>
      <c r="E105" s="31" t="n">
        <v>2</v>
      </c>
      <c r="F105" s="32" t="n">
        <v>45</v>
      </c>
      <c r="G105" s="32" t="n">
        <v>90</v>
      </c>
      <c r="H105" s="31" t="s">
        <v>45</v>
      </c>
      <c r="I105" s="31" t="s">
        <v>84</v>
      </c>
      <c r="J105" s="31" t="s">
        <v>195</v>
      </c>
      <c r="K105" s="31" t="s">
        <v>48</v>
      </c>
    </row>
    <row r="106" customFormat="false" ht="15" hidden="false" customHeight="false" outlineLevel="0" collapsed="false">
      <c r="A106" s="31" t="s">
        <v>196</v>
      </c>
      <c r="B106" s="31" t="s">
        <v>197</v>
      </c>
      <c r="C106" s="31" t="s">
        <v>20</v>
      </c>
      <c r="D106" s="31" t="s">
        <v>78</v>
      </c>
      <c r="E106" s="31" t="n">
        <v>1</v>
      </c>
      <c r="F106" s="32" t="n">
        <v>89</v>
      </c>
      <c r="G106" s="32" t="n">
        <v>89</v>
      </c>
      <c r="H106" s="31" t="s">
        <v>145</v>
      </c>
      <c r="I106" s="31" t="s">
        <v>58</v>
      </c>
      <c r="J106" s="31" t="s">
        <v>198</v>
      </c>
      <c r="K106" s="31" t="s">
        <v>48</v>
      </c>
    </row>
    <row r="107" customFormat="false" ht="15" hidden="false" customHeight="false" outlineLevel="0" collapsed="false">
      <c r="A107" s="31" t="s">
        <v>199</v>
      </c>
      <c r="B107" s="31" t="s">
        <v>200</v>
      </c>
      <c r="C107" s="31" t="s">
        <v>44</v>
      </c>
      <c r="D107" s="31" t="s">
        <v>44</v>
      </c>
      <c r="E107" s="31" t="n">
        <v>1</v>
      </c>
      <c r="F107" s="32" t="n">
        <v>0</v>
      </c>
      <c r="G107" s="32" t="n">
        <v>0</v>
      </c>
      <c r="H107" s="31" t="s">
        <v>45</v>
      </c>
      <c r="I107" s="31" t="s">
        <v>58</v>
      </c>
      <c r="J107" s="31" t="s">
        <v>201</v>
      </c>
      <c r="K107" s="31" t="s">
        <v>202</v>
      </c>
    </row>
    <row r="108" customFormat="false" ht="15" hidden="false" customHeight="false" outlineLevel="0" collapsed="false">
      <c r="A108" s="31" t="s">
        <v>199</v>
      </c>
      <c r="B108" s="31" t="s">
        <v>203</v>
      </c>
      <c r="C108" s="31" t="s">
        <v>20</v>
      </c>
      <c r="D108" s="31" t="s">
        <v>73</v>
      </c>
      <c r="E108" s="31" t="n">
        <v>1</v>
      </c>
      <c r="F108" s="32" t="n">
        <v>69</v>
      </c>
      <c r="G108" s="32" t="n">
        <v>69</v>
      </c>
      <c r="H108" s="31" t="s">
        <v>45</v>
      </c>
      <c r="I108" s="31" t="s">
        <v>58</v>
      </c>
      <c r="J108" s="31" t="s">
        <v>201</v>
      </c>
      <c r="K108" s="31" t="s">
        <v>48</v>
      </c>
    </row>
    <row r="109" customFormat="false" ht="15" hidden="false" customHeight="false" outlineLevel="0" collapsed="false">
      <c r="A109" s="31" t="s">
        <v>204</v>
      </c>
      <c r="B109" s="31" t="s">
        <v>205</v>
      </c>
      <c r="C109" s="31" t="s">
        <v>20</v>
      </c>
      <c r="D109" s="31" t="s">
        <v>56</v>
      </c>
      <c r="E109" s="31" t="n">
        <v>1</v>
      </c>
      <c r="F109" s="32" t="n">
        <v>45</v>
      </c>
      <c r="G109" s="32" t="n">
        <v>45</v>
      </c>
      <c r="H109" s="31" t="s">
        <v>45</v>
      </c>
      <c r="I109" s="31" t="s">
        <v>58</v>
      </c>
      <c r="J109" s="31"/>
      <c r="K109" s="31" t="s">
        <v>48</v>
      </c>
    </row>
    <row r="110" customFormat="false" ht="15" hidden="false" customHeight="false" outlineLevel="0" collapsed="false">
      <c r="A110" s="31" t="s">
        <v>204</v>
      </c>
      <c r="B110" s="31" t="s">
        <v>205</v>
      </c>
      <c r="C110" s="31" t="s">
        <v>20</v>
      </c>
      <c r="D110" s="31" t="s">
        <v>87</v>
      </c>
      <c r="E110" s="31" t="n">
        <v>1</v>
      </c>
      <c r="F110" s="32" t="n">
        <v>35</v>
      </c>
      <c r="G110" s="32" t="n">
        <v>35</v>
      </c>
      <c r="H110" s="31" t="s">
        <v>45</v>
      </c>
      <c r="I110" s="31" t="s">
        <v>58</v>
      </c>
      <c r="J110" s="31"/>
      <c r="K110" s="31" t="s">
        <v>48</v>
      </c>
    </row>
    <row r="111" customFormat="false" ht="15" hidden="false" customHeight="false" outlineLevel="0" collapsed="false">
      <c r="A111" s="31" t="s">
        <v>204</v>
      </c>
      <c r="B111" s="31" t="s">
        <v>205</v>
      </c>
      <c r="C111" s="31" t="s">
        <v>20</v>
      </c>
      <c r="D111" s="31" t="s">
        <v>78</v>
      </c>
      <c r="E111" s="31" t="n">
        <v>3</v>
      </c>
      <c r="F111" s="32" t="n">
        <v>89</v>
      </c>
      <c r="G111" s="32" t="n">
        <v>267</v>
      </c>
      <c r="H111" s="31" t="s">
        <v>45</v>
      </c>
      <c r="I111" s="31" t="s">
        <v>58</v>
      </c>
      <c r="J111" s="31"/>
      <c r="K111" s="31" t="s">
        <v>48</v>
      </c>
    </row>
    <row r="112" customFormat="false" ht="15" hidden="false" customHeight="false" outlineLevel="0" collapsed="false">
      <c r="A112" s="31" t="s">
        <v>206</v>
      </c>
      <c r="B112" s="31" t="s">
        <v>207</v>
      </c>
      <c r="C112" s="31" t="s">
        <v>20</v>
      </c>
      <c r="D112" s="31" t="s">
        <v>63</v>
      </c>
      <c r="E112" s="31" t="n">
        <v>2</v>
      </c>
      <c r="F112" s="32" t="n">
        <v>14</v>
      </c>
      <c r="G112" s="32" t="n">
        <v>28</v>
      </c>
      <c r="H112" s="31" t="s">
        <v>45</v>
      </c>
      <c r="I112" s="31" t="s">
        <v>58</v>
      </c>
      <c r="J112" s="31" t="s">
        <v>208</v>
      </c>
      <c r="K112" s="31" t="s">
        <v>48</v>
      </c>
    </row>
    <row r="113" customFormat="false" ht="15" hidden="false" customHeight="false" outlineLevel="0" collapsed="false">
      <c r="A113" s="31" t="s">
        <v>206</v>
      </c>
      <c r="B113" s="31" t="s">
        <v>209</v>
      </c>
      <c r="C113" s="31" t="s">
        <v>44</v>
      </c>
      <c r="D113" s="31" t="s">
        <v>44</v>
      </c>
      <c r="E113" s="31" t="n">
        <v>1</v>
      </c>
      <c r="F113" s="32" t="n">
        <v>4.95</v>
      </c>
      <c r="G113" s="32" t="n">
        <v>4.95</v>
      </c>
      <c r="H113" s="31" t="s">
        <v>45</v>
      </c>
      <c r="I113" s="31" t="s">
        <v>58</v>
      </c>
      <c r="J113" s="31" t="s">
        <v>208</v>
      </c>
      <c r="K113" s="31" t="s">
        <v>48</v>
      </c>
    </row>
    <row r="114" customFormat="false" ht="15" hidden="false" customHeight="false" outlineLevel="0" collapsed="false">
      <c r="A114" s="31" t="s">
        <v>210</v>
      </c>
      <c r="B114" s="31" t="s">
        <v>211</v>
      </c>
      <c r="C114" s="31" t="s">
        <v>20</v>
      </c>
      <c r="D114" s="31" t="s">
        <v>140</v>
      </c>
      <c r="E114" s="31" t="n">
        <v>1</v>
      </c>
      <c r="F114" s="32" t="n">
        <v>26</v>
      </c>
      <c r="G114" s="32" t="n">
        <v>26</v>
      </c>
      <c r="H114" s="31" t="s">
        <v>45</v>
      </c>
      <c r="I114" s="31" t="s">
        <v>58</v>
      </c>
      <c r="J114" s="31" t="s">
        <v>212</v>
      </c>
      <c r="K114" s="31" t="s">
        <v>48</v>
      </c>
    </row>
    <row r="115" customFormat="false" ht="15" hidden="false" customHeight="false" outlineLevel="0" collapsed="false">
      <c r="A115" s="31" t="s">
        <v>210</v>
      </c>
      <c r="B115" s="31" t="s">
        <v>211</v>
      </c>
      <c r="C115" s="31" t="s">
        <v>44</v>
      </c>
      <c r="D115" s="31" t="s">
        <v>44</v>
      </c>
      <c r="E115" s="31" t="n">
        <v>1</v>
      </c>
      <c r="F115" s="32" t="n">
        <v>3.95</v>
      </c>
      <c r="G115" s="32" t="n">
        <v>3.95</v>
      </c>
      <c r="H115" s="31" t="s">
        <v>45</v>
      </c>
      <c r="I115" s="31" t="s">
        <v>58</v>
      </c>
      <c r="J115" s="31" t="s">
        <v>212</v>
      </c>
      <c r="K115" s="31" t="s">
        <v>48</v>
      </c>
    </row>
    <row r="116" customFormat="false" ht="15" hidden="false" customHeight="false" outlineLevel="0" collapsed="false">
      <c r="A116" s="31" t="s">
        <v>210</v>
      </c>
      <c r="B116" s="31" t="s">
        <v>211</v>
      </c>
      <c r="C116" s="31" t="s">
        <v>20</v>
      </c>
      <c r="D116" s="31" t="s">
        <v>73</v>
      </c>
      <c r="E116" s="31" t="n">
        <v>2</v>
      </c>
      <c r="F116" s="32" t="n">
        <v>55.2</v>
      </c>
      <c r="G116" s="32" t="n">
        <v>110.4</v>
      </c>
      <c r="H116" s="31" t="s">
        <v>45</v>
      </c>
      <c r="I116" s="31" t="s">
        <v>58</v>
      </c>
      <c r="J116" s="31" t="s">
        <v>212</v>
      </c>
      <c r="K116" s="31" t="s">
        <v>48</v>
      </c>
    </row>
    <row r="117" customFormat="false" ht="15" hidden="false" customHeight="false" outlineLevel="0" collapsed="false">
      <c r="A117" s="31" t="s">
        <v>213</v>
      </c>
      <c r="B117" s="31" t="s">
        <v>214</v>
      </c>
      <c r="C117" s="31" t="s">
        <v>20</v>
      </c>
      <c r="D117" s="31" t="s">
        <v>78</v>
      </c>
      <c r="E117" s="31" t="n">
        <v>2</v>
      </c>
      <c r="F117" s="32" t="n">
        <v>89</v>
      </c>
      <c r="G117" s="32" t="n">
        <v>178</v>
      </c>
      <c r="H117" s="31" t="s">
        <v>45</v>
      </c>
      <c r="I117" s="31" t="s">
        <v>46</v>
      </c>
      <c r="J117" s="31"/>
      <c r="K117" s="31" t="s">
        <v>48</v>
      </c>
    </row>
    <row r="118" customFormat="false" ht="15" hidden="false" customHeight="false" outlineLevel="0" collapsed="false">
      <c r="A118" s="31" t="s">
        <v>213</v>
      </c>
      <c r="B118" s="31" t="s">
        <v>215</v>
      </c>
      <c r="C118" s="31" t="s">
        <v>20</v>
      </c>
      <c r="D118" s="31" t="s">
        <v>66</v>
      </c>
      <c r="E118" s="31" t="n">
        <v>1</v>
      </c>
      <c r="F118" s="32" t="n">
        <v>32</v>
      </c>
      <c r="G118" s="32" t="n">
        <v>32</v>
      </c>
      <c r="H118" s="31" t="s">
        <v>45</v>
      </c>
      <c r="I118" s="31" t="s">
        <v>46</v>
      </c>
      <c r="J118" s="31"/>
      <c r="K118" s="31" t="s">
        <v>48</v>
      </c>
    </row>
    <row r="119" customFormat="false" ht="15" hidden="false" customHeight="false" outlineLevel="0" collapsed="false">
      <c r="A119" s="31" t="s">
        <v>213</v>
      </c>
      <c r="B119" s="31" t="s">
        <v>215</v>
      </c>
      <c r="C119" s="31" t="s">
        <v>44</v>
      </c>
      <c r="D119" s="31" t="s">
        <v>44</v>
      </c>
      <c r="E119" s="31" t="n">
        <v>1</v>
      </c>
      <c r="F119" s="32" t="n">
        <v>5.95</v>
      </c>
      <c r="G119" s="32" t="n">
        <v>5.95</v>
      </c>
      <c r="H119" s="31" t="s">
        <v>45</v>
      </c>
      <c r="I119" s="31" t="s">
        <v>46</v>
      </c>
      <c r="J119" s="31"/>
      <c r="K119" s="31" t="s">
        <v>48</v>
      </c>
    </row>
    <row r="120" customFormat="false" ht="15" hidden="false" customHeight="false" outlineLevel="0" collapsed="false">
      <c r="A120" s="31" t="s">
        <v>216</v>
      </c>
      <c r="B120" s="31" t="s">
        <v>217</v>
      </c>
      <c r="C120" s="31" t="s">
        <v>20</v>
      </c>
      <c r="D120" s="31" t="s">
        <v>56</v>
      </c>
      <c r="E120" s="31" t="n">
        <v>1</v>
      </c>
      <c r="F120" s="32" t="n">
        <v>45</v>
      </c>
      <c r="G120" s="32" t="n">
        <v>45</v>
      </c>
      <c r="H120" s="31" t="s">
        <v>145</v>
      </c>
      <c r="I120" s="31" t="s">
        <v>46</v>
      </c>
      <c r="J120" s="31" t="s">
        <v>218</v>
      </c>
      <c r="K120" s="31" t="s">
        <v>48</v>
      </c>
    </row>
    <row r="121" customFormat="false" ht="15" hidden="false" customHeight="false" outlineLevel="0" collapsed="false">
      <c r="A121" s="31" t="s">
        <v>219</v>
      </c>
      <c r="B121" s="31" t="s">
        <v>220</v>
      </c>
      <c r="C121" s="31" t="s">
        <v>20</v>
      </c>
      <c r="D121" s="31" t="s">
        <v>73</v>
      </c>
      <c r="E121" s="31" t="n">
        <v>1</v>
      </c>
      <c r="F121" s="32" t="n">
        <v>69</v>
      </c>
      <c r="G121" s="32" t="n">
        <v>69</v>
      </c>
      <c r="H121" s="31" t="s">
        <v>45</v>
      </c>
      <c r="I121" s="31" t="s">
        <v>58</v>
      </c>
      <c r="J121" s="31" t="s">
        <v>221</v>
      </c>
      <c r="K121" s="31" t="s">
        <v>48</v>
      </c>
    </row>
    <row r="122" customFormat="false" ht="15" hidden="false" customHeight="false" outlineLevel="0" collapsed="false">
      <c r="A122" s="31" t="s">
        <v>219</v>
      </c>
      <c r="B122" s="31" t="s">
        <v>222</v>
      </c>
      <c r="C122" s="31" t="s">
        <v>44</v>
      </c>
      <c r="D122" s="31" t="s">
        <v>44</v>
      </c>
      <c r="E122" s="31" t="n">
        <v>1</v>
      </c>
      <c r="F122" s="32" t="n">
        <v>0</v>
      </c>
      <c r="G122" s="32" t="n">
        <v>0</v>
      </c>
      <c r="H122" s="31" t="s">
        <v>45</v>
      </c>
      <c r="I122" s="31" t="s">
        <v>58</v>
      </c>
      <c r="J122" s="31" t="s">
        <v>221</v>
      </c>
      <c r="K122" s="31" t="s">
        <v>48</v>
      </c>
    </row>
    <row r="123" customFormat="false" ht="15" hidden="false" customHeight="false" outlineLevel="0" collapsed="false">
      <c r="A123" s="31" t="s">
        <v>223</v>
      </c>
      <c r="B123" s="31" t="s">
        <v>224</v>
      </c>
      <c r="C123" s="31" t="s">
        <v>44</v>
      </c>
      <c r="D123" s="31" t="s">
        <v>44</v>
      </c>
      <c r="E123" s="31" t="n">
        <v>1</v>
      </c>
      <c r="F123" s="32" t="n">
        <v>0</v>
      </c>
      <c r="G123" s="32" t="n">
        <v>0</v>
      </c>
      <c r="H123" s="31" t="s">
        <v>57</v>
      </c>
      <c r="I123" s="31" t="s">
        <v>58</v>
      </c>
      <c r="J123" s="31" t="s">
        <v>225</v>
      </c>
      <c r="K123" s="31" t="s">
        <v>48</v>
      </c>
    </row>
    <row r="124" customFormat="false" ht="15" hidden="false" customHeight="false" outlineLevel="0" collapsed="false">
      <c r="A124" s="31" t="s">
        <v>223</v>
      </c>
      <c r="B124" s="31" t="s">
        <v>224</v>
      </c>
      <c r="C124" s="31" t="s">
        <v>44</v>
      </c>
      <c r="D124" s="31" t="s">
        <v>44</v>
      </c>
      <c r="E124" s="31" t="n">
        <v>1</v>
      </c>
      <c r="F124" s="32" t="n">
        <v>0</v>
      </c>
      <c r="G124" s="32" t="n">
        <v>0</v>
      </c>
      <c r="H124" s="31" t="s">
        <v>57</v>
      </c>
      <c r="I124" s="31" t="s">
        <v>58</v>
      </c>
      <c r="J124" s="31" t="s">
        <v>225</v>
      </c>
      <c r="K124" s="31" t="s">
        <v>48</v>
      </c>
    </row>
    <row r="125" customFormat="false" ht="15" hidden="false" customHeight="false" outlineLevel="0" collapsed="false">
      <c r="A125" s="31" t="s">
        <v>223</v>
      </c>
      <c r="B125" s="31" t="s">
        <v>224</v>
      </c>
      <c r="C125" s="31" t="s">
        <v>20</v>
      </c>
      <c r="D125" s="31" t="s">
        <v>78</v>
      </c>
      <c r="E125" s="31" t="n">
        <v>2</v>
      </c>
      <c r="F125" s="32" t="n">
        <v>89</v>
      </c>
      <c r="G125" s="32" t="n">
        <v>178</v>
      </c>
      <c r="H125" s="31" t="s">
        <v>57</v>
      </c>
      <c r="I125" s="31" t="s">
        <v>58</v>
      </c>
      <c r="J125" s="31" t="s">
        <v>225</v>
      </c>
      <c r="K125" s="31" t="s">
        <v>48</v>
      </c>
    </row>
    <row r="126" customFormat="false" ht="15" hidden="false" customHeight="false" outlineLevel="0" collapsed="false">
      <c r="A126" s="31" t="s">
        <v>226</v>
      </c>
      <c r="B126" s="31" t="s">
        <v>227</v>
      </c>
      <c r="C126" s="31" t="s">
        <v>20</v>
      </c>
      <c r="D126" s="31" t="s">
        <v>56</v>
      </c>
      <c r="E126" s="31" t="n">
        <v>1</v>
      </c>
      <c r="F126" s="32" t="n">
        <v>45</v>
      </c>
      <c r="G126" s="32" t="n">
        <v>45</v>
      </c>
      <c r="H126" s="31" t="s">
        <v>45</v>
      </c>
      <c r="I126" s="31" t="s">
        <v>58</v>
      </c>
      <c r="J126" s="31"/>
      <c r="K126" s="31" t="s">
        <v>48</v>
      </c>
    </row>
    <row r="127" customFormat="false" ht="15" hidden="false" customHeight="false" outlineLevel="0" collapsed="false">
      <c r="A127" s="31" t="s">
        <v>226</v>
      </c>
      <c r="B127" s="31" t="s">
        <v>228</v>
      </c>
      <c r="C127" s="31" t="s">
        <v>44</v>
      </c>
      <c r="D127" s="31" t="s">
        <v>44</v>
      </c>
      <c r="E127" s="31" t="n">
        <v>1</v>
      </c>
      <c r="F127" s="32" t="n">
        <v>3.95</v>
      </c>
      <c r="G127" s="32" t="n">
        <v>3.95</v>
      </c>
      <c r="H127" s="31" t="s">
        <v>45</v>
      </c>
      <c r="I127" s="31" t="s">
        <v>58</v>
      </c>
      <c r="J127" s="31"/>
      <c r="K127" s="31" t="s">
        <v>48</v>
      </c>
    </row>
    <row r="128" customFormat="false" ht="15" hidden="false" customHeight="false" outlineLevel="0" collapsed="false">
      <c r="A128" s="31" t="s">
        <v>226</v>
      </c>
      <c r="B128" s="31" t="s">
        <v>227</v>
      </c>
      <c r="C128" s="31" t="s">
        <v>20</v>
      </c>
      <c r="D128" s="31" t="s">
        <v>53</v>
      </c>
      <c r="E128" s="31" t="n">
        <v>2</v>
      </c>
      <c r="F128" s="32" t="n">
        <v>39</v>
      </c>
      <c r="G128" s="32" t="n">
        <v>78</v>
      </c>
      <c r="H128" s="31" t="s">
        <v>45</v>
      </c>
      <c r="I128" s="31" t="s">
        <v>58</v>
      </c>
      <c r="J128" s="31"/>
      <c r="K128" s="31" t="s">
        <v>48</v>
      </c>
    </row>
    <row r="129" customFormat="false" ht="15" hidden="false" customHeight="false" outlineLevel="0" collapsed="false">
      <c r="A129" s="31" t="s">
        <v>226</v>
      </c>
      <c r="B129" s="31" t="s">
        <v>227</v>
      </c>
      <c r="C129" s="31" t="s">
        <v>20</v>
      </c>
      <c r="D129" s="31" t="s">
        <v>78</v>
      </c>
      <c r="E129" s="31" t="n">
        <v>1</v>
      </c>
      <c r="F129" s="32" t="n">
        <v>89</v>
      </c>
      <c r="G129" s="32" t="n">
        <v>89</v>
      </c>
      <c r="H129" s="31" t="s">
        <v>45</v>
      </c>
      <c r="I129" s="31" t="s">
        <v>58</v>
      </c>
      <c r="J129" s="31"/>
      <c r="K129" s="31" t="s">
        <v>48</v>
      </c>
    </row>
    <row r="130" customFormat="false" ht="15" hidden="false" customHeight="false" outlineLevel="0" collapsed="false">
      <c r="A130" s="31" t="s">
        <v>229</v>
      </c>
      <c r="B130" s="31" t="s">
        <v>230</v>
      </c>
      <c r="C130" s="31" t="s">
        <v>20</v>
      </c>
      <c r="D130" s="31" t="s">
        <v>87</v>
      </c>
      <c r="E130" s="31" t="n">
        <v>1</v>
      </c>
      <c r="F130" s="32" t="n">
        <v>31.5</v>
      </c>
      <c r="G130" s="32" t="n">
        <v>31.5</v>
      </c>
      <c r="H130" s="31" t="s">
        <v>45</v>
      </c>
      <c r="I130" s="31" t="s">
        <v>155</v>
      </c>
      <c r="J130" s="31" t="s">
        <v>231</v>
      </c>
      <c r="K130" s="31" t="s">
        <v>48</v>
      </c>
    </row>
    <row r="131" customFormat="false" ht="15" hidden="false" customHeight="false" outlineLevel="0" collapsed="false">
      <c r="A131" s="31" t="s">
        <v>232</v>
      </c>
      <c r="B131" s="31" t="s">
        <v>233</v>
      </c>
      <c r="C131" s="31" t="s">
        <v>20</v>
      </c>
      <c r="D131" s="31" t="s">
        <v>78</v>
      </c>
      <c r="E131" s="31" t="n">
        <v>1</v>
      </c>
      <c r="F131" s="32" t="n">
        <v>89</v>
      </c>
      <c r="G131" s="32" t="n">
        <v>89</v>
      </c>
      <c r="H131" s="31" t="s">
        <v>45</v>
      </c>
      <c r="I131" s="31" t="s">
        <v>104</v>
      </c>
      <c r="J131" s="31" t="s">
        <v>234</v>
      </c>
      <c r="K131" s="31" t="s">
        <v>48</v>
      </c>
    </row>
    <row r="132" customFormat="false" ht="15" hidden="false" customHeight="false" outlineLevel="0" collapsed="false">
      <c r="A132" s="31" t="s">
        <v>235</v>
      </c>
      <c r="B132" s="31" t="s">
        <v>236</v>
      </c>
      <c r="C132" s="31" t="s">
        <v>20</v>
      </c>
      <c r="D132" s="31" t="s">
        <v>78</v>
      </c>
      <c r="E132" s="31" t="n">
        <v>2</v>
      </c>
      <c r="F132" s="32" t="n">
        <v>89</v>
      </c>
      <c r="G132" s="32" t="n">
        <v>178</v>
      </c>
      <c r="H132" s="31" t="s">
        <v>45</v>
      </c>
      <c r="I132" s="31" t="s">
        <v>58</v>
      </c>
      <c r="J132" s="31"/>
      <c r="K132" s="31" t="s">
        <v>48</v>
      </c>
    </row>
    <row r="133" customFormat="false" ht="15" hidden="false" customHeight="false" outlineLevel="0" collapsed="false">
      <c r="A133" s="31" t="s">
        <v>237</v>
      </c>
      <c r="B133" s="31" t="s">
        <v>238</v>
      </c>
      <c r="C133" s="31" t="s">
        <v>50</v>
      </c>
      <c r="D133" s="31" t="s">
        <v>51</v>
      </c>
      <c r="E133" s="31" t="n">
        <v>1</v>
      </c>
      <c r="F133" s="32" t="n">
        <v>-15</v>
      </c>
      <c r="G133" s="32" t="n">
        <v>-15</v>
      </c>
      <c r="H133" s="31" t="s">
        <v>45</v>
      </c>
      <c r="I133" s="31" t="s">
        <v>58</v>
      </c>
      <c r="J133" s="31"/>
      <c r="K133" s="31" t="s">
        <v>48</v>
      </c>
    </row>
    <row r="134" customFormat="false" ht="15" hidden="false" customHeight="false" outlineLevel="0" collapsed="false">
      <c r="A134" s="31" t="s">
        <v>237</v>
      </c>
      <c r="B134" s="31" t="s">
        <v>238</v>
      </c>
      <c r="C134" s="31" t="s">
        <v>20</v>
      </c>
      <c r="D134" s="31" t="s">
        <v>56</v>
      </c>
      <c r="E134" s="31" t="n">
        <v>1</v>
      </c>
      <c r="F134" s="32" t="n">
        <v>45</v>
      </c>
      <c r="G134" s="32" t="n">
        <v>45</v>
      </c>
      <c r="H134" s="31" t="s">
        <v>45</v>
      </c>
      <c r="I134" s="31" t="s">
        <v>58</v>
      </c>
      <c r="J134" s="31"/>
      <c r="K134" s="31" t="s">
        <v>48</v>
      </c>
    </row>
    <row r="135" customFormat="false" ht="15" hidden="false" customHeight="false" outlineLevel="0" collapsed="false">
      <c r="A135" s="31" t="s">
        <v>237</v>
      </c>
      <c r="B135" s="31" t="s">
        <v>238</v>
      </c>
      <c r="C135" s="31" t="s">
        <v>44</v>
      </c>
      <c r="D135" s="31" t="s">
        <v>44</v>
      </c>
      <c r="E135" s="31" t="n">
        <v>1</v>
      </c>
      <c r="F135" s="32" t="n">
        <v>4.95</v>
      </c>
      <c r="G135" s="32" t="n">
        <v>4.95</v>
      </c>
      <c r="H135" s="31" t="s">
        <v>45</v>
      </c>
      <c r="I135" s="31" t="s">
        <v>58</v>
      </c>
      <c r="J135" s="31"/>
      <c r="K135" s="31" t="s">
        <v>48</v>
      </c>
    </row>
    <row r="136" customFormat="false" ht="15" hidden="false" customHeight="false" outlineLevel="0" collapsed="false">
      <c r="A136" s="31" t="s">
        <v>239</v>
      </c>
      <c r="B136" s="31" t="s">
        <v>240</v>
      </c>
      <c r="C136" s="31" t="s">
        <v>20</v>
      </c>
      <c r="D136" s="31" t="s">
        <v>69</v>
      </c>
      <c r="E136" s="31" t="n">
        <v>2</v>
      </c>
      <c r="F136" s="32" t="n">
        <v>29</v>
      </c>
      <c r="G136" s="32" t="n">
        <v>58</v>
      </c>
      <c r="H136" s="31" t="s">
        <v>45</v>
      </c>
      <c r="I136" s="31" t="s">
        <v>46</v>
      </c>
      <c r="J136" s="31" t="s">
        <v>241</v>
      </c>
      <c r="K136" s="31" t="s">
        <v>48</v>
      </c>
    </row>
    <row r="137" customFormat="false" ht="15" hidden="false" customHeight="false" outlineLevel="0" collapsed="false">
      <c r="A137" s="31" t="s">
        <v>109</v>
      </c>
      <c r="B137" s="31" t="s">
        <v>242</v>
      </c>
      <c r="C137" s="31" t="s">
        <v>20</v>
      </c>
      <c r="D137" s="31" t="s">
        <v>56</v>
      </c>
      <c r="E137" s="31" t="n">
        <v>-1</v>
      </c>
      <c r="F137" s="32" t="n">
        <v>45</v>
      </c>
      <c r="G137" s="32" t="n">
        <v>-45</v>
      </c>
      <c r="H137" s="31" t="s">
        <v>45</v>
      </c>
      <c r="I137" s="31" t="s">
        <v>58</v>
      </c>
      <c r="J137" s="31" t="s">
        <v>111</v>
      </c>
      <c r="K137" s="31" t="s">
        <v>243</v>
      </c>
    </row>
    <row r="138" customFormat="false" ht="15" hidden="false" customHeight="false" outlineLevel="0" collapsed="false">
      <c r="A138" s="31" t="s">
        <v>244</v>
      </c>
      <c r="B138" s="31" t="s">
        <v>245</v>
      </c>
      <c r="C138" s="31" t="s">
        <v>20</v>
      </c>
      <c r="D138" s="31" t="s">
        <v>56</v>
      </c>
      <c r="E138" s="31" t="n">
        <v>1</v>
      </c>
      <c r="F138" s="32" t="n">
        <v>45</v>
      </c>
      <c r="G138" s="32" t="n">
        <v>45</v>
      </c>
      <c r="H138" s="31" t="s">
        <v>45</v>
      </c>
      <c r="I138" s="31" t="s">
        <v>46</v>
      </c>
      <c r="J138" s="31"/>
      <c r="K138" s="31" t="s">
        <v>48</v>
      </c>
    </row>
    <row r="139" customFormat="false" ht="15" hidden="false" customHeight="false" outlineLevel="0" collapsed="false">
      <c r="A139" s="31" t="s">
        <v>244</v>
      </c>
      <c r="B139" s="31" t="s">
        <v>245</v>
      </c>
      <c r="C139" s="31" t="s">
        <v>44</v>
      </c>
      <c r="D139" s="31" t="s">
        <v>44</v>
      </c>
      <c r="E139" s="31" t="n">
        <v>1</v>
      </c>
      <c r="F139" s="32" t="n">
        <v>3.95</v>
      </c>
      <c r="G139" s="32" t="n">
        <v>3.95</v>
      </c>
      <c r="H139" s="31" t="s">
        <v>45</v>
      </c>
      <c r="I139" s="31" t="s">
        <v>46</v>
      </c>
      <c r="J139" s="31"/>
      <c r="K139" s="31" t="s">
        <v>48</v>
      </c>
    </row>
    <row r="140" customFormat="false" ht="15" hidden="false" customHeight="false" outlineLevel="0" collapsed="false">
      <c r="A140" s="31" t="s">
        <v>246</v>
      </c>
      <c r="B140" s="31" t="s">
        <v>247</v>
      </c>
      <c r="C140" s="31" t="s">
        <v>44</v>
      </c>
      <c r="D140" s="31" t="s">
        <v>44</v>
      </c>
      <c r="E140" s="31" t="n">
        <v>1</v>
      </c>
      <c r="F140" s="32" t="n">
        <v>0</v>
      </c>
      <c r="G140" s="32" t="n">
        <v>0</v>
      </c>
      <c r="H140" s="31" t="s">
        <v>145</v>
      </c>
      <c r="I140" s="31" t="s">
        <v>58</v>
      </c>
      <c r="J140" s="31"/>
      <c r="K140" s="31" t="s">
        <v>48</v>
      </c>
    </row>
    <row r="141" customFormat="false" ht="15" hidden="false" customHeight="false" outlineLevel="0" collapsed="false">
      <c r="A141" s="31" t="s">
        <v>246</v>
      </c>
      <c r="B141" s="31" t="s">
        <v>247</v>
      </c>
      <c r="C141" s="31" t="s">
        <v>20</v>
      </c>
      <c r="D141" s="31" t="s">
        <v>123</v>
      </c>
      <c r="E141" s="31" t="n">
        <v>1</v>
      </c>
      <c r="F141" s="32" t="n">
        <v>75</v>
      </c>
      <c r="G141" s="32" t="n">
        <v>75</v>
      </c>
      <c r="H141" s="31" t="s">
        <v>145</v>
      </c>
      <c r="I141" s="31" t="s">
        <v>58</v>
      </c>
      <c r="J141" s="31"/>
      <c r="K141" s="31" t="s">
        <v>48</v>
      </c>
    </row>
    <row r="142" customFormat="false" ht="15" hidden="false" customHeight="false" outlineLevel="0" collapsed="false">
      <c r="A142" s="31" t="s">
        <v>248</v>
      </c>
      <c r="B142" s="31" t="s">
        <v>249</v>
      </c>
      <c r="C142" s="31" t="s">
        <v>20</v>
      </c>
      <c r="D142" s="31" t="s">
        <v>140</v>
      </c>
      <c r="E142" s="31" t="n">
        <v>1</v>
      </c>
      <c r="F142" s="32" t="n">
        <v>26</v>
      </c>
      <c r="G142" s="32" t="n">
        <v>26</v>
      </c>
      <c r="H142" s="31" t="s">
        <v>45</v>
      </c>
      <c r="I142" s="31" t="s">
        <v>58</v>
      </c>
      <c r="J142" s="31" t="s">
        <v>250</v>
      </c>
      <c r="K142" s="31" t="s">
        <v>48</v>
      </c>
    </row>
    <row r="143" customFormat="false" ht="15" hidden="false" customHeight="false" outlineLevel="0" collapsed="false">
      <c r="A143" s="31" t="s">
        <v>248</v>
      </c>
      <c r="B143" s="31" t="s">
        <v>251</v>
      </c>
      <c r="C143" s="31" t="s">
        <v>20</v>
      </c>
      <c r="D143" s="31" t="s">
        <v>123</v>
      </c>
      <c r="E143" s="31" t="n">
        <v>1</v>
      </c>
      <c r="F143" s="32" t="n">
        <v>75</v>
      </c>
      <c r="G143" s="32" t="n">
        <v>75</v>
      </c>
      <c r="H143" s="31" t="s">
        <v>45</v>
      </c>
      <c r="I143" s="31" t="s">
        <v>58</v>
      </c>
      <c r="J143" s="31" t="s">
        <v>250</v>
      </c>
      <c r="K143" s="31" t="s">
        <v>48</v>
      </c>
    </row>
    <row r="144" customFormat="false" ht="15" hidden="false" customHeight="false" outlineLevel="0" collapsed="false">
      <c r="A144" s="31" t="s">
        <v>248</v>
      </c>
      <c r="B144" s="31" t="s">
        <v>251</v>
      </c>
      <c r="C144" s="31" t="s">
        <v>44</v>
      </c>
      <c r="D144" s="31" t="s">
        <v>44</v>
      </c>
      <c r="E144" s="31" t="n">
        <v>1</v>
      </c>
      <c r="F144" s="32" t="n">
        <v>5.95</v>
      </c>
      <c r="G144" s="32" t="n">
        <v>5.95</v>
      </c>
      <c r="H144" s="31" t="s">
        <v>45</v>
      </c>
      <c r="I144" s="31" t="s">
        <v>58</v>
      </c>
      <c r="J144" s="31" t="s">
        <v>250</v>
      </c>
      <c r="K144" s="31" t="s">
        <v>48</v>
      </c>
    </row>
    <row r="145" customFormat="false" ht="15" hidden="false" customHeight="false" outlineLevel="0" collapsed="false">
      <c r="A145" s="31" t="s">
        <v>252</v>
      </c>
      <c r="B145" s="31" t="s">
        <v>253</v>
      </c>
      <c r="C145" s="31" t="s">
        <v>20</v>
      </c>
      <c r="D145" s="31" t="s">
        <v>52</v>
      </c>
      <c r="E145" s="31" t="n">
        <v>1</v>
      </c>
      <c r="F145" s="32" t="n">
        <v>22</v>
      </c>
      <c r="G145" s="32" t="n">
        <v>22</v>
      </c>
      <c r="H145" s="31" t="s">
        <v>45</v>
      </c>
      <c r="I145" s="31" t="s">
        <v>58</v>
      </c>
      <c r="J145" s="31" t="s">
        <v>254</v>
      </c>
      <c r="K145" s="31" t="s">
        <v>48</v>
      </c>
    </row>
    <row r="146" customFormat="false" ht="15" hidden="false" customHeight="false" outlineLevel="0" collapsed="false">
      <c r="A146" s="31" t="s">
        <v>252</v>
      </c>
      <c r="B146" s="31" t="s">
        <v>253</v>
      </c>
      <c r="C146" s="31" t="s">
        <v>44</v>
      </c>
      <c r="D146" s="31" t="s">
        <v>44</v>
      </c>
      <c r="E146" s="31" t="n">
        <v>1</v>
      </c>
      <c r="F146" s="32" t="n">
        <v>0</v>
      </c>
      <c r="G146" s="32" t="n">
        <v>0</v>
      </c>
      <c r="H146" s="31" t="s">
        <v>45</v>
      </c>
      <c r="I146" s="31" t="s">
        <v>58</v>
      </c>
      <c r="J146" s="31" t="s">
        <v>254</v>
      </c>
      <c r="K146" s="31" t="s">
        <v>48</v>
      </c>
    </row>
    <row r="147" customFormat="false" ht="15" hidden="false" customHeight="false" outlineLevel="0" collapsed="false">
      <c r="A147" s="31" t="s">
        <v>255</v>
      </c>
      <c r="B147" s="31" t="s">
        <v>256</v>
      </c>
      <c r="C147" s="31" t="s">
        <v>50</v>
      </c>
      <c r="D147" s="31" t="s">
        <v>51</v>
      </c>
      <c r="E147" s="31" t="n">
        <v>1</v>
      </c>
      <c r="F147" s="32" t="n">
        <v>-15</v>
      </c>
      <c r="G147" s="32" t="n">
        <v>-15</v>
      </c>
      <c r="H147" s="31" t="s">
        <v>45</v>
      </c>
      <c r="I147" s="31" t="s">
        <v>58</v>
      </c>
      <c r="J147" s="31" t="s">
        <v>257</v>
      </c>
      <c r="K147" s="31" t="s">
        <v>48</v>
      </c>
    </row>
    <row r="148" customFormat="false" ht="15" hidden="false" customHeight="false" outlineLevel="0" collapsed="false">
      <c r="A148" s="31" t="s">
        <v>255</v>
      </c>
      <c r="B148" s="31" t="s">
        <v>258</v>
      </c>
      <c r="C148" s="31" t="s">
        <v>20</v>
      </c>
      <c r="D148" s="31" t="s">
        <v>53</v>
      </c>
      <c r="E148" s="31" t="n">
        <v>1</v>
      </c>
      <c r="F148" s="32" t="n">
        <v>39</v>
      </c>
      <c r="G148" s="32" t="n">
        <v>39</v>
      </c>
      <c r="H148" s="31" t="s">
        <v>45</v>
      </c>
      <c r="I148" s="31" t="s">
        <v>58</v>
      </c>
      <c r="J148" s="31" t="s">
        <v>257</v>
      </c>
      <c r="K148" s="31" t="s">
        <v>48</v>
      </c>
    </row>
    <row r="149" customFormat="false" ht="15" hidden="false" customHeight="false" outlineLevel="0" collapsed="false">
      <c r="A149" s="31" t="s">
        <v>259</v>
      </c>
      <c r="B149" s="31" t="s">
        <v>260</v>
      </c>
      <c r="C149" s="31" t="s">
        <v>20</v>
      </c>
      <c r="D149" s="31" t="s">
        <v>56</v>
      </c>
      <c r="E149" s="31" t="n">
        <v>1</v>
      </c>
      <c r="F149" s="32" t="n">
        <v>45</v>
      </c>
      <c r="G149" s="32" t="n">
        <v>45</v>
      </c>
      <c r="H149" s="31" t="s">
        <v>160</v>
      </c>
      <c r="I149" s="31" t="s">
        <v>58</v>
      </c>
      <c r="J149" s="31" t="s">
        <v>261</v>
      </c>
      <c r="K149" s="31" t="s">
        <v>48</v>
      </c>
    </row>
    <row r="150" customFormat="false" ht="15" hidden="false" customHeight="false" outlineLevel="0" collapsed="false">
      <c r="A150" s="31" t="s">
        <v>262</v>
      </c>
      <c r="B150" s="31" t="s">
        <v>263</v>
      </c>
      <c r="C150" s="31" t="s">
        <v>20</v>
      </c>
      <c r="D150" s="31" t="s">
        <v>53</v>
      </c>
      <c r="E150" s="31" t="n">
        <v>1</v>
      </c>
      <c r="F150" s="32" t="n">
        <v>39</v>
      </c>
      <c r="G150" s="32" t="n">
        <v>39</v>
      </c>
      <c r="H150" s="31" t="s">
        <v>45</v>
      </c>
      <c r="I150" s="31" t="s">
        <v>46</v>
      </c>
      <c r="J150" s="31" t="s">
        <v>264</v>
      </c>
      <c r="K150" s="31" t="s">
        <v>48</v>
      </c>
    </row>
    <row r="151" customFormat="false" ht="15" hidden="false" customHeight="false" outlineLevel="0" collapsed="false">
      <c r="A151" s="31" t="s">
        <v>265</v>
      </c>
      <c r="B151" s="31" t="s">
        <v>266</v>
      </c>
      <c r="C151" s="31" t="s">
        <v>20</v>
      </c>
      <c r="D151" s="31" t="s">
        <v>66</v>
      </c>
      <c r="E151" s="31" t="n">
        <v>2</v>
      </c>
      <c r="F151" s="32" t="n">
        <v>32</v>
      </c>
      <c r="G151" s="32" t="n">
        <v>64</v>
      </c>
      <c r="H151" s="31" t="s">
        <v>45</v>
      </c>
      <c r="I151" s="31" t="s">
        <v>58</v>
      </c>
      <c r="J151" s="31" t="s">
        <v>267</v>
      </c>
      <c r="K151" s="31" t="s">
        <v>48</v>
      </c>
    </row>
    <row r="152" customFormat="false" ht="15" hidden="false" customHeight="false" outlineLevel="0" collapsed="false">
      <c r="A152" s="31" t="s">
        <v>268</v>
      </c>
      <c r="B152" s="31" t="s">
        <v>269</v>
      </c>
      <c r="C152" s="31" t="s">
        <v>20</v>
      </c>
      <c r="D152" s="31" t="s">
        <v>56</v>
      </c>
      <c r="E152" s="31" t="n">
        <v>2</v>
      </c>
      <c r="F152" s="32" t="n">
        <v>45</v>
      </c>
      <c r="G152" s="32" t="n">
        <v>90</v>
      </c>
      <c r="H152" s="31" t="s">
        <v>45</v>
      </c>
      <c r="I152" s="31" t="s">
        <v>46</v>
      </c>
      <c r="J152" s="31"/>
      <c r="K152" s="31" t="s">
        <v>48</v>
      </c>
    </row>
    <row r="153" customFormat="false" ht="15" hidden="false" customHeight="false" outlineLevel="0" collapsed="false">
      <c r="A153" s="31" t="s">
        <v>268</v>
      </c>
      <c r="B153" s="31" t="s">
        <v>270</v>
      </c>
      <c r="C153" s="31" t="s">
        <v>44</v>
      </c>
      <c r="D153" s="31" t="s">
        <v>44</v>
      </c>
      <c r="E153" s="31" t="n">
        <v>1</v>
      </c>
      <c r="F153" s="32" t="n">
        <v>0</v>
      </c>
      <c r="G153" s="32" t="n">
        <v>0</v>
      </c>
      <c r="H153" s="31" t="s">
        <v>45</v>
      </c>
      <c r="I153" s="31" t="s">
        <v>46</v>
      </c>
      <c r="J153" s="31"/>
      <c r="K153" s="31" t="s">
        <v>48</v>
      </c>
    </row>
    <row r="154" customFormat="false" ht="15" hidden="false" customHeight="false" outlineLevel="0" collapsed="false">
      <c r="A154" s="31" t="s">
        <v>271</v>
      </c>
      <c r="B154" s="31" t="s">
        <v>272</v>
      </c>
      <c r="C154" s="31" t="s">
        <v>20</v>
      </c>
      <c r="D154" s="31" t="s">
        <v>53</v>
      </c>
      <c r="E154" s="31" t="n">
        <v>1</v>
      </c>
      <c r="F154" s="32" t="n">
        <v>39</v>
      </c>
      <c r="G154" s="32" t="n">
        <v>39</v>
      </c>
      <c r="H154" s="31" t="s">
        <v>45</v>
      </c>
      <c r="I154" s="31" t="s">
        <v>58</v>
      </c>
      <c r="J154" s="31" t="s">
        <v>273</v>
      </c>
      <c r="K154" s="31" t="s">
        <v>48</v>
      </c>
    </row>
    <row r="155" customFormat="false" ht="15" hidden="false" customHeight="false" outlineLevel="0" collapsed="false">
      <c r="A155" s="31" t="s">
        <v>271</v>
      </c>
      <c r="B155" s="31" t="s">
        <v>272</v>
      </c>
      <c r="C155" s="31" t="s">
        <v>44</v>
      </c>
      <c r="D155" s="31" t="s">
        <v>44</v>
      </c>
      <c r="E155" s="31" t="n">
        <v>1</v>
      </c>
      <c r="F155" s="32" t="n">
        <v>0</v>
      </c>
      <c r="G155" s="32" t="n">
        <v>0</v>
      </c>
      <c r="H155" s="31" t="s">
        <v>45</v>
      </c>
      <c r="I155" s="31" t="s">
        <v>58</v>
      </c>
      <c r="J155" s="31" t="s">
        <v>273</v>
      </c>
      <c r="K155" s="31" t="s">
        <v>202</v>
      </c>
    </row>
    <row r="156" customFormat="false" ht="15" hidden="false" customHeight="false" outlineLevel="0" collapsed="false">
      <c r="A156" s="31" t="s">
        <v>271</v>
      </c>
      <c r="B156" s="31" t="s">
        <v>272</v>
      </c>
      <c r="C156" s="31" t="s">
        <v>20</v>
      </c>
      <c r="D156" s="31" t="s">
        <v>56</v>
      </c>
      <c r="E156" s="31" t="n">
        <v>1</v>
      </c>
      <c r="F156" s="32" t="n">
        <v>45</v>
      </c>
      <c r="G156" s="32" t="n">
        <v>45</v>
      </c>
      <c r="H156" s="31" t="s">
        <v>45</v>
      </c>
      <c r="I156" s="31" t="s">
        <v>58</v>
      </c>
      <c r="J156" s="31" t="s">
        <v>273</v>
      </c>
      <c r="K156" s="31" t="s">
        <v>48</v>
      </c>
    </row>
    <row r="157" customFormat="false" ht="15" hidden="false" customHeight="false" outlineLevel="0" collapsed="false">
      <c r="A157" s="31" t="s">
        <v>274</v>
      </c>
      <c r="B157" s="31" t="s">
        <v>275</v>
      </c>
      <c r="C157" s="31" t="s">
        <v>20</v>
      </c>
      <c r="D157" s="31" t="s">
        <v>78</v>
      </c>
      <c r="E157" s="31" t="n">
        <v>2</v>
      </c>
      <c r="F157" s="32" t="n">
        <v>89</v>
      </c>
      <c r="G157" s="32" t="n">
        <v>178</v>
      </c>
      <c r="H157" s="31" t="s">
        <v>57</v>
      </c>
      <c r="I157" s="31" t="s">
        <v>84</v>
      </c>
      <c r="J157" s="31" t="s">
        <v>276</v>
      </c>
      <c r="K157" s="31" t="s">
        <v>48</v>
      </c>
    </row>
    <row r="158" customFormat="false" ht="15" hidden="false" customHeight="false" outlineLevel="0" collapsed="false">
      <c r="A158" s="31" t="s">
        <v>277</v>
      </c>
      <c r="B158" s="31" t="s">
        <v>278</v>
      </c>
      <c r="C158" s="31" t="s">
        <v>50</v>
      </c>
      <c r="D158" s="31" t="s">
        <v>51</v>
      </c>
      <c r="E158" s="31" t="n">
        <v>1</v>
      </c>
      <c r="F158" s="32" t="n">
        <v>-10</v>
      </c>
      <c r="G158" s="32" t="n">
        <v>-10</v>
      </c>
      <c r="H158" s="31" t="s">
        <v>45</v>
      </c>
      <c r="I158" s="31" t="s">
        <v>58</v>
      </c>
      <c r="J158" s="31" t="s">
        <v>279</v>
      </c>
      <c r="K158" s="31" t="s">
        <v>48</v>
      </c>
    </row>
    <row r="159" customFormat="false" ht="15" hidden="false" customHeight="false" outlineLevel="0" collapsed="false">
      <c r="A159" s="31" t="s">
        <v>277</v>
      </c>
      <c r="B159" s="31" t="s">
        <v>278</v>
      </c>
      <c r="C159" s="31" t="s">
        <v>44</v>
      </c>
      <c r="D159" s="31" t="s">
        <v>44</v>
      </c>
      <c r="E159" s="31" t="n">
        <v>1</v>
      </c>
      <c r="F159" s="32" t="n">
        <v>0</v>
      </c>
      <c r="G159" s="32" t="n">
        <v>0</v>
      </c>
      <c r="H159" s="31" t="s">
        <v>45</v>
      </c>
      <c r="I159" s="31" t="s">
        <v>58</v>
      </c>
      <c r="J159" s="31" t="s">
        <v>279</v>
      </c>
      <c r="K159" s="31" t="s">
        <v>48</v>
      </c>
    </row>
    <row r="160" customFormat="false" ht="15" hidden="false" customHeight="false" outlineLevel="0" collapsed="false">
      <c r="A160" s="31" t="s">
        <v>277</v>
      </c>
      <c r="B160" s="31" t="s">
        <v>278</v>
      </c>
      <c r="C160" s="31" t="s">
        <v>20</v>
      </c>
      <c r="D160" s="31" t="s">
        <v>78</v>
      </c>
      <c r="E160" s="31" t="n">
        <v>1</v>
      </c>
      <c r="F160" s="32" t="n">
        <v>89</v>
      </c>
      <c r="G160" s="32" t="n">
        <v>89</v>
      </c>
      <c r="H160" s="31" t="s">
        <v>45</v>
      </c>
      <c r="I160" s="31" t="s">
        <v>58</v>
      </c>
      <c r="J160" s="31" t="s">
        <v>279</v>
      </c>
      <c r="K160" s="31" t="s">
        <v>48</v>
      </c>
    </row>
    <row r="161" customFormat="false" ht="15" hidden="false" customHeight="false" outlineLevel="0" collapsed="false">
      <c r="A161" s="31" t="s">
        <v>280</v>
      </c>
      <c r="B161" s="31" t="s">
        <v>281</v>
      </c>
      <c r="C161" s="31" t="s">
        <v>44</v>
      </c>
      <c r="D161" s="31" t="s">
        <v>44</v>
      </c>
      <c r="E161" s="31" t="n">
        <v>1</v>
      </c>
      <c r="F161" s="32" t="n">
        <v>5.95</v>
      </c>
      <c r="G161" s="32" t="n">
        <v>5.95</v>
      </c>
      <c r="H161" s="31" t="s">
        <v>57</v>
      </c>
      <c r="I161" s="31" t="s">
        <v>58</v>
      </c>
      <c r="J161" s="31" t="s">
        <v>282</v>
      </c>
      <c r="K161" s="31" t="s">
        <v>48</v>
      </c>
    </row>
    <row r="162" customFormat="false" ht="15" hidden="false" customHeight="false" outlineLevel="0" collapsed="false">
      <c r="A162" s="31" t="s">
        <v>280</v>
      </c>
      <c r="B162" s="31" t="s">
        <v>283</v>
      </c>
      <c r="C162" s="31" t="s">
        <v>20</v>
      </c>
      <c r="D162" s="31" t="s">
        <v>52</v>
      </c>
      <c r="E162" s="31" t="n">
        <v>1</v>
      </c>
      <c r="F162" s="32" t="n">
        <v>22</v>
      </c>
      <c r="G162" s="32" t="n">
        <v>22</v>
      </c>
      <c r="H162" s="31" t="s">
        <v>57</v>
      </c>
      <c r="I162" s="31" t="s">
        <v>58</v>
      </c>
      <c r="J162" s="31" t="s">
        <v>282</v>
      </c>
      <c r="K162" s="31" t="s">
        <v>48</v>
      </c>
    </row>
    <row r="163" customFormat="false" ht="15" hidden="false" customHeight="false" outlineLevel="0" collapsed="false">
      <c r="A163" s="31" t="s">
        <v>284</v>
      </c>
      <c r="B163" s="31" t="s">
        <v>285</v>
      </c>
      <c r="C163" s="31" t="s">
        <v>20</v>
      </c>
      <c r="D163" s="31" t="s">
        <v>140</v>
      </c>
      <c r="E163" s="31" t="n">
        <v>1</v>
      </c>
      <c r="F163" s="32" t="n">
        <v>26</v>
      </c>
      <c r="G163" s="32" t="n">
        <v>26</v>
      </c>
      <c r="H163" s="31" t="s">
        <v>45</v>
      </c>
      <c r="I163" s="31" t="s">
        <v>58</v>
      </c>
      <c r="J163" s="31" t="s">
        <v>286</v>
      </c>
      <c r="K163" s="31" t="s">
        <v>48</v>
      </c>
    </row>
    <row r="164" customFormat="false" ht="15" hidden="false" customHeight="false" outlineLevel="0" collapsed="false">
      <c r="A164" s="31" t="s">
        <v>284</v>
      </c>
      <c r="B164" s="31" t="s">
        <v>285</v>
      </c>
      <c r="C164" s="31" t="s">
        <v>20</v>
      </c>
      <c r="D164" s="31" t="s">
        <v>78</v>
      </c>
      <c r="E164" s="31" t="n">
        <v>1</v>
      </c>
      <c r="F164" s="32" t="n">
        <v>89</v>
      </c>
      <c r="G164" s="32" t="n">
        <v>89</v>
      </c>
      <c r="H164" s="31" t="s">
        <v>45</v>
      </c>
      <c r="I164" s="31" t="s">
        <v>58</v>
      </c>
      <c r="J164" s="31" t="s">
        <v>286</v>
      </c>
      <c r="K164" s="31" t="s">
        <v>48</v>
      </c>
    </row>
    <row r="165" customFormat="false" ht="15" hidden="false" customHeight="false" outlineLevel="0" collapsed="false">
      <c r="A165" s="31" t="s">
        <v>284</v>
      </c>
      <c r="B165" s="31" t="s">
        <v>285</v>
      </c>
      <c r="C165" s="31" t="s">
        <v>44</v>
      </c>
      <c r="D165" s="31" t="s">
        <v>44</v>
      </c>
      <c r="E165" s="31" t="n">
        <v>1</v>
      </c>
      <c r="F165" s="32" t="n">
        <v>5.95</v>
      </c>
      <c r="G165" s="32" t="n">
        <v>5.95</v>
      </c>
      <c r="H165" s="31" t="s">
        <v>45</v>
      </c>
      <c r="I165" s="31" t="s">
        <v>58</v>
      </c>
      <c r="J165" s="31" t="s">
        <v>286</v>
      </c>
      <c r="K165" s="31" t="s">
        <v>48</v>
      </c>
    </row>
    <row r="166" customFormat="false" ht="15" hidden="false" customHeight="false" outlineLevel="0" collapsed="false">
      <c r="A166" s="31" t="s">
        <v>287</v>
      </c>
      <c r="B166" s="31" t="s">
        <v>288</v>
      </c>
      <c r="C166" s="31" t="s">
        <v>44</v>
      </c>
      <c r="D166" s="31" t="s">
        <v>44</v>
      </c>
      <c r="E166" s="31" t="n">
        <v>1</v>
      </c>
      <c r="F166" s="32" t="n">
        <v>0</v>
      </c>
      <c r="G166" s="32" t="n">
        <v>0</v>
      </c>
      <c r="H166" s="31" t="s">
        <v>45</v>
      </c>
      <c r="I166" s="31" t="s">
        <v>58</v>
      </c>
      <c r="J166" s="31" t="s">
        <v>289</v>
      </c>
      <c r="K166" s="31" t="s">
        <v>48</v>
      </c>
    </row>
    <row r="167" customFormat="false" ht="15" hidden="false" customHeight="false" outlineLevel="0" collapsed="false">
      <c r="A167" s="31" t="s">
        <v>287</v>
      </c>
      <c r="B167" s="31" t="s">
        <v>290</v>
      </c>
      <c r="C167" s="31" t="s">
        <v>20</v>
      </c>
      <c r="D167" s="31" t="s">
        <v>66</v>
      </c>
      <c r="E167" s="31" t="n">
        <v>1</v>
      </c>
      <c r="F167" s="32" t="n">
        <v>32</v>
      </c>
      <c r="G167" s="32" t="n">
        <v>32</v>
      </c>
      <c r="H167" s="31" t="s">
        <v>45</v>
      </c>
      <c r="I167" s="31" t="s">
        <v>58</v>
      </c>
      <c r="J167" s="31" t="s">
        <v>289</v>
      </c>
      <c r="K167" s="31" t="s">
        <v>48</v>
      </c>
    </row>
    <row r="168" customFormat="false" ht="15" hidden="false" customHeight="false" outlineLevel="0" collapsed="false">
      <c r="A168" s="31" t="s">
        <v>291</v>
      </c>
      <c r="B168" s="31" t="s">
        <v>292</v>
      </c>
      <c r="C168" s="31" t="s">
        <v>20</v>
      </c>
      <c r="D168" s="31" t="s">
        <v>73</v>
      </c>
      <c r="E168" s="31" t="n">
        <v>1</v>
      </c>
      <c r="F168" s="32" t="n">
        <v>69</v>
      </c>
      <c r="G168" s="32" t="n">
        <v>69</v>
      </c>
      <c r="H168" s="31" t="s">
        <v>160</v>
      </c>
      <c r="I168" s="31" t="s">
        <v>58</v>
      </c>
      <c r="J168" s="31" t="s">
        <v>293</v>
      </c>
      <c r="K168" s="31" t="s">
        <v>48</v>
      </c>
    </row>
    <row r="169" customFormat="false" ht="15" hidden="false" customHeight="false" outlineLevel="0" collapsed="false">
      <c r="A169" s="31" t="s">
        <v>294</v>
      </c>
      <c r="B169" s="31" t="s">
        <v>295</v>
      </c>
      <c r="C169" s="31" t="s">
        <v>44</v>
      </c>
      <c r="D169" s="31" t="s">
        <v>44</v>
      </c>
      <c r="E169" s="31" t="n">
        <v>1</v>
      </c>
      <c r="F169" s="32" t="n">
        <v>0</v>
      </c>
      <c r="G169" s="32" t="n">
        <v>0</v>
      </c>
      <c r="H169" s="31" t="s">
        <v>45</v>
      </c>
      <c r="I169" s="31" t="s">
        <v>58</v>
      </c>
      <c r="J169" s="31" t="s">
        <v>296</v>
      </c>
      <c r="K169" s="31" t="s">
        <v>48</v>
      </c>
    </row>
    <row r="170" customFormat="false" ht="15" hidden="false" customHeight="false" outlineLevel="0" collapsed="false">
      <c r="A170" s="31" t="s">
        <v>294</v>
      </c>
      <c r="B170" s="31" t="s">
        <v>295</v>
      </c>
      <c r="C170" s="31" t="s">
        <v>20</v>
      </c>
      <c r="D170" s="31" t="s">
        <v>123</v>
      </c>
      <c r="E170" s="31" t="n">
        <v>2</v>
      </c>
      <c r="F170" s="32" t="n">
        <v>75</v>
      </c>
      <c r="G170" s="32" t="n">
        <v>150</v>
      </c>
      <c r="H170" s="31" t="s">
        <v>45</v>
      </c>
      <c r="I170" s="31" t="s">
        <v>58</v>
      </c>
      <c r="J170" s="31" t="s">
        <v>296</v>
      </c>
      <c r="K170" s="31" t="s">
        <v>48</v>
      </c>
    </row>
    <row r="171" customFormat="false" ht="15" hidden="false" customHeight="false" outlineLevel="0" collapsed="false">
      <c r="A171" s="31" t="s">
        <v>297</v>
      </c>
      <c r="B171" s="31" t="s">
        <v>298</v>
      </c>
      <c r="C171" s="31" t="s">
        <v>20</v>
      </c>
      <c r="D171" s="31" t="s">
        <v>123</v>
      </c>
      <c r="E171" s="31" t="n">
        <v>1</v>
      </c>
      <c r="F171" s="32" t="n">
        <v>75</v>
      </c>
      <c r="G171" s="32" t="n">
        <v>75</v>
      </c>
      <c r="H171" s="31" t="s">
        <v>45</v>
      </c>
      <c r="I171" s="31" t="s">
        <v>58</v>
      </c>
      <c r="J171" s="31" t="s">
        <v>299</v>
      </c>
      <c r="K171" s="31" t="s">
        <v>48</v>
      </c>
    </row>
    <row r="172" customFormat="false" ht="15" hidden="false" customHeight="false" outlineLevel="0" collapsed="false">
      <c r="A172" s="31" t="s">
        <v>297</v>
      </c>
      <c r="B172" s="31" t="s">
        <v>300</v>
      </c>
      <c r="C172" s="31" t="s">
        <v>20</v>
      </c>
      <c r="D172" s="31" t="s">
        <v>69</v>
      </c>
      <c r="E172" s="31" t="n">
        <v>3</v>
      </c>
      <c r="F172" s="32" t="n">
        <v>29</v>
      </c>
      <c r="G172" s="32" t="n">
        <v>87</v>
      </c>
      <c r="H172" s="31" t="s">
        <v>45</v>
      </c>
      <c r="I172" s="31" t="s">
        <v>58</v>
      </c>
      <c r="J172" s="31" t="s">
        <v>299</v>
      </c>
      <c r="K172" s="31" t="s">
        <v>48</v>
      </c>
    </row>
    <row r="173" customFormat="false" ht="15" hidden="false" customHeight="false" outlineLevel="0" collapsed="false">
      <c r="A173" s="31" t="s">
        <v>297</v>
      </c>
      <c r="B173" s="31" t="s">
        <v>298</v>
      </c>
      <c r="C173" s="31" t="s">
        <v>20</v>
      </c>
      <c r="D173" s="31" t="s">
        <v>53</v>
      </c>
      <c r="E173" s="31" t="n">
        <v>1</v>
      </c>
      <c r="F173" s="32" t="n">
        <v>39</v>
      </c>
      <c r="G173" s="32" t="n">
        <v>39</v>
      </c>
      <c r="H173" s="31" t="s">
        <v>45</v>
      </c>
      <c r="I173" s="31" t="s">
        <v>58</v>
      </c>
      <c r="J173" s="31" t="s">
        <v>299</v>
      </c>
      <c r="K173" s="31" t="s">
        <v>48</v>
      </c>
    </row>
    <row r="174" customFormat="false" ht="15" hidden="false" customHeight="false" outlineLevel="0" collapsed="false">
      <c r="A174" s="31" t="s">
        <v>297</v>
      </c>
      <c r="B174" s="31" t="s">
        <v>298</v>
      </c>
      <c r="C174" s="31" t="s">
        <v>44</v>
      </c>
      <c r="D174" s="31" t="s">
        <v>44</v>
      </c>
      <c r="E174" s="31" t="n">
        <v>1</v>
      </c>
      <c r="F174" s="32" t="n">
        <v>0</v>
      </c>
      <c r="G174" s="32" t="n">
        <v>0</v>
      </c>
      <c r="H174" s="31" t="s">
        <v>45</v>
      </c>
      <c r="I174" s="31" t="s">
        <v>58</v>
      </c>
      <c r="J174" s="31" t="s">
        <v>299</v>
      </c>
      <c r="K174" s="31" t="s">
        <v>48</v>
      </c>
    </row>
    <row r="175" customFormat="false" ht="15" hidden="false" customHeight="false" outlineLevel="0" collapsed="false">
      <c r="A175" s="31" t="s">
        <v>301</v>
      </c>
      <c r="B175" s="31" t="s">
        <v>302</v>
      </c>
      <c r="C175" s="31" t="s">
        <v>20</v>
      </c>
      <c r="D175" s="31" t="s">
        <v>53</v>
      </c>
      <c r="E175" s="31" t="n">
        <v>1</v>
      </c>
      <c r="F175" s="32" t="n">
        <v>39</v>
      </c>
      <c r="G175" s="32" t="n">
        <v>39</v>
      </c>
      <c r="H175" s="31" t="s">
        <v>57</v>
      </c>
      <c r="I175" s="31" t="s">
        <v>58</v>
      </c>
      <c r="J175" s="31" t="s">
        <v>303</v>
      </c>
      <c r="K175" s="31" t="s">
        <v>48</v>
      </c>
    </row>
    <row r="176" customFormat="false" ht="15" hidden="false" customHeight="false" outlineLevel="0" collapsed="false">
      <c r="A176" s="31" t="s">
        <v>301</v>
      </c>
      <c r="B176" s="31" t="s">
        <v>302</v>
      </c>
      <c r="C176" s="31" t="s">
        <v>44</v>
      </c>
      <c r="D176" s="31" t="s">
        <v>44</v>
      </c>
      <c r="E176" s="31" t="n">
        <v>1</v>
      </c>
      <c r="F176" s="32" t="n">
        <v>4.95</v>
      </c>
      <c r="G176" s="32" t="n">
        <v>4.95</v>
      </c>
      <c r="H176" s="31" t="s">
        <v>57</v>
      </c>
      <c r="I176" s="31" t="s">
        <v>58</v>
      </c>
      <c r="J176" s="31" t="s">
        <v>303</v>
      </c>
      <c r="K176" s="31" t="s">
        <v>48</v>
      </c>
    </row>
    <row r="177" customFormat="false" ht="15" hidden="false" customHeight="false" outlineLevel="0" collapsed="false">
      <c r="A177" s="31" t="s">
        <v>304</v>
      </c>
      <c r="B177" s="31" t="s">
        <v>305</v>
      </c>
      <c r="C177" s="31" t="s">
        <v>20</v>
      </c>
      <c r="D177" s="31" t="s">
        <v>63</v>
      </c>
      <c r="E177" s="31" t="n">
        <v>2</v>
      </c>
      <c r="F177" s="32" t="n">
        <v>14</v>
      </c>
      <c r="G177" s="32" t="n">
        <v>28</v>
      </c>
      <c r="H177" s="31" t="s">
        <v>45</v>
      </c>
      <c r="I177" s="31" t="s">
        <v>58</v>
      </c>
      <c r="J177" s="31" t="s">
        <v>306</v>
      </c>
      <c r="K177" s="31" t="s">
        <v>48</v>
      </c>
    </row>
    <row r="178" customFormat="false" ht="15" hidden="false" customHeight="false" outlineLevel="0" collapsed="false">
      <c r="A178" s="31" t="s">
        <v>304</v>
      </c>
      <c r="B178" s="31" t="s">
        <v>307</v>
      </c>
      <c r="C178" s="31" t="s">
        <v>44</v>
      </c>
      <c r="D178" s="31" t="s">
        <v>44</v>
      </c>
      <c r="E178" s="31" t="n">
        <v>1</v>
      </c>
      <c r="F178" s="32" t="n">
        <v>5.95</v>
      </c>
      <c r="G178" s="32" t="n">
        <v>5.95</v>
      </c>
      <c r="H178" s="31" t="s">
        <v>45</v>
      </c>
      <c r="I178" s="31" t="s">
        <v>58</v>
      </c>
      <c r="J178" s="31" t="s">
        <v>306</v>
      </c>
      <c r="K178" s="31" t="s">
        <v>202</v>
      </c>
    </row>
    <row r="179" customFormat="false" ht="15" hidden="false" customHeight="false" outlineLevel="0" collapsed="false">
      <c r="A179" s="31" t="s">
        <v>308</v>
      </c>
      <c r="B179" s="31" t="s">
        <v>309</v>
      </c>
      <c r="C179" s="31" t="s">
        <v>44</v>
      </c>
      <c r="D179" s="31" t="s">
        <v>44</v>
      </c>
      <c r="E179" s="31" t="n">
        <v>1</v>
      </c>
      <c r="F179" s="32" t="n">
        <v>0</v>
      </c>
      <c r="G179" s="32" t="n">
        <v>0</v>
      </c>
      <c r="H179" s="31" t="s">
        <v>145</v>
      </c>
      <c r="I179" s="31" t="s">
        <v>58</v>
      </c>
      <c r="J179" s="31" t="s">
        <v>310</v>
      </c>
      <c r="K179" s="31" t="s">
        <v>48</v>
      </c>
    </row>
    <row r="180" customFormat="false" ht="15" hidden="false" customHeight="false" outlineLevel="0" collapsed="false">
      <c r="A180" s="31" t="s">
        <v>308</v>
      </c>
      <c r="B180" s="31" t="s">
        <v>309</v>
      </c>
      <c r="C180" s="31" t="s">
        <v>20</v>
      </c>
      <c r="D180" s="31" t="s">
        <v>140</v>
      </c>
      <c r="E180" s="31" t="n">
        <v>1</v>
      </c>
      <c r="F180" s="32" t="n">
        <v>26</v>
      </c>
      <c r="G180" s="32" t="n">
        <v>26</v>
      </c>
      <c r="H180" s="31" t="s">
        <v>145</v>
      </c>
      <c r="I180" s="31" t="s">
        <v>58</v>
      </c>
      <c r="J180" s="31" t="s">
        <v>310</v>
      </c>
      <c r="K180" s="31" t="s">
        <v>48</v>
      </c>
    </row>
    <row r="181" customFormat="false" ht="15" hidden="false" customHeight="false" outlineLevel="0" collapsed="false">
      <c r="A181" s="31" t="s">
        <v>311</v>
      </c>
      <c r="B181" s="31" t="s">
        <v>312</v>
      </c>
      <c r="C181" s="31" t="s">
        <v>44</v>
      </c>
      <c r="D181" s="31" t="s">
        <v>44</v>
      </c>
      <c r="E181" s="31" t="n">
        <v>1</v>
      </c>
      <c r="F181" s="32" t="n">
        <v>4.95</v>
      </c>
      <c r="G181" s="32" t="n">
        <v>4.95</v>
      </c>
      <c r="H181" s="31" t="s">
        <v>57</v>
      </c>
      <c r="I181" s="31" t="s">
        <v>58</v>
      </c>
      <c r="J181" s="31" t="s">
        <v>313</v>
      </c>
      <c r="K181" s="31" t="s">
        <v>48</v>
      </c>
    </row>
    <row r="182" customFormat="false" ht="15" hidden="false" customHeight="false" outlineLevel="0" collapsed="false">
      <c r="A182" s="31" t="s">
        <v>311</v>
      </c>
      <c r="B182" s="31" t="s">
        <v>314</v>
      </c>
      <c r="C182" s="31" t="s">
        <v>20</v>
      </c>
      <c r="D182" s="31" t="s">
        <v>73</v>
      </c>
      <c r="E182" s="31" t="n">
        <v>1</v>
      </c>
      <c r="F182" s="32" t="n">
        <v>69</v>
      </c>
      <c r="G182" s="32" t="n">
        <v>69</v>
      </c>
      <c r="H182" s="31" t="s">
        <v>57</v>
      </c>
      <c r="I182" s="31" t="s">
        <v>58</v>
      </c>
      <c r="J182" s="31" t="s">
        <v>313</v>
      </c>
      <c r="K182" s="31" t="s">
        <v>48</v>
      </c>
    </row>
    <row r="183" customFormat="false" ht="15" hidden="false" customHeight="false" outlineLevel="0" collapsed="false">
      <c r="A183" s="31" t="s">
        <v>311</v>
      </c>
      <c r="B183" s="31" t="s">
        <v>312</v>
      </c>
      <c r="C183" s="31" t="s">
        <v>20</v>
      </c>
      <c r="D183" s="31" t="s">
        <v>56</v>
      </c>
      <c r="E183" s="31" t="n">
        <v>1</v>
      </c>
      <c r="F183" s="32" t="n">
        <v>45</v>
      </c>
      <c r="G183" s="32" t="n">
        <v>45</v>
      </c>
      <c r="H183" s="31" t="s">
        <v>57</v>
      </c>
      <c r="I183" s="31" t="s">
        <v>58</v>
      </c>
      <c r="J183" s="31" t="s">
        <v>313</v>
      </c>
      <c r="K183" s="31" t="s">
        <v>48</v>
      </c>
    </row>
    <row r="184" customFormat="false" ht="15" hidden="false" customHeight="false" outlineLevel="0" collapsed="false">
      <c r="A184" s="31" t="s">
        <v>311</v>
      </c>
      <c r="B184" s="31" t="s">
        <v>312</v>
      </c>
      <c r="C184" s="31" t="s">
        <v>20</v>
      </c>
      <c r="D184" s="31" t="s">
        <v>123</v>
      </c>
      <c r="E184" s="31" t="n">
        <v>2</v>
      </c>
      <c r="F184" s="32" t="n">
        <v>75</v>
      </c>
      <c r="G184" s="32" t="n">
        <v>150</v>
      </c>
      <c r="H184" s="31" t="s">
        <v>57</v>
      </c>
      <c r="I184" s="31" t="s">
        <v>58</v>
      </c>
      <c r="J184" s="31" t="s">
        <v>313</v>
      </c>
      <c r="K184" s="31" t="s">
        <v>48</v>
      </c>
    </row>
    <row r="185" customFormat="false" ht="15" hidden="false" customHeight="false" outlineLevel="0" collapsed="false">
      <c r="A185" s="31" t="s">
        <v>315</v>
      </c>
      <c r="B185" s="31" t="s">
        <v>316</v>
      </c>
      <c r="C185" s="31" t="s">
        <v>44</v>
      </c>
      <c r="D185" s="31" t="s">
        <v>44</v>
      </c>
      <c r="E185" s="31" t="n">
        <v>1</v>
      </c>
      <c r="F185" s="32" t="n">
        <v>0</v>
      </c>
      <c r="G185" s="32" t="n">
        <v>0</v>
      </c>
      <c r="H185" s="31" t="s">
        <v>45</v>
      </c>
      <c r="I185" s="31" t="s">
        <v>58</v>
      </c>
      <c r="J185" s="31" t="s">
        <v>317</v>
      </c>
      <c r="K185" s="31" t="s">
        <v>48</v>
      </c>
    </row>
    <row r="186" customFormat="false" ht="15" hidden="false" customHeight="false" outlineLevel="0" collapsed="false">
      <c r="A186" s="31" t="s">
        <v>315</v>
      </c>
      <c r="B186" s="31" t="s">
        <v>316</v>
      </c>
      <c r="C186" s="31" t="s">
        <v>20</v>
      </c>
      <c r="D186" s="31" t="s">
        <v>56</v>
      </c>
      <c r="E186" s="31" t="n">
        <v>2</v>
      </c>
      <c r="F186" s="32" t="n">
        <v>45</v>
      </c>
      <c r="G186" s="32" t="n">
        <v>90</v>
      </c>
      <c r="H186" s="31" t="s">
        <v>45</v>
      </c>
      <c r="I186" s="31" t="s">
        <v>58</v>
      </c>
      <c r="J186" s="31" t="s">
        <v>317</v>
      </c>
      <c r="K186" s="31" t="s">
        <v>48</v>
      </c>
    </row>
    <row r="187" customFormat="false" ht="15" hidden="false" customHeight="false" outlineLevel="0" collapsed="false">
      <c r="A187" s="31" t="s">
        <v>318</v>
      </c>
      <c r="B187" s="31" t="s">
        <v>319</v>
      </c>
      <c r="C187" s="31" t="s">
        <v>50</v>
      </c>
      <c r="D187" s="31" t="s">
        <v>51</v>
      </c>
      <c r="E187" s="31" t="n">
        <v>1</v>
      </c>
      <c r="F187" s="32" t="n">
        <v>-5</v>
      </c>
      <c r="G187" s="32" t="n">
        <v>-5</v>
      </c>
      <c r="H187" s="31" t="s">
        <v>145</v>
      </c>
      <c r="I187" s="31" t="s">
        <v>121</v>
      </c>
      <c r="J187" s="31" t="s">
        <v>320</v>
      </c>
      <c r="K187" s="31" t="s">
        <v>48</v>
      </c>
    </row>
    <row r="188" customFormat="false" ht="15" hidden="false" customHeight="false" outlineLevel="0" collapsed="false">
      <c r="A188" s="31" t="s">
        <v>318</v>
      </c>
      <c r="B188" s="31" t="s">
        <v>321</v>
      </c>
      <c r="C188" s="31" t="s">
        <v>20</v>
      </c>
      <c r="D188" s="31" t="s">
        <v>56</v>
      </c>
      <c r="E188" s="31" t="n">
        <v>1</v>
      </c>
      <c r="F188" s="32" t="n">
        <v>36</v>
      </c>
      <c r="G188" s="32" t="n">
        <v>36</v>
      </c>
      <c r="H188" s="31" t="s">
        <v>145</v>
      </c>
      <c r="I188" s="31" t="s">
        <v>121</v>
      </c>
      <c r="J188" s="31" t="s">
        <v>320</v>
      </c>
      <c r="K188" s="31" t="s">
        <v>48</v>
      </c>
    </row>
    <row r="189" customFormat="false" ht="15" hidden="false" customHeight="false" outlineLevel="0" collapsed="false">
      <c r="A189" s="31" t="s">
        <v>322</v>
      </c>
      <c r="B189" s="31" t="s">
        <v>323</v>
      </c>
      <c r="C189" s="31" t="s">
        <v>44</v>
      </c>
      <c r="D189" s="31" t="s">
        <v>44</v>
      </c>
      <c r="E189" s="31" t="n">
        <v>1</v>
      </c>
      <c r="F189" s="32" t="n">
        <v>5.95</v>
      </c>
      <c r="G189" s="32" t="n">
        <v>5.95</v>
      </c>
      <c r="H189" s="31" t="s">
        <v>45</v>
      </c>
      <c r="I189" s="31" t="s">
        <v>46</v>
      </c>
      <c r="J189" s="31" t="s">
        <v>324</v>
      </c>
      <c r="K189" s="31" t="s">
        <v>48</v>
      </c>
    </row>
    <row r="190" customFormat="false" ht="15" hidden="false" customHeight="false" outlineLevel="0" collapsed="false">
      <c r="A190" s="31" t="s">
        <v>322</v>
      </c>
      <c r="B190" s="31" t="s">
        <v>323</v>
      </c>
      <c r="C190" s="31" t="s">
        <v>20</v>
      </c>
      <c r="D190" s="31" t="s">
        <v>73</v>
      </c>
      <c r="E190" s="31" t="n">
        <v>1</v>
      </c>
      <c r="F190" s="32" t="n">
        <v>55.2</v>
      </c>
      <c r="G190" s="32" t="n">
        <v>55.2</v>
      </c>
      <c r="H190" s="31" t="s">
        <v>45</v>
      </c>
      <c r="I190" s="31" t="s">
        <v>46</v>
      </c>
      <c r="J190" s="31" t="s">
        <v>324</v>
      </c>
      <c r="K190" s="31" t="s">
        <v>48</v>
      </c>
    </row>
    <row r="191" customFormat="false" ht="15" hidden="false" customHeight="false" outlineLevel="0" collapsed="false">
      <c r="A191" s="31" t="s">
        <v>325</v>
      </c>
      <c r="B191" s="31" t="s">
        <v>326</v>
      </c>
      <c r="C191" s="31" t="s">
        <v>20</v>
      </c>
      <c r="D191" s="31" t="s">
        <v>78</v>
      </c>
      <c r="E191" s="31" t="n">
        <v>1</v>
      </c>
      <c r="F191" s="32" t="n">
        <v>89</v>
      </c>
      <c r="G191" s="32" t="n">
        <v>89</v>
      </c>
      <c r="H191" s="31" t="s">
        <v>160</v>
      </c>
      <c r="I191" s="31" t="s">
        <v>58</v>
      </c>
      <c r="J191" s="31"/>
      <c r="K191" s="31" t="s">
        <v>48</v>
      </c>
    </row>
    <row r="192" customFormat="false" ht="15" hidden="false" customHeight="false" outlineLevel="0" collapsed="false">
      <c r="A192" s="31" t="s">
        <v>325</v>
      </c>
      <c r="B192" s="31" t="s">
        <v>327</v>
      </c>
      <c r="C192" s="31" t="s">
        <v>20</v>
      </c>
      <c r="D192" s="31" t="s">
        <v>140</v>
      </c>
      <c r="E192" s="31" t="n">
        <v>1</v>
      </c>
      <c r="F192" s="32" t="n">
        <v>26</v>
      </c>
      <c r="G192" s="32" t="n">
        <v>26</v>
      </c>
      <c r="H192" s="31" t="s">
        <v>160</v>
      </c>
      <c r="I192" s="31" t="s">
        <v>58</v>
      </c>
      <c r="J192" s="31"/>
      <c r="K192" s="31" t="s">
        <v>48</v>
      </c>
    </row>
    <row r="193" customFormat="false" ht="15" hidden="false" customHeight="false" outlineLevel="0" collapsed="false">
      <c r="A193" s="31" t="s">
        <v>325</v>
      </c>
      <c r="B193" s="31" t="s">
        <v>326</v>
      </c>
      <c r="C193" s="31" t="s">
        <v>44</v>
      </c>
      <c r="D193" s="31" t="s">
        <v>44</v>
      </c>
      <c r="E193" s="31" t="n">
        <v>1</v>
      </c>
      <c r="F193" s="32" t="n">
        <v>5.95</v>
      </c>
      <c r="G193" s="32" t="n">
        <v>5.95</v>
      </c>
      <c r="H193" s="31" t="s">
        <v>160</v>
      </c>
      <c r="I193" s="31" t="s">
        <v>58</v>
      </c>
      <c r="J193" s="31"/>
      <c r="K193" s="31" t="s">
        <v>48</v>
      </c>
    </row>
    <row r="194" customFormat="false" ht="15" hidden="false" customHeight="false" outlineLevel="0" collapsed="false">
      <c r="A194" s="31" t="s">
        <v>328</v>
      </c>
      <c r="B194" s="31" t="s">
        <v>329</v>
      </c>
      <c r="C194" s="31" t="s">
        <v>20</v>
      </c>
      <c r="D194" s="31" t="s">
        <v>140</v>
      </c>
      <c r="E194" s="31" t="n">
        <v>2</v>
      </c>
      <c r="F194" s="32" t="n">
        <v>26</v>
      </c>
      <c r="G194" s="32" t="n">
        <v>52</v>
      </c>
      <c r="H194" s="31" t="s">
        <v>57</v>
      </c>
      <c r="I194" s="31" t="s">
        <v>58</v>
      </c>
      <c r="J194" s="31"/>
      <c r="K194" s="31" t="s">
        <v>48</v>
      </c>
    </row>
    <row r="195" customFormat="false" ht="15" hidden="false" customHeight="false" outlineLevel="0" collapsed="false">
      <c r="A195" s="31" t="s">
        <v>328</v>
      </c>
      <c r="B195" s="31" t="s">
        <v>329</v>
      </c>
      <c r="C195" s="31" t="s">
        <v>44</v>
      </c>
      <c r="D195" s="31" t="s">
        <v>44</v>
      </c>
      <c r="E195" s="31" t="n">
        <v>1</v>
      </c>
      <c r="F195" s="32" t="n">
        <v>4.95</v>
      </c>
      <c r="G195" s="32" t="n">
        <v>4.95</v>
      </c>
      <c r="H195" s="31" t="s">
        <v>57</v>
      </c>
      <c r="I195" s="31" t="s">
        <v>58</v>
      </c>
      <c r="J195" s="31"/>
      <c r="K195" s="31" t="s">
        <v>48</v>
      </c>
    </row>
    <row r="196" customFormat="false" ht="15" hidden="false" customHeight="false" outlineLevel="0" collapsed="false">
      <c r="A196" s="31" t="s">
        <v>328</v>
      </c>
      <c r="B196" s="31" t="s">
        <v>329</v>
      </c>
      <c r="C196" s="31" t="s">
        <v>20</v>
      </c>
      <c r="D196" s="31" t="s">
        <v>123</v>
      </c>
      <c r="E196" s="31" t="n">
        <v>1</v>
      </c>
      <c r="F196" s="32" t="n">
        <v>75</v>
      </c>
      <c r="G196" s="32" t="n">
        <v>75</v>
      </c>
      <c r="H196" s="31" t="s">
        <v>57</v>
      </c>
      <c r="I196" s="31" t="s">
        <v>58</v>
      </c>
      <c r="J196" s="31"/>
      <c r="K196" s="31" t="s">
        <v>48</v>
      </c>
    </row>
    <row r="197" customFormat="false" ht="15" hidden="false" customHeight="false" outlineLevel="0" collapsed="false">
      <c r="A197" s="31" t="s">
        <v>330</v>
      </c>
      <c r="B197" s="31" t="s">
        <v>331</v>
      </c>
      <c r="C197" s="31" t="s">
        <v>44</v>
      </c>
      <c r="D197" s="31" t="s">
        <v>44</v>
      </c>
      <c r="E197" s="31" t="n">
        <v>1</v>
      </c>
      <c r="F197" s="32" t="n">
        <v>4.95</v>
      </c>
      <c r="G197" s="32" t="n">
        <v>4.95</v>
      </c>
      <c r="H197" s="31" t="s">
        <v>45</v>
      </c>
      <c r="I197" s="31" t="s">
        <v>58</v>
      </c>
      <c r="J197" s="31"/>
      <c r="K197" s="31" t="s">
        <v>48</v>
      </c>
    </row>
    <row r="198" customFormat="false" ht="15" hidden="false" customHeight="false" outlineLevel="0" collapsed="false">
      <c r="A198" s="31" t="s">
        <v>330</v>
      </c>
      <c r="B198" s="31" t="s">
        <v>332</v>
      </c>
      <c r="C198" s="31" t="s">
        <v>20</v>
      </c>
      <c r="D198" s="31" t="s">
        <v>73</v>
      </c>
      <c r="E198" s="31" t="n">
        <v>1</v>
      </c>
      <c r="F198" s="32" t="n">
        <v>69</v>
      </c>
      <c r="G198" s="32" t="n">
        <v>69</v>
      </c>
      <c r="H198" s="31" t="s">
        <v>45</v>
      </c>
      <c r="I198" s="31" t="s">
        <v>58</v>
      </c>
      <c r="J198" s="31"/>
      <c r="K198" s="31" t="s">
        <v>48</v>
      </c>
    </row>
    <row r="199" customFormat="false" ht="15" hidden="false" customHeight="false" outlineLevel="0" collapsed="false">
      <c r="A199" s="31" t="s">
        <v>330</v>
      </c>
      <c r="B199" s="31" t="s">
        <v>332</v>
      </c>
      <c r="C199" s="31" t="s">
        <v>20</v>
      </c>
      <c r="D199" s="31" t="s">
        <v>66</v>
      </c>
      <c r="E199" s="31" t="n">
        <v>1</v>
      </c>
      <c r="F199" s="32" t="n">
        <v>32</v>
      </c>
      <c r="G199" s="32" t="n">
        <v>32</v>
      </c>
      <c r="H199" s="31" t="s">
        <v>45</v>
      </c>
      <c r="I199" s="31" t="s">
        <v>58</v>
      </c>
      <c r="J199" s="31"/>
      <c r="K199" s="31" t="s">
        <v>48</v>
      </c>
    </row>
    <row r="200" customFormat="false" ht="15" hidden="false" customHeight="false" outlineLevel="0" collapsed="false">
      <c r="A200" s="31" t="s">
        <v>333</v>
      </c>
      <c r="B200" s="31" t="s">
        <v>334</v>
      </c>
      <c r="C200" s="31" t="s">
        <v>44</v>
      </c>
      <c r="D200" s="31" t="s">
        <v>44</v>
      </c>
      <c r="E200" s="31" t="n">
        <v>1</v>
      </c>
      <c r="F200" s="32" t="n">
        <v>5.95</v>
      </c>
      <c r="G200" s="32" t="n">
        <v>5.95</v>
      </c>
      <c r="H200" s="31" t="s">
        <v>45</v>
      </c>
      <c r="I200" s="31" t="s">
        <v>58</v>
      </c>
      <c r="J200" s="31" t="s">
        <v>335</v>
      </c>
      <c r="K200" s="31" t="s">
        <v>48</v>
      </c>
    </row>
    <row r="201" customFormat="false" ht="15" hidden="false" customHeight="false" outlineLevel="0" collapsed="false">
      <c r="A201" s="31" t="s">
        <v>333</v>
      </c>
      <c r="B201" s="31" t="s">
        <v>334</v>
      </c>
      <c r="C201" s="31" t="s">
        <v>20</v>
      </c>
      <c r="D201" s="31" t="s">
        <v>56</v>
      </c>
      <c r="E201" s="31" t="n">
        <v>1</v>
      </c>
      <c r="F201" s="32" t="n">
        <v>45</v>
      </c>
      <c r="G201" s="32" t="n">
        <v>45</v>
      </c>
      <c r="H201" s="31" t="s">
        <v>45</v>
      </c>
      <c r="I201" s="31" t="s">
        <v>58</v>
      </c>
      <c r="J201" s="31" t="s">
        <v>335</v>
      </c>
      <c r="K201" s="31" t="s">
        <v>48</v>
      </c>
    </row>
    <row r="202" customFormat="false" ht="15" hidden="false" customHeight="false" outlineLevel="0" collapsed="false">
      <c r="A202" s="31" t="s">
        <v>333</v>
      </c>
      <c r="B202" s="31" t="s">
        <v>336</v>
      </c>
      <c r="C202" s="31" t="s">
        <v>20</v>
      </c>
      <c r="D202" s="31" t="s">
        <v>87</v>
      </c>
      <c r="E202" s="31" t="n">
        <v>2</v>
      </c>
      <c r="F202" s="32" t="n">
        <v>35</v>
      </c>
      <c r="G202" s="32" t="n">
        <v>70</v>
      </c>
      <c r="H202" s="31" t="s">
        <v>45</v>
      </c>
      <c r="I202" s="31" t="s">
        <v>58</v>
      </c>
      <c r="J202" s="31" t="s">
        <v>335</v>
      </c>
      <c r="K202" s="31" t="s">
        <v>48</v>
      </c>
    </row>
    <row r="203" customFormat="false" ht="15" hidden="false" customHeight="false" outlineLevel="0" collapsed="false">
      <c r="A203" s="31" t="s">
        <v>337</v>
      </c>
      <c r="B203" s="31" t="s">
        <v>338</v>
      </c>
      <c r="C203" s="31" t="s">
        <v>20</v>
      </c>
      <c r="D203" s="31" t="s">
        <v>73</v>
      </c>
      <c r="E203" s="31" t="n">
        <v>1</v>
      </c>
      <c r="F203" s="32" t="n">
        <v>69</v>
      </c>
      <c r="G203" s="32" t="n">
        <v>69</v>
      </c>
      <c r="H203" s="31" t="s">
        <v>45</v>
      </c>
      <c r="I203" s="31" t="s">
        <v>58</v>
      </c>
      <c r="J203" s="31" t="s">
        <v>339</v>
      </c>
      <c r="K203" s="31" t="s">
        <v>48</v>
      </c>
    </row>
    <row r="204" customFormat="false" ht="15" hidden="false" customHeight="false" outlineLevel="0" collapsed="false">
      <c r="A204" s="31" t="s">
        <v>340</v>
      </c>
      <c r="B204" s="31" t="s">
        <v>341</v>
      </c>
      <c r="C204" s="31" t="s">
        <v>20</v>
      </c>
      <c r="D204" s="31" t="s">
        <v>66</v>
      </c>
      <c r="E204" s="31" t="n">
        <v>2</v>
      </c>
      <c r="F204" s="32" t="n">
        <v>32</v>
      </c>
      <c r="G204" s="32" t="n">
        <v>64</v>
      </c>
      <c r="H204" s="31" t="s">
        <v>45</v>
      </c>
      <c r="I204" s="31" t="s">
        <v>58</v>
      </c>
      <c r="J204" s="31" t="s">
        <v>342</v>
      </c>
      <c r="K204" s="31" t="s">
        <v>48</v>
      </c>
    </row>
    <row r="205" customFormat="false" ht="15" hidden="false" customHeight="false" outlineLevel="0" collapsed="false">
      <c r="A205" s="31" t="s">
        <v>340</v>
      </c>
      <c r="B205" s="31" t="s">
        <v>341</v>
      </c>
      <c r="C205" s="31" t="s">
        <v>50</v>
      </c>
      <c r="D205" s="31" t="s">
        <v>51</v>
      </c>
      <c r="E205" s="31" t="n">
        <v>1</v>
      </c>
      <c r="F205" s="32" t="n">
        <v>-10</v>
      </c>
      <c r="G205" s="32" t="n">
        <v>-10</v>
      </c>
      <c r="H205" s="31" t="s">
        <v>45</v>
      </c>
      <c r="I205" s="31" t="s">
        <v>58</v>
      </c>
      <c r="J205" s="31" t="s">
        <v>342</v>
      </c>
      <c r="K205" s="31" t="s">
        <v>48</v>
      </c>
    </row>
    <row r="206" customFormat="false" ht="15" hidden="false" customHeight="false" outlineLevel="0" collapsed="false">
      <c r="A206" s="31" t="s">
        <v>340</v>
      </c>
      <c r="B206" s="31" t="s">
        <v>341</v>
      </c>
      <c r="C206" s="31" t="s">
        <v>20</v>
      </c>
      <c r="D206" s="31" t="s">
        <v>56</v>
      </c>
      <c r="E206" s="31" t="n">
        <v>1</v>
      </c>
      <c r="F206" s="32" t="n">
        <v>45</v>
      </c>
      <c r="G206" s="32" t="n">
        <v>45</v>
      </c>
      <c r="H206" s="31" t="s">
        <v>45</v>
      </c>
      <c r="I206" s="31" t="s">
        <v>58</v>
      </c>
      <c r="J206" s="31" t="s">
        <v>342</v>
      </c>
      <c r="K206" s="31" t="s">
        <v>48</v>
      </c>
    </row>
    <row r="207" customFormat="false" ht="15" hidden="false" customHeight="false" outlineLevel="0" collapsed="false">
      <c r="A207" s="31" t="s">
        <v>343</v>
      </c>
      <c r="B207" s="31" t="s">
        <v>344</v>
      </c>
      <c r="C207" s="31" t="s">
        <v>20</v>
      </c>
      <c r="D207" s="31" t="s">
        <v>87</v>
      </c>
      <c r="E207" s="31" t="n">
        <v>1</v>
      </c>
      <c r="F207" s="32" t="n">
        <v>35</v>
      </c>
      <c r="G207" s="32" t="n">
        <v>35</v>
      </c>
      <c r="H207" s="31" t="s">
        <v>57</v>
      </c>
      <c r="I207" s="31" t="s">
        <v>58</v>
      </c>
      <c r="J207" s="31" t="s">
        <v>345</v>
      </c>
      <c r="K207" s="31" t="s">
        <v>48</v>
      </c>
    </row>
    <row r="208" customFormat="false" ht="15" hidden="false" customHeight="false" outlineLevel="0" collapsed="false">
      <c r="A208" s="31" t="s">
        <v>343</v>
      </c>
      <c r="B208" s="31" t="s">
        <v>346</v>
      </c>
      <c r="C208" s="31" t="s">
        <v>20</v>
      </c>
      <c r="D208" s="31" t="s">
        <v>69</v>
      </c>
      <c r="E208" s="31" t="n">
        <v>1</v>
      </c>
      <c r="F208" s="32" t="n">
        <v>29</v>
      </c>
      <c r="G208" s="32" t="n">
        <v>29</v>
      </c>
      <c r="H208" s="31" t="s">
        <v>57</v>
      </c>
      <c r="I208" s="31" t="s">
        <v>58</v>
      </c>
      <c r="J208" s="31" t="s">
        <v>345</v>
      </c>
      <c r="K208" s="31" t="s">
        <v>48</v>
      </c>
    </row>
    <row r="209" customFormat="false" ht="15" hidden="false" customHeight="false" outlineLevel="0" collapsed="false">
      <c r="A209" s="31" t="s">
        <v>343</v>
      </c>
      <c r="B209" s="31" t="s">
        <v>346</v>
      </c>
      <c r="C209" s="31" t="s">
        <v>50</v>
      </c>
      <c r="D209" s="31" t="s">
        <v>51</v>
      </c>
      <c r="E209" s="31" t="n">
        <v>1</v>
      </c>
      <c r="F209" s="32" t="n">
        <v>-15</v>
      </c>
      <c r="G209" s="32" t="n">
        <v>-15</v>
      </c>
      <c r="H209" s="31" t="s">
        <v>57</v>
      </c>
      <c r="I209" s="31" t="s">
        <v>58</v>
      </c>
      <c r="J209" s="31" t="s">
        <v>345</v>
      </c>
      <c r="K209" s="31" t="s">
        <v>48</v>
      </c>
    </row>
    <row r="210" customFormat="false" ht="15" hidden="false" customHeight="false" outlineLevel="0" collapsed="false">
      <c r="A210" s="31" t="s">
        <v>343</v>
      </c>
      <c r="B210" s="31" t="s">
        <v>346</v>
      </c>
      <c r="C210" s="31" t="s">
        <v>20</v>
      </c>
      <c r="D210" s="31" t="s">
        <v>73</v>
      </c>
      <c r="E210" s="31" t="n">
        <v>1</v>
      </c>
      <c r="F210" s="32" t="n">
        <v>69</v>
      </c>
      <c r="G210" s="32" t="n">
        <v>69</v>
      </c>
      <c r="H210" s="31" t="s">
        <v>57</v>
      </c>
      <c r="I210" s="31" t="s">
        <v>58</v>
      </c>
      <c r="J210" s="31" t="s">
        <v>345</v>
      </c>
      <c r="K210" s="31" t="s">
        <v>48</v>
      </c>
    </row>
    <row r="211" customFormat="false" ht="15" hidden="false" customHeight="false" outlineLevel="0" collapsed="false">
      <c r="A211" s="31" t="s">
        <v>343</v>
      </c>
      <c r="B211" s="31" t="s">
        <v>346</v>
      </c>
      <c r="C211" s="31" t="s">
        <v>44</v>
      </c>
      <c r="D211" s="31" t="s">
        <v>44</v>
      </c>
      <c r="E211" s="31" t="n">
        <v>1</v>
      </c>
      <c r="F211" s="32" t="n">
        <v>5.95</v>
      </c>
      <c r="G211" s="32" t="n">
        <v>5.95</v>
      </c>
      <c r="H211" s="31" t="s">
        <v>57</v>
      </c>
      <c r="I211" s="31" t="s">
        <v>58</v>
      </c>
      <c r="J211" s="31" t="s">
        <v>345</v>
      </c>
      <c r="K211" s="31" t="s">
        <v>48</v>
      </c>
    </row>
    <row r="212" customFormat="false" ht="15" hidden="false" customHeight="false" outlineLevel="0" collapsed="false">
      <c r="A212" s="31" t="s">
        <v>347</v>
      </c>
      <c r="B212" s="31" t="s">
        <v>348</v>
      </c>
      <c r="C212" s="31" t="s">
        <v>20</v>
      </c>
      <c r="D212" s="31" t="s">
        <v>87</v>
      </c>
      <c r="E212" s="31" t="n">
        <v>5</v>
      </c>
      <c r="F212" s="32" t="n">
        <v>35</v>
      </c>
      <c r="G212" s="32" t="n">
        <v>175</v>
      </c>
      <c r="H212" s="31" t="s">
        <v>45</v>
      </c>
      <c r="I212" s="31" t="s">
        <v>58</v>
      </c>
      <c r="J212" s="31"/>
      <c r="K212" s="31" t="s">
        <v>48</v>
      </c>
    </row>
    <row r="213" customFormat="false" ht="15" hidden="false" customHeight="false" outlineLevel="0" collapsed="false">
      <c r="A213" s="31" t="s">
        <v>347</v>
      </c>
      <c r="B213" s="31" t="s">
        <v>349</v>
      </c>
      <c r="C213" s="31" t="s">
        <v>20</v>
      </c>
      <c r="D213" s="31" t="s">
        <v>63</v>
      </c>
      <c r="E213" s="31" t="n">
        <v>2</v>
      </c>
      <c r="F213" s="32" t="n">
        <v>14</v>
      </c>
      <c r="G213" s="32" t="n">
        <v>28</v>
      </c>
      <c r="H213" s="31" t="s">
        <v>45</v>
      </c>
      <c r="I213" s="31" t="s">
        <v>58</v>
      </c>
      <c r="J213" s="31"/>
      <c r="K213" s="31" t="s">
        <v>48</v>
      </c>
    </row>
    <row r="214" customFormat="false" ht="15" hidden="false" customHeight="false" outlineLevel="0" collapsed="false">
      <c r="A214" s="31" t="s">
        <v>347</v>
      </c>
      <c r="B214" s="31" t="s">
        <v>349</v>
      </c>
      <c r="C214" s="31" t="s">
        <v>44</v>
      </c>
      <c r="D214" s="31" t="s">
        <v>44</v>
      </c>
      <c r="E214" s="31" t="n">
        <v>1</v>
      </c>
      <c r="F214" s="32" t="n">
        <v>4.95</v>
      </c>
      <c r="G214" s="32" t="n">
        <v>4.95</v>
      </c>
      <c r="H214" s="31" t="s">
        <v>45</v>
      </c>
      <c r="I214" s="31" t="s">
        <v>58</v>
      </c>
      <c r="J214" s="31"/>
      <c r="K214" s="31" t="s">
        <v>48</v>
      </c>
    </row>
    <row r="215" customFormat="false" ht="15" hidden="false" customHeight="false" outlineLevel="0" collapsed="false">
      <c r="A215" s="31" t="s">
        <v>350</v>
      </c>
      <c r="B215" s="31" t="s">
        <v>351</v>
      </c>
      <c r="C215" s="31" t="s">
        <v>20</v>
      </c>
      <c r="D215" s="31" t="s">
        <v>78</v>
      </c>
      <c r="E215" s="31" t="n">
        <v>3</v>
      </c>
      <c r="F215" s="32" t="n">
        <v>89</v>
      </c>
      <c r="G215" s="32" t="n">
        <v>267</v>
      </c>
      <c r="H215" s="31" t="s">
        <v>45</v>
      </c>
      <c r="I215" s="31" t="s">
        <v>58</v>
      </c>
      <c r="J215" s="31" t="s">
        <v>352</v>
      </c>
      <c r="K215" s="31" t="s">
        <v>48</v>
      </c>
    </row>
    <row r="216" customFormat="false" ht="15" hidden="false" customHeight="false" outlineLevel="0" collapsed="false">
      <c r="A216" s="31" t="s">
        <v>350</v>
      </c>
      <c r="B216" s="31" t="s">
        <v>351</v>
      </c>
      <c r="C216" s="31" t="s">
        <v>44</v>
      </c>
      <c r="D216" s="31" t="s">
        <v>44</v>
      </c>
      <c r="E216" s="31" t="n">
        <v>1</v>
      </c>
      <c r="F216" s="32" t="n">
        <v>0</v>
      </c>
      <c r="G216" s="32" t="n">
        <v>0</v>
      </c>
      <c r="H216" s="31" t="s">
        <v>45</v>
      </c>
      <c r="I216" s="31" t="s">
        <v>58</v>
      </c>
      <c r="J216" s="31" t="s">
        <v>352</v>
      </c>
      <c r="K216" s="31" t="s">
        <v>48</v>
      </c>
    </row>
    <row r="217" customFormat="false" ht="15" hidden="false" customHeight="false" outlineLevel="0" collapsed="false">
      <c r="A217" s="31" t="s">
        <v>353</v>
      </c>
      <c r="B217" s="31" t="s">
        <v>354</v>
      </c>
      <c r="C217" s="31" t="s">
        <v>20</v>
      </c>
      <c r="D217" s="31" t="s">
        <v>78</v>
      </c>
      <c r="E217" s="31" t="n">
        <v>1</v>
      </c>
      <c r="F217" s="32" t="n">
        <v>89</v>
      </c>
      <c r="G217" s="32" t="n">
        <v>89</v>
      </c>
      <c r="H217" s="31" t="s">
        <v>45</v>
      </c>
      <c r="I217" s="31" t="s">
        <v>121</v>
      </c>
      <c r="J217" s="31" t="s">
        <v>355</v>
      </c>
      <c r="K217" s="31" t="s">
        <v>48</v>
      </c>
    </row>
    <row r="218" customFormat="false" ht="15" hidden="false" customHeight="false" outlineLevel="0" collapsed="false">
      <c r="A218" s="31" t="s">
        <v>353</v>
      </c>
      <c r="B218" s="31" t="s">
        <v>356</v>
      </c>
      <c r="C218" s="31" t="s">
        <v>44</v>
      </c>
      <c r="D218" s="31" t="s">
        <v>44</v>
      </c>
      <c r="E218" s="31" t="n">
        <v>1</v>
      </c>
      <c r="F218" s="32" t="n">
        <v>4.95</v>
      </c>
      <c r="G218" s="32" t="n">
        <v>4.95</v>
      </c>
      <c r="H218" s="31" t="s">
        <v>45</v>
      </c>
      <c r="I218" s="31" t="s">
        <v>121</v>
      </c>
      <c r="J218" s="31" t="s">
        <v>355</v>
      </c>
      <c r="K218" s="31" t="s">
        <v>48</v>
      </c>
    </row>
    <row r="219" customFormat="false" ht="15" hidden="false" customHeight="false" outlineLevel="0" collapsed="false">
      <c r="A219" s="31" t="s">
        <v>357</v>
      </c>
      <c r="B219" s="31" t="s">
        <v>358</v>
      </c>
      <c r="C219" s="31" t="s">
        <v>44</v>
      </c>
      <c r="D219" s="31" t="s">
        <v>44</v>
      </c>
      <c r="E219" s="31" t="n">
        <v>1</v>
      </c>
      <c r="F219" s="32" t="n">
        <v>4.95</v>
      </c>
      <c r="G219" s="32" t="n">
        <v>4.95</v>
      </c>
      <c r="H219" s="31" t="s">
        <v>45</v>
      </c>
      <c r="I219" s="31" t="s">
        <v>58</v>
      </c>
      <c r="J219" s="31" t="s">
        <v>148</v>
      </c>
      <c r="K219" s="31" t="s">
        <v>48</v>
      </c>
    </row>
    <row r="220" customFormat="false" ht="15" hidden="false" customHeight="false" outlineLevel="0" collapsed="false">
      <c r="A220" s="31" t="s">
        <v>357</v>
      </c>
      <c r="B220" s="31" t="s">
        <v>358</v>
      </c>
      <c r="C220" s="31" t="s">
        <v>20</v>
      </c>
      <c r="D220" s="31" t="s">
        <v>52</v>
      </c>
      <c r="E220" s="31" t="n">
        <v>2</v>
      </c>
      <c r="F220" s="32" t="n">
        <v>22</v>
      </c>
      <c r="G220" s="32" t="n">
        <v>44</v>
      </c>
      <c r="H220" s="31" t="s">
        <v>45</v>
      </c>
      <c r="I220" s="31" t="s">
        <v>58</v>
      </c>
      <c r="J220" s="31" t="s">
        <v>148</v>
      </c>
      <c r="K220" s="31" t="s">
        <v>48</v>
      </c>
    </row>
    <row r="221" customFormat="false" ht="15" hidden="false" customHeight="false" outlineLevel="0" collapsed="false">
      <c r="A221" s="31" t="s">
        <v>357</v>
      </c>
      <c r="B221" s="31" t="s">
        <v>358</v>
      </c>
      <c r="C221" s="31" t="s">
        <v>20</v>
      </c>
      <c r="D221" s="31" t="s">
        <v>69</v>
      </c>
      <c r="E221" s="31" t="n">
        <v>2</v>
      </c>
      <c r="F221" s="32" t="n">
        <v>29</v>
      </c>
      <c r="G221" s="32" t="n">
        <v>58</v>
      </c>
      <c r="H221" s="31" t="s">
        <v>45</v>
      </c>
      <c r="I221" s="31" t="s">
        <v>58</v>
      </c>
      <c r="J221" s="31" t="s">
        <v>148</v>
      </c>
      <c r="K221" s="31" t="s">
        <v>48</v>
      </c>
    </row>
    <row r="222" customFormat="false" ht="15" hidden="false" customHeight="false" outlineLevel="0" collapsed="false">
      <c r="A222" s="31" t="s">
        <v>359</v>
      </c>
      <c r="B222" s="31" t="s">
        <v>360</v>
      </c>
      <c r="C222" s="31" t="s">
        <v>20</v>
      </c>
      <c r="D222" s="31" t="s">
        <v>63</v>
      </c>
      <c r="E222" s="31" t="n">
        <v>2</v>
      </c>
      <c r="F222" s="32" t="n">
        <v>14</v>
      </c>
      <c r="G222" s="32" t="n">
        <v>28</v>
      </c>
      <c r="H222" s="31" t="s">
        <v>45</v>
      </c>
      <c r="I222" s="31" t="s">
        <v>104</v>
      </c>
      <c r="J222" s="31"/>
      <c r="K222" s="31" t="s">
        <v>48</v>
      </c>
    </row>
    <row r="223" customFormat="false" ht="15" hidden="false" customHeight="false" outlineLevel="0" collapsed="false">
      <c r="A223" s="31" t="s">
        <v>359</v>
      </c>
      <c r="B223" s="31" t="s">
        <v>361</v>
      </c>
      <c r="C223" s="31" t="s">
        <v>20</v>
      </c>
      <c r="D223" s="31" t="s">
        <v>73</v>
      </c>
      <c r="E223" s="31" t="n">
        <v>2</v>
      </c>
      <c r="F223" s="32" t="n">
        <v>69</v>
      </c>
      <c r="G223" s="32" t="n">
        <v>138</v>
      </c>
      <c r="H223" s="31" t="s">
        <v>45</v>
      </c>
      <c r="I223" s="31" t="s">
        <v>104</v>
      </c>
      <c r="J223" s="31"/>
      <c r="K223" s="31" t="s">
        <v>48</v>
      </c>
    </row>
    <row r="224" customFormat="false" ht="15" hidden="false" customHeight="false" outlineLevel="0" collapsed="false">
      <c r="A224" s="31" t="s">
        <v>362</v>
      </c>
      <c r="B224" s="31" t="s">
        <v>363</v>
      </c>
      <c r="C224" s="31" t="s">
        <v>50</v>
      </c>
      <c r="D224" s="31" t="s">
        <v>51</v>
      </c>
      <c r="E224" s="31" t="n">
        <v>1</v>
      </c>
      <c r="F224" s="32" t="n">
        <v>-15</v>
      </c>
      <c r="G224" s="32" t="n">
        <v>-15</v>
      </c>
      <c r="H224" s="31" t="s">
        <v>45</v>
      </c>
      <c r="I224" s="31" t="s">
        <v>58</v>
      </c>
      <c r="J224" s="31" t="s">
        <v>364</v>
      </c>
      <c r="K224" s="31" t="s">
        <v>48</v>
      </c>
    </row>
    <row r="225" customFormat="false" ht="15" hidden="false" customHeight="false" outlineLevel="0" collapsed="false">
      <c r="A225" s="31" t="s">
        <v>362</v>
      </c>
      <c r="B225" s="31" t="s">
        <v>363</v>
      </c>
      <c r="C225" s="31" t="s">
        <v>20</v>
      </c>
      <c r="D225" s="31" t="s">
        <v>73</v>
      </c>
      <c r="E225" s="31" t="n">
        <v>1</v>
      </c>
      <c r="F225" s="32" t="n">
        <v>69</v>
      </c>
      <c r="G225" s="32" t="n">
        <v>69</v>
      </c>
      <c r="H225" s="31" t="s">
        <v>45</v>
      </c>
      <c r="I225" s="31" t="s">
        <v>58</v>
      </c>
      <c r="J225" s="31" t="s">
        <v>364</v>
      </c>
      <c r="K225" s="31" t="s">
        <v>48</v>
      </c>
    </row>
    <row r="226" customFormat="false" ht="15" hidden="false" customHeight="false" outlineLevel="0" collapsed="false">
      <c r="A226" s="31" t="s">
        <v>365</v>
      </c>
      <c r="B226" s="31" t="s">
        <v>366</v>
      </c>
      <c r="C226" s="31" t="s">
        <v>44</v>
      </c>
      <c r="D226" s="31" t="s">
        <v>44</v>
      </c>
      <c r="E226" s="31" t="n">
        <v>1</v>
      </c>
      <c r="F226" s="32" t="n">
        <v>3.95</v>
      </c>
      <c r="G226" s="32" t="n">
        <v>3.95</v>
      </c>
      <c r="H226" s="31" t="s">
        <v>45</v>
      </c>
      <c r="I226" s="31" t="s">
        <v>84</v>
      </c>
      <c r="J226" s="31" t="s">
        <v>367</v>
      </c>
      <c r="K226" s="31" t="s">
        <v>48</v>
      </c>
    </row>
    <row r="227" customFormat="false" ht="15" hidden="false" customHeight="false" outlineLevel="0" collapsed="false">
      <c r="A227" s="31" t="s">
        <v>365</v>
      </c>
      <c r="B227" s="31" t="s">
        <v>368</v>
      </c>
      <c r="C227" s="31" t="s">
        <v>20</v>
      </c>
      <c r="D227" s="31" t="s">
        <v>73</v>
      </c>
      <c r="E227" s="31" t="n">
        <v>1</v>
      </c>
      <c r="F227" s="32" t="n">
        <v>69</v>
      </c>
      <c r="G227" s="32" t="n">
        <v>69</v>
      </c>
      <c r="H227" s="31" t="s">
        <v>45</v>
      </c>
      <c r="I227" s="31" t="s">
        <v>84</v>
      </c>
      <c r="J227" s="31" t="s">
        <v>367</v>
      </c>
      <c r="K227" s="31" t="s">
        <v>48</v>
      </c>
    </row>
    <row r="228" customFormat="false" ht="15" hidden="false" customHeight="false" outlineLevel="0" collapsed="false">
      <c r="A228" s="31" t="s">
        <v>365</v>
      </c>
      <c r="B228" s="31" t="s">
        <v>366</v>
      </c>
      <c r="C228" s="31" t="s">
        <v>20</v>
      </c>
      <c r="D228" s="31" t="s">
        <v>87</v>
      </c>
      <c r="E228" s="31" t="n">
        <v>1</v>
      </c>
      <c r="F228" s="32" t="n">
        <v>35</v>
      </c>
      <c r="G228" s="32" t="n">
        <v>35</v>
      </c>
      <c r="H228" s="31" t="s">
        <v>45</v>
      </c>
      <c r="I228" s="31" t="s">
        <v>84</v>
      </c>
      <c r="J228" s="31" t="s">
        <v>367</v>
      </c>
      <c r="K228" s="31" t="s">
        <v>48</v>
      </c>
    </row>
    <row r="229" customFormat="false" ht="15" hidden="false" customHeight="false" outlineLevel="0" collapsed="false">
      <c r="A229" s="31" t="s">
        <v>365</v>
      </c>
      <c r="B229" s="31" t="s">
        <v>366</v>
      </c>
      <c r="C229" s="31" t="s">
        <v>20</v>
      </c>
      <c r="D229" s="31" t="s">
        <v>78</v>
      </c>
      <c r="E229" s="31" t="n">
        <v>2</v>
      </c>
      <c r="F229" s="32" t="n">
        <v>89</v>
      </c>
      <c r="G229" s="32" t="n">
        <v>178</v>
      </c>
      <c r="H229" s="31" t="s">
        <v>45</v>
      </c>
      <c r="I229" s="31" t="s">
        <v>84</v>
      </c>
      <c r="J229" s="31" t="s">
        <v>367</v>
      </c>
      <c r="K229" s="31" t="s">
        <v>48</v>
      </c>
    </row>
    <row r="230" customFormat="false" ht="15" hidden="false" customHeight="false" outlineLevel="0" collapsed="false">
      <c r="A230" s="31" t="s">
        <v>369</v>
      </c>
      <c r="B230" s="31" t="s">
        <v>370</v>
      </c>
      <c r="C230" s="31" t="s">
        <v>20</v>
      </c>
      <c r="D230" s="31" t="s">
        <v>52</v>
      </c>
      <c r="E230" s="31" t="n">
        <v>1</v>
      </c>
      <c r="F230" s="32" t="n">
        <v>22</v>
      </c>
      <c r="G230" s="32" t="n">
        <v>22</v>
      </c>
      <c r="H230" s="31" t="s">
        <v>45</v>
      </c>
      <c r="I230" s="31" t="s">
        <v>58</v>
      </c>
      <c r="J230" s="31" t="s">
        <v>371</v>
      </c>
      <c r="K230" s="31" t="s">
        <v>48</v>
      </c>
    </row>
    <row r="231" customFormat="false" ht="15" hidden="false" customHeight="false" outlineLevel="0" collapsed="false">
      <c r="A231" s="31" t="s">
        <v>369</v>
      </c>
      <c r="B231" s="31" t="s">
        <v>370</v>
      </c>
      <c r="C231" s="31" t="s">
        <v>44</v>
      </c>
      <c r="D231" s="31" t="s">
        <v>44</v>
      </c>
      <c r="E231" s="31" t="n">
        <v>1</v>
      </c>
      <c r="F231" s="32" t="n">
        <v>0</v>
      </c>
      <c r="G231" s="32" t="n">
        <v>0</v>
      </c>
      <c r="H231" s="31" t="s">
        <v>45</v>
      </c>
      <c r="I231" s="31" t="s">
        <v>58</v>
      </c>
      <c r="J231" s="31" t="s">
        <v>371</v>
      </c>
      <c r="K231" s="31" t="s">
        <v>48</v>
      </c>
    </row>
    <row r="232" customFormat="false" ht="15" hidden="false" customHeight="false" outlineLevel="0" collapsed="false">
      <c r="A232" s="31" t="s">
        <v>369</v>
      </c>
      <c r="B232" s="31" t="s">
        <v>372</v>
      </c>
      <c r="C232" s="31" t="s">
        <v>50</v>
      </c>
      <c r="D232" s="31" t="s">
        <v>51</v>
      </c>
      <c r="E232" s="31" t="n">
        <v>1</v>
      </c>
      <c r="F232" s="32" t="n">
        <v>-5</v>
      </c>
      <c r="G232" s="32" t="n">
        <v>-5</v>
      </c>
      <c r="H232" s="31" t="s">
        <v>45</v>
      </c>
      <c r="I232" s="31" t="s">
        <v>58</v>
      </c>
      <c r="J232" s="31" t="s">
        <v>371</v>
      </c>
      <c r="K232" s="31" t="s">
        <v>202</v>
      </c>
    </row>
    <row r="233" customFormat="false" ht="15" hidden="false" customHeight="false" outlineLevel="0" collapsed="false">
      <c r="A233" s="31" t="s">
        <v>373</v>
      </c>
      <c r="B233" s="31" t="s">
        <v>374</v>
      </c>
      <c r="C233" s="31" t="s">
        <v>20</v>
      </c>
      <c r="D233" s="31" t="s">
        <v>140</v>
      </c>
      <c r="E233" s="31" t="n">
        <v>1</v>
      </c>
      <c r="F233" s="32" t="n">
        <v>23.4</v>
      </c>
      <c r="G233" s="32" t="n">
        <v>23.4</v>
      </c>
      <c r="H233" s="31" t="s">
        <v>45</v>
      </c>
      <c r="I233" s="31" t="s">
        <v>58</v>
      </c>
      <c r="J233" s="31" t="s">
        <v>375</v>
      </c>
      <c r="K233" s="31" t="s">
        <v>48</v>
      </c>
    </row>
    <row r="234" customFormat="false" ht="15" hidden="false" customHeight="false" outlineLevel="0" collapsed="false">
      <c r="A234" s="31" t="s">
        <v>373</v>
      </c>
      <c r="B234" s="31" t="s">
        <v>374</v>
      </c>
      <c r="C234" s="31" t="s">
        <v>44</v>
      </c>
      <c r="D234" s="31" t="s">
        <v>44</v>
      </c>
      <c r="E234" s="31" t="n">
        <v>1</v>
      </c>
      <c r="F234" s="32" t="n">
        <v>0</v>
      </c>
      <c r="G234" s="32" t="n">
        <v>0</v>
      </c>
      <c r="H234" s="31" t="s">
        <v>45</v>
      </c>
      <c r="I234" s="31" t="s">
        <v>58</v>
      </c>
      <c r="J234" s="31" t="s">
        <v>375</v>
      </c>
      <c r="K234" s="31" t="s">
        <v>48</v>
      </c>
    </row>
    <row r="235" customFormat="false" ht="15" hidden="false" customHeight="false" outlineLevel="0" collapsed="false">
      <c r="A235" s="31" t="s">
        <v>373</v>
      </c>
      <c r="B235" s="31" t="s">
        <v>374</v>
      </c>
      <c r="C235" s="31" t="s">
        <v>50</v>
      </c>
      <c r="D235" s="31" t="s">
        <v>51</v>
      </c>
      <c r="E235" s="31" t="n">
        <v>1</v>
      </c>
      <c r="F235" s="32" t="n">
        <v>-5</v>
      </c>
      <c r="G235" s="32" t="n">
        <v>-5</v>
      </c>
      <c r="H235" s="31" t="s">
        <v>45</v>
      </c>
      <c r="I235" s="31" t="s">
        <v>58</v>
      </c>
      <c r="J235" s="31" t="s">
        <v>375</v>
      </c>
      <c r="K235" s="31" t="s">
        <v>48</v>
      </c>
    </row>
    <row r="236" customFormat="false" ht="15" hidden="false" customHeight="false" outlineLevel="0" collapsed="false">
      <c r="A236" s="31" t="s">
        <v>376</v>
      </c>
      <c r="B236" s="31" t="s">
        <v>377</v>
      </c>
      <c r="C236" s="31" t="s">
        <v>44</v>
      </c>
      <c r="D236" s="31" t="s">
        <v>44</v>
      </c>
      <c r="E236" s="31" t="n">
        <v>1</v>
      </c>
      <c r="F236" s="32" t="n">
        <v>5.95</v>
      </c>
      <c r="G236" s="32" t="n">
        <v>5.95</v>
      </c>
      <c r="H236" s="31" t="s">
        <v>45</v>
      </c>
      <c r="I236" s="31" t="s">
        <v>58</v>
      </c>
      <c r="J236" s="31" t="s">
        <v>221</v>
      </c>
      <c r="K236" s="31" t="s">
        <v>48</v>
      </c>
    </row>
    <row r="237" customFormat="false" ht="15" hidden="false" customHeight="false" outlineLevel="0" collapsed="false">
      <c r="A237" s="31" t="s">
        <v>376</v>
      </c>
      <c r="B237" s="31" t="s">
        <v>378</v>
      </c>
      <c r="C237" s="31" t="s">
        <v>20</v>
      </c>
      <c r="D237" s="31" t="s">
        <v>52</v>
      </c>
      <c r="E237" s="31" t="n">
        <v>2</v>
      </c>
      <c r="F237" s="32" t="n">
        <v>22</v>
      </c>
      <c r="G237" s="32" t="n">
        <v>44</v>
      </c>
      <c r="H237" s="31" t="s">
        <v>45</v>
      </c>
      <c r="I237" s="31" t="s">
        <v>58</v>
      </c>
      <c r="J237" s="31" t="s">
        <v>221</v>
      </c>
      <c r="K237" s="31" t="s">
        <v>48</v>
      </c>
    </row>
    <row r="238" customFormat="false" ht="15" hidden="false" customHeight="false" outlineLevel="0" collapsed="false">
      <c r="A238" s="31" t="s">
        <v>379</v>
      </c>
      <c r="B238" s="31" t="s">
        <v>380</v>
      </c>
      <c r="C238" s="31" t="s">
        <v>44</v>
      </c>
      <c r="D238" s="31" t="s">
        <v>44</v>
      </c>
      <c r="E238" s="31" t="n">
        <v>1</v>
      </c>
      <c r="F238" s="32" t="n">
        <v>0</v>
      </c>
      <c r="G238" s="32" t="n">
        <v>0</v>
      </c>
      <c r="H238" s="31" t="s">
        <v>45</v>
      </c>
      <c r="I238" s="31" t="s">
        <v>84</v>
      </c>
      <c r="J238" s="31" t="s">
        <v>381</v>
      </c>
      <c r="K238" s="31" t="s">
        <v>48</v>
      </c>
    </row>
    <row r="239" customFormat="false" ht="15" hidden="false" customHeight="false" outlineLevel="0" collapsed="false">
      <c r="A239" s="31" t="s">
        <v>379</v>
      </c>
      <c r="B239" s="31" t="s">
        <v>380</v>
      </c>
      <c r="C239" s="31" t="s">
        <v>20</v>
      </c>
      <c r="D239" s="31" t="s">
        <v>53</v>
      </c>
      <c r="E239" s="31" t="n">
        <v>1</v>
      </c>
      <c r="F239" s="32" t="n">
        <v>39</v>
      </c>
      <c r="G239" s="32" t="n">
        <v>39</v>
      </c>
      <c r="H239" s="31" t="s">
        <v>45</v>
      </c>
      <c r="I239" s="31" t="s">
        <v>84</v>
      </c>
      <c r="J239" s="31" t="s">
        <v>381</v>
      </c>
      <c r="K239" s="31" t="s">
        <v>48</v>
      </c>
    </row>
    <row r="240" customFormat="false" ht="15" hidden="false" customHeight="false" outlineLevel="0" collapsed="false">
      <c r="A240" s="31" t="s">
        <v>379</v>
      </c>
      <c r="B240" s="31" t="s">
        <v>380</v>
      </c>
      <c r="C240" s="31" t="s">
        <v>20</v>
      </c>
      <c r="D240" s="31" t="s">
        <v>66</v>
      </c>
      <c r="E240" s="31" t="n">
        <v>3</v>
      </c>
      <c r="F240" s="32" t="n">
        <v>32</v>
      </c>
      <c r="G240" s="32" t="n">
        <v>96</v>
      </c>
      <c r="H240" s="31" t="s">
        <v>45</v>
      </c>
      <c r="I240" s="31" t="s">
        <v>84</v>
      </c>
      <c r="J240" s="31" t="s">
        <v>381</v>
      </c>
      <c r="K240" s="31" t="s">
        <v>202</v>
      </c>
    </row>
    <row r="241" customFormat="false" ht="15" hidden="false" customHeight="false" outlineLevel="0" collapsed="false">
      <c r="A241" s="31" t="s">
        <v>301</v>
      </c>
      <c r="B241" s="31" t="s">
        <v>382</v>
      </c>
      <c r="C241" s="31" t="s">
        <v>20</v>
      </c>
      <c r="D241" s="31" t="s">
        <v>53</v>
      </c>
      <c r="E241" s="31" t="n">
        <v>-1</v>
      </c>
      <c r="F241" s="32" t="n">
        <v>39</v>
      </c>
      <c r="G241" s="32" t="n">
        <v>-39</v>
      </c>
      <c r="H241" s="31" t="s">
        <v>57</v>
      </c>
      <c r="I241" s="31" t="s">
        <v>58</v>
      </c>
      <c r="J241" s="31" t="s">
        <v>303</v>
      </c>
      <c r="K241" s="31" t="s">
        <v>243</v>
      </c>
    </row>
    <row r="242" customFormat="false" ht="15" hidden="false" customHeight="false" outlineLevel="0" collapsed="false">
      <c r="A242" s="31" t="s">
        <v>383</v>
      </c>
      <c r="B242" s="31" t="s">
        <v>384</v>
      </c>
      <c r="C242" s="31" t="s">
        <v>20</v>
      </c>
      <c r="D242" s="31" t="s">
        <v>63</v>
      </c>
      <c r="E242" s="31" t="n">
        <v>1</v>
      </c>
      <c r="F242" s="32" t="n">
        <v>14</v>
      </c>
      <c r="G242" s="32" t="n">
        <v>14</v>
      </c>
      <c r="H242" s="31" t="s">
        <v>45</v>
      </c>
      <c r="I242" s="31" t="s">
        <v>58</v>
      </c>
      <c r="J242" s="31" t="s">
        <v>385</v>
      </c>
      <c r="K242" s="31" t="s">
        <v>48</v>
      </c>
    </row>
    <row r="243" customFormat="false" ht="15" hidden="false" customHeight="false" outlineLevel="0" collapsed="false">
      <c r="A243" s="31" t="s">
        <v>383</v>
      </c>
      <c r="B243" s="31" t="s">
        <v>386</v>
      </c>
      <c r="C243" s="31" t="s">
        <v>20</v>
      </c>
      <c r="D243" s="31" t="s">
        <v>140</v>
      </c>
      <c r="E243" s="31" t="n">
        <v>1</v>
      </c>
      <c r="F243" s="32" t="n">
        <v>20.8</v>
      </c>
      <c r="G243" s="32" t="n">
        <v>20.8</v>
      </c>
      <c r="H243" s="31" t="s">
        <v>45</v>
      </c>
      <c r="I243" s="31" t="s">
        <v>58</v>
      </c>
      <c r="J243" s="31" t="s">
        <v>385</v>
      </c>
      <c r="K243" s="31" t="s">
        <v>48</v>
      </c>
    </row>
    <row r="244" customFormat="false" ht="15" hidden="false" customHeight="false" outlineLevel="0" collapsed="false">
      <c r="A244" s="31" t="s">
        <v>383</v>
      </c>
      <c r="B244" s="31" t="s">
        <v>386</v>
      </c>
      <c r="C244" s="31" t="s">
        <v>44</v>
      </c>
      <c r="D244" s="31" t="s">
        <v>44</v>
      </c>
      <c r="E244" s="31" t="n">
        <v>1</v>
      </c>
      <c r="F244" s="32" t="n">
        <v>0</v>
      </c>
      <c r="G244" s="32" t="n">
        <v>0</v>
      </c>
      <c r="H244" s="31" t="s">
        <v>45</v>
      </c>
      <c r="I244" s="31" t="s">
        <v>58</v>
      </c>
      <c r="J244" s="31" t="s">
        <v>385</v>
      </c>
      <c r="K244" s="31" t="s">
        <v>48</v>
      </c>
    </row>
    <row r="245" customFormat="false" ht="15" hidden="false" customHeight="false" outlineLevel="0" collapsed="false">
      <c r="A245" s="31" t="s">
        <v>383</v>
      </c>
      <c r="B245" s="31" t="s">
        <v>386</v>
      </c>
      <c r="C245" s="31" t="s">
        <v>50</v>
      </c>
      <c r="D245" s="31" t="s">
        <v>51</v>
      </c>
      <c r="E245" s="31" t="n">
        <v>1</v>
      </c>
      <c r="F245" s="32" t="n">
        <v>-5</v>
      </c>
      <c r="G245" s="32" t="n">
        <v>-5</v>
      </c>
      <c r="H245" s="31" t="s">
        <v>45</v>
      </c>
      <c r="I245" s="31" t="s">
        <v>58</v>
      </c>
      <c r="J245" s="31" t="s">
        <v>385</v>
      </c>
      <c r="K245" s="31" t="s">
        <v>48</v>
      </c>
    </row>
    <row r="246" customFormat="false" ht="15" hidden="false" customHeight="false" outlineLevel="0" collapsed="false">
      <c r="A246" s="31" t="s">
        <v>387</v>
      </c>
      <c r="B246" s="31" t="s">
        <v>388</v>
      </c>
      <c r="C246" s="31" t="s">
        <v>20</v>
      </c>
      <c r="D246" s="31" t="s">
        <v>78</v>
      </c>
      <c r="E246" s="31" t="n">
        <v>2</v>
      </c>
      <c r="F246" s="32" t="n">
        <v>89</v>
      </c>
      <c r="G246" s="32" t="n">
        <v>178</v>
      </c>
      <c r="H246" s="31" t="s">
        <v>45</v>
      </c>
      <c r="I246" s="31" t="s">
        <v>58</v>
      </c>
      <c r="J246" s="31"/>
      <c r="K246" s="31" t="s">
        <v>48</v>
      </c>
    </row>
    <row r="247" customFormat="false" ht="15" hidden="false" customHeight="false" outlineLevel="0" collapsed="false">
      <c r="A247" s="31" t="s">
        <v>389</v>
      </c>
      <c r="B247" s="31" t="s">
        <v>390</v>
      </c>
      <c r="C247" s="31" t="s">
        <v>44</v>
      </c>
      <c r="D247" s="31" t="s">
        <v>44</v>
      </c>
      <c r="E247" s="31" t="n">
        <v>1</v>
      </c>
      <c r="F247" s="32" t="n">
        <v>0</v>
      </c>
      <c r="G247" s="32" t="n">
        <v>0</v>
      </c>
      <c r="H247" s="31" t="s">
        <v>45</v>
      </c>
      <c r="I247" s="31" t="s">
        <v>58</v>
      </c>
      <c r="J247" s="31" t="s">
        <v>391</v>
      </c>
      <c r="K247" s="31" t="s">
        <v>48</v>
      </c>
    </row>
    <row r="248" customFormat="false" ht="15" hidden="false" customHeight="false" outlineLevel="0" collapsed="false">
      <c r="A248" s="31" t="s">
        <v>389</v>
      </c>
      <c r="B248" s="31" t="s">
        <v>392</v>
      </c>
      <c r="C248" s="31" t="s">
        <v>20</v>
      </c>
      <c r="D248" s="31" t="s">
        <v>78</v>
      </c>
      <c r="E248" s="31" t="n">
        <v>1</v>
      </c>
      <c r="F248" s="32" t="n">
        <v>75.65</v>
      </c>
      <c r="G248" s="32" t="n">
        <v>75.65</v>
      </c>
      <c r="H248" s="31" t="s">
        <v>45</v>
      </c>
      <c r="I248" s="31" t="s">
        <v>58</v>
      </c>
      <c r="J248" s="31" t="s">
        <v>391</v>
      </c>
      <c r="K248" s="31" t="s">
        <v>48</v>
      </c>
    </row>
    <row r="249" customFormat="false" ht="15" hidden="false" customHeight="false" outlineLevel="0" collapsed="false">
      <c r="A249" s="31" t="s">
        <v>393</v>
      </c>
      <c r="B249" s="31" t="s">
        <v>394</v>
      </c>
      <c r="C249" s="31" t="s">
        <v>20</v>
      </c>
      <c r="D249" s="31" t="s">
        <v>73</v>
      </c>
      <c r="E249" s="31" t="n">
        <v>1</v>
      </c>
      <c r="F249" s="32" t="n">
        <v>69</v>
      </c>
      <c r="G249" s="32" t="n">
        <v>69</v>
      </c>
      <c r="H249" s="31" t="s">
        <v>45</v>
      </c>
      <c r="I249" s="31" t="s">
        <v>155</v>
      </c>
      <c r="J249" s="31" t="s">
        <v>395</v>
      </c>
      <c r="K249" s="31" t="s">
        <v>48</v>
      </c>
    </row>
    <row r="250" customFormat="false" ht="15" hidden="false" customHeight="false" outlineLevel="0" collapsed="false">
      <c r="A250" s="31" t="s">
        <v>393</v>
      </c>
      <c r="B250" s="31" t="s">
        <v>394</v>
      </c>
      <c r="C250" s="31" t="s">
        <v>20</v>
      </c>
      <c r="D250" s="31" t="s">
        <v>73</v>
      </c>
      <c r="E250" s="31" t="n">
        <v>1</v>
      </c>
      <c r="F250" s="32" t="n">
        <v>69</v>
      </c>
      <c r="G250" s="32" t="n">
        <v>69</v>
      </c>
      <c r="H250" s="31" t="s">
        <v>45</v>
      </c>
      <c r="I250" s="31" t="s">
        <v>155</v>
      </c>
      <c r="J250" s="31" t="s">
        <v>395</v>
      </c>
      <c r="K250" s="31" t="s">
        <v>48</v>
      </c>
    </row>
    <row r="251" customFormat="false" ht="15" hidden="false" customHeight="false" outlineLevel="0" collapsed="false">
      <c r="A251" s="31" t="s">
        <v>393</v>
      </c>
      <c r="B251" s="31" t="s">
        <v>394</v>
      </c>
      <c r="C251" s="31" t="s">
        <v>44</v>
      </c>
      <c r="D251" s="31" t="s">
        <v>44</v>
      </c>
      <c r="E251" s="31" t="n">
        <v>1</v>
      </c>
      <c r="F251" s="32" t="n">
        <v>0</v>
      </c>
      <c r="G251" s="32" t="n">
        <v>0</v>
      </c>
      <c r="H251" s="31" t="s">
        <v>45</v>
      </c>
      <c r="I251" s="31" t="s">
        <v>155</v>
      </c>
      <c r="J251" s="31" t="s">
        <v>395</v>
      </c>
      <c r="K251" s="31" t="s">
        <v>48</v>
      </c>
    </row>
    <row r="252" customFormat="false" ht="15" hidden="false" customHeight="false" outlineLevel="0" collapsed="false">
      <c r="A252" s="31" t="s">
        <v>396</v>
      </c>
      <c r="B252" s="31" t="s">
        <v>397</v>
      </c>
      <c r="C252" s="31" t="s">
        <v>20</v>
      </c>
      <c r="D252" s="31" t="s">
        <v>87</v>
      </c>
      <c r="E252" s="31" t="n">
        <v>1</v>
      </c>
      <c r="F252" s="32" t="n">
        <v>35</v>
      </c>
      <c r="G252" s="32" t="n">
        <v>35</v>
      </c>
      <c r="H252" s="31" t="s">
        <v>45</v>
      </c>
      <c r="I252" s="31" t="s">
        <v>58</v>
      </c>
      <c r="J252" s="31" t="s">
        <v>398</v>
      </c>
      <c r="K252" s="31" t="s">
        <v>202</v>
      </c>
    </row>
    <row r="253" customFormat="false" ht="15" hidden="false" customHeight="false" outlineLevel="0" collapsed="false">
      <c r="A253" s="31" t="s">
        <v>396</v>
      </c>
      <c r="B253" s="31" t="s">
        <v>399</v>
      </c>
      <c r="C253" s="31" t="s">
        <v>44</v>
      </c>
      <c r="D253" s="31" t="s">
        <v>44</v>
      </c>
      <c r="E253" s="31" t="n">
        <v>1</v>
      </c>
      <c r="F253" s="32" t="n">
        <v>5.95</v>
      </c>
      <c r="G253" s="32" t="n">
        <v>5.95</v>
      </c>
      <c r="H253" s="31" t="s">
        <v>45</v>
      </c>
      <c r="I253" s="31" t="s">
        <v>58</v>
      </c>
      <c r="J253" s="31" t="s">
        <v>398</v>
      </c>
      <c r="K253" s="31" t="s">
        <v>48</v>
      </c>
    </row>
    <row r="254" customFormat="false" ht="15" hidden="false" customHeight="false" outlineLevel="0" collapsed="false">
      <c r="A254" s="31" t="s">
        <v>400</v>
      </c>
      <c r="B254" s="31" t="s">
        <v>401</v>
      </c>
      <c r="C254" s="31" t="s">
        <v>20</v>
      </c>
      <c r="D254" s="31" t="s">
        <v>73</v>
      </c>
      <c r="E254" s="31" t="n">
        <v>2</v>
      </c>
      <c r="F254" s="32" t="n">
        <v>69</v>
      </c>
      <c r="G254" s="32" t="n">
        <v>138</v>
      </c>
      <c r="H254" s="31" t="s">
        <v>45</v>
      </c>
      <c r="I254" s="31" t="s">
        <v>46</v>
      </c>
      <c r="J254" s="31"/>
      <c r="K254" s="31" t="s">
        <v>48</v>
      </c>
    </row>
    <row r="255" customFormat="false" ht="15" hidden="false" customHeight="false" outlineLevel="0" collapsed="false">
      <c r="A255" s="31" t="s">
        <v>400</v>
      </c>
      <c r="B255" s="31" t="s">
        <v>401</v>
      </c>
      <c r="C255" s="31" t="s">
        <v>20</v>
      </c>
      <c r="D255" s="31" t="s">
        <v>56</v>
      </c>
      <c r="E255" s="31" t="n">
        <v>3</v>
      </c>
      <c r="F255" s="32" t="n">
        <v>45</v>
      </c>
      <c r="G255" s="32" t="n">
        <v>135</v>
      </c>
      <c r="H255" s="31" t="s">
        <v>45</v>
      </c>
      <c r="I255" s="31" t="s">
        <v>46</v>
      </c>
      <c r="J255" s="31"/>
      <c r="K255" s="31" t="s">
        <v>48</v>
      </c>
    </row>
    <row r="256" customFormat="false" ht="15" hidden="false" customHeight="false" outlineLevel="0" collapsed="false">
      <c r="A256" s="31" t="s">
        <v>400</v>
      </c>
      <c r="B256" s="31" t="s">
        <v>401</v>
      </c>
      <c r="C256" s="31" t="s">
        <v>44</v>
      </c>
      <c r="D256" s="31" t="s">
        <v>44</v>
      </c>
      <c r="E256" s="31" t="n">
        <v>1</v>
      </c>
      <c r="F256" s="32" t="n">
        <v>3.95</v>
      </c>
      <c r="G256" s="32" t="n">
        <v>3.95</v>
      </c>
      <c r="H256" s="31" t="s">
        <v>45</v>
      </c>
      <c r="I256" s="31" t="s">
        <v>46</v>
      </c>
      <c r="J256" s="31"/>
      <c r="K256" s="31" t="s">
        <v>48</v>
      </c>
    </row>
    <row r="257" customFormat="false" ht="15" hidden="false" customHeight="false" outlineLevel="0" collapsed="false">
      <c r="A257" s="31" t="s">
        <v>343</v>
      </c>
      <c r="B257" s="31" t="s">
        <v>402</v>
      </c>
      <c r="C257" s="31" t="s">
        <v>20</v>
      </c>
      <c r="D257" s="31" t="s">
        <v>73</v>
      </c>
      <c r="E257" s="31" t="n">
        <v>-1</v>
      </c>
      <c r="F257" s="32" t="n">
        <v>69</v>
      </c>
      <c r="G257" s="32" t="n">
        <v>-69</v>
      </c>
      <c r="H257" s="31" t="s">
        <v>57</v>
      </c>
      <c r="I257" s="31" t="s">
        <v>58</v>
      </c>
      <c r="J257" s="31" t="s">
        <v>345</v>
      </c>
      <c r="K257" s="31" t="s">
        <v>243</v>
      </c>
    </row>
    <row r="258" customFormat="false" ht="15" hidden="false" customHeight="false" outlineLevel="0" collapsed="false">
      <c r="A258" s="31" t="s">
        <v>403</v>
      </c>
      <c r="B258" s="31" t="s">
        <v>404</v>
      </c>
      <c r="C258" s="31" t="s">
        <v>20</v>
      </c>
      <c r="D258" s="31" t="s">
        <v>56</v>
      </c>
      <c r="E258" s="31" t="n">
        <v>1</v>
      </c>
      <c r="F258" s="32" t="n">
        <v>45</v>
      </c>
      <c r="G258" s="32" t="n">
        <v>45</v>
      </c>
      <c r="H258" s="31" t="s">
        <v>45</v>
      </c>
      <c r="I258" s="31" t="s">
        <v>58</v>
      </c>
      <c r="J258" s="31" t="s">
        <v>405</v>
      </c>
      <c r="K258" s="31" t="s">
        <v>48</v>
      </c>
    </row>
    <row r="259" customFormat="false" ht="15" hidden="false" customHeight="false" outlineLevel="0" collapsed="false">
      <c r="A259" s="31" t="s">
        <v>403</v>
      </c>
      <c r="B259" s="31" t="s">
        <v>404</v>
      </c>
      <c r="C259" s="31" t="s">
        <v>44</v>
      </c>
      <c r="D259" s="31" t="s">
        <v>44</v>
      </c>
      <c r="E259" s="31" t="n">
        <v>1</v>
      </c>
      <c r="F259" s="32" t="n">
        <v>0</v>
      </c>
      <c r="G259" s="32" t="n">
        <v>0</v>
      </c>
      <c r="H259" s="31" t="s">
        <v>45</v>
      </c>
      <c r="I259" s="31" t="s">
        <v>58</v>
      </c>
      <c r="J259" s="31" t="s">
        <v>405</v>
      </c>
      <c r="K259" s="31" t="s">
        <v>48</v>
      </c>
    </row>
    <row r="260" customFormat="false" ht="15" hidden="false" customHeight="false" outlineLevel="0" collapsed="false">
      <c r="A260" s="31" t="s">
        <v>403</v>
      </c>
      <c r="B260" s="31" t="s">
        <v>404</v>
      </c>
      <c r="C260" s="31" t="s">
        <v>20</v>
      </c>
      <c r="D260" s="31" t="s">
        <v>63</v>
      </c>
      <c r="E260" s="31" t="n">
        <v>1</v>
      </c>
      <c r="F260" s="32" t="n">
        <v>14</v>
      </c>
      <c r="G260" s="32" t="n">
        <v>14</v>
      </c>
      <c r="H260" s="31" t="s">
        <v>45</v>
      </c>
      <c r="I260" s="31" t="s">
        <v>58</v>
      </c>
      <c r="J260" s="31" t="s">
        <v>405</v>
      </c>
      <c r="K260" s="31" t="s">
        <v>48</v>
      </c>
    </row>
    <row r="261" customFormat="false" ht="15" hidden="false" customHeight="false" outlineLevel="0" collapsed="false">
      <c r="A261" s="31" t="s">
        <v>403</v>
      </c>
      <c r="B261" s="31" t="s">
        <v>404</v>
      </c>
      <c r="C261" s="31" t="s">
        <v>20</v>
      </c>
      <c r="D261" s="31" t="s">
        <v>66</v>
      </c>
      <c r="E261" s="31" t="n">
        <v>1</v>
      </c>
      <c r="F261" s="32" t="n">
        <v>32</v>
      </c>
      <c r="G261" s="32" t="n">
        <v>32</v>
      </c>
      <c r="H261" s="31" t="s">
        <v>45</v>
      </c>
      <c r="I261" s="31" t="s">
        <v>58</v>
      </c>
      <c r="J261" s="31" t="s">
        <v>405</v>
      </c>
      <c r="K261" s="31" t="s">
        <v>48</v>
      </c>
    </row>
    <row r="262" customFormat="false" ht="15" hidden="false" customHeight="false" outlineLevel="0" collapsed="false">
      <c r="A262" s="31" t="s">
        <v>406</v>
      </c>
      <c r="B262" s="31" t="s">
        <v>407</v>
      </c>
      <c r="C262" s="31" t="s">
        <v>44</v>
      </c>
      <c r="D262" s="31" t="s">
        <v>44</v>
      </c>
      <c r="E262" s="31" t="n">
        <v>1</v>
      </c>
      <c r="F262" s="32" t="n">
        <v>3.95</v>
      </c>
      <c r="G262" s="32" t="n">
        <v>3.95</v>
      </c>
      <c r="H262" s="31" t="s">
        <v>57</v>
      </c>
      <c r="I262" s="31" t="s">
        <v>58</v>
      </c>
      <c r="J262" s="31" t="s">
        <v>408</v>
      </c>
      <c r="K262" s="31" t="s">
        <v>48</v>
      </c>
    </row>
    <row r="263" customFormat="false" ht="15" hidden="false" customHeight="false" outlineLevel="0" collapsed="false">
      <c r="A263" s="31" t="s">
        <v>406</v>
      </c>
      <c r="B263" s="31" t="s">
        <v>409</v>
      </c>
      <c r="C263" s="31" t="s">
        <v>20</v>
      </c>
      <c r="D263" s="31" t="s">
        <v>66</v>
      </c>
      <c r="E263" s="31" t="n">
        <v>1</v>
      </c>
      <c r="F263" s="32" t="n">
        <v>32</v>
      </c>
      <c r="G263" s="32" t="n">
        <v>32</v>
      </c>
      <c r="H263" s="31" t="s">
        <v>57</v>
      </c>
      <c r="I263" s="31" t="s">
        <v>58</v>
      </c>
      <c r="J263" s="31" t="s">
        <v>408</v>
      </c>
      <c r="K263" s="31" t="s">
        <v>48</v>
      </c>
    </row>
    <row r="264" customFormat="false" ht="15" hidden="false" customHeight="false" outlineLevel="0" collapsed="false">
      <c r="A264" s="31" t="s">
        <v>410</v>
      </c>
      <c r="B264" s="31" t="s">
        <v>411</v>
      </c>
      <c r="C264" s="31" t="s">
        <v>20</v>
      </c>
      <c r="D264" s="31" t="s">
        <v>78</v>
      </c>
      <c r="E264" s="31" t="n">
        <v>1</v>
      </c>
      <c r="F264" s="32" t="n">
        <v>89</v>
      </c>
      <c r="G264" s="32" t="n">
        <v>89</v>
      </c>
      <c r="H264" s="31" t="s">
        <v>45</v>
      </c>
      <c r="I264" s="31" t="s">
        <v>58</v>
      </c>
      <c r="J264" s="31" t="s">
        <v>412</v>
      </c>
      <c r="K264" s="31" t="s">
        <v>48</v>
      </c>
    </row>
    <row r="265" customFormat="false" ht="15" hidden="false" customHeight="false" outlineLevel="0" collapsed="false">
      <c r="A265" s="31" t="s">
        <v>413</v>
      </c>
      <c r="B265" s="31" t="s">
        <v>414</v>
      </c>
      <c r="C265" s="31" t="s">
        <v>44</v>
      </c>
      <c r="D265" s="31" t="s">
        <v>44</v>
      </c>
      <c r="E265" s="31" t="n">
        <v>1</v>
      </c>
      <c r="F265" s="32" t="n">
        <v>4.95</v>
      </c>
      <c r="G265" s="32" t="n">
        <v>4.95</v>
      </c>
      <c r="H265" s="31" t="s">
        <v>45</v>
      </c>
      <c r="I265" s="31" t="s">
        <v>58</v>
      </c>
      <c r="J265" s="31" t="s">
        <v>225</v>
      </c>
      <c r="K265" s="31" t="s">
        <v>48</v>
      </c>
    </row>
    <row r="266" customFormat="false" ht="15" hidden="false" customHeight="false" outlineLevel="0" collapsed="false">
      <c r="A266" s="31" t="s">
        <v>413</v>
      </c>
      <c r="B266" s="31" t="s">
        <v>414</v>
      </c>
      <c r="C266" s="31" t="s">
        <v>20</v>
      </c>
      <c r="D266" s="31" t="s">
        <v>52</v>
      </c>
      <c r="E266" s="31" t="n">
        <v>2</v>
      </c>
      <c r="F266" s="32" t="n">
        <v>22</v>
      </c>
      <c r="G266" s="32" t="n">
        <v>44</v>
      </c>
      <c r="H266" s="31" t="s">
        <v>45</v>
      </c>
      <c r="I266" s="31" t="s">
        <v>58</v>
      </c>
      <c r="J266" s="31" t="s">
        <v>225</v>
      </c>
      <c r="K266" s="31" t="s">
        <v>48</v>
      </c>
    </row>
    <row r="267" customFormat="false" ht="15" hidden="false" customHeight="false" outlineLevel="0" collapsed="false">
      <c r="A267" s="31" t="s">
        <v>415</v>
      </c>
      <c r="B267" s="31" t="s">
        <v>416</v>
      </c>
      <c r="C267" s="31" t="s">
        <v>20</v>
      </c>
      <c r="D267" s="31" t="s">
        <v>56</v>
      </c>
      <c r="E267" s="31" t="n">
        <v>1</v>
      </c>
      <c r="F267" s="32" t="n">
        <v>45</v>
      </c>
      <c r="G267" s="32" t="n">
        <v>45</v>
      </c>
      <c r="H267" s="31" t="s">
        <v>45</v>
      </c>
      <c r="I267" s="31" t="s">
        <v>58</v>
      </c>
      <c r="J267" s="31"/>
      <c r="K267" s="31" t="s">
        <v>48</v>
      </c>
    </row>
    <row r="268" customFormat="false" ht="15" hidden="false" customHeight="false" outlineLevel="0" collapsed="false">
      <c r="A268" s="31" t="s">
        <v>415</v>
      </c>
      <c r="B268" s="31" t="s">
        <v>417</v>
      </c>
      <c r="C268" s="31" t="s">
        <v>20</v>
      </c>
      <c r="D268" s="31" t="s">
        <v>69</v>
      </c>
      <c r="E268" s="31" t="n">
        <v>2</v>
      </c>
      <c r="F268" s="32" t="n">
        <v>29</v>
      </c>
      <c r="G268" s="32" t="n">
        <v>58</v>
      </c>
      <c r="H268" s="31" t="s">
        <v>45</v>
      </c>
      <c r="I268" s="31" t="s">
        <v>58</v>
      </c>
      <c r="J268" s="31"/>
      <c r="K268" s="31" t="s">
        <v>48</v>
      </c>
    </row>
    <row r="269" customFormat="false" ht="15" hidden="false" customHeight="false" outlineLevel="0" collapsed="false">
      <c r="A269" s="31" t="s">
        <v>418</v>
      </c>
      <c r="B269" s="31" t="s">
        <v>419</v>
      </c>
      <c r="C269" s="31" t="s">
        <v>20</v>
      </c>
      <c r="D269" s="31" t="s">
        <v>87</v>
      </c>
      <c r="E269" s="31" t="n">
        <v>2</v>
      </c>
      <c r="F269" s="32" t="n">
        <v>31.5</v>
      </c>
      <c r="G269" s="32" t="n">
        <v>63</v>
      </c>
      <c r="H269" s="31" t="s">
        <v>45</v>
      </c>
      <c r="I269" s="31" t="s">
        <v>104</v>
      </c>
      <c r="J269" s="31"/>
      <c r="K269" s="31" t="s">
        <v>48</v>
      </c>
    </row>
    <row r="270" customFormat="false" ht="15" hidden="false" customHeight="false" outlineLevel="0" collapsed="false">
      <c r="A270" s="31" t="s">
        <v>418</v>
      </c>
      <c r="B270" s="31" t="s">
        <v>419</v>
      </c>
      <c r="C270" s="31" t="s">
        <v>44</v>
      </c>
      <c r="D270" s="31" t="s">
        <v>44</v>
      </c>
      <c r="E270" s="31" t="n">
        <v>1</v>
      </c>
      <c r="F270" s="32" t="n">
        <v>3.95</v>
      </c>
      <c r="G270" s="32" t="n">
        <v>3.95</v>
      </c>
      <c r="H270" s="31" t="s">
        <v>45</v>
      </c>
      <c r="I270" s="31" t="s">
        <v>104</v>
      </c>
      <c r="J270" s="31"/>
      <c r="K270" s="31" t="s">
        <v>202</v>
      </c>
    </row>
    <row r="271" customFormat="false" ht="15" hidden="false" customHeight="false" outlineLevel="0" collapsed="false">
      <c r="A271" s="31" t="s">
        <v>420</v>
      </c>
      <c r="B271" s="31" t="s">
        <v>421</v>
      </c>
      <c r="C271" s="31" t="s">
        <v>20</v>
      </c>
      <c r="D271" s="31" t="s">
        <v>56</v>
      </c>
      <c r="E271" s="31" t="n">
        <v>2</v>
      </c>
      <c r="F271" s="32" t="n">
        <v>45</v>
      </c>
      <c r="G271" s="32" t="n">
        <v>90</v>
      </c>
      <c r="H271" s="31" t="s">
        <v>184</v>
      </c>
      <c r="I271" s="31" t="s">
        <v>58</v>
      </c>
      <c r="J271" s="31" t="s">
        <v>422</v>
      </c>
      <c r="K271" s="31" t="s">
        <v>48</v>
      </c>
    </row>
    <row r="272" customFormat="false" ht="15" hidden="false" customHeight="false" outlineLevel="0" collapsed="false">
      <c r="A272" s="31" t="s">
        <v>420</v>
      </c>
      <c r="B272" s="31" t="s">
        <v>423</v>
      </c>
      <c r="C272" s="31" t="s">
        <v>20</v>
      </c>
      <c r="D272" s="31" t="s">
        <v>73</v>
      </c>
      <c r="E272" s="31" t="n">
        <v>1</v>
      </c>
      <c r="F272" s="32" t="n">
        <v>69</v>
      </c>
      <c r="G272" s="32" t="n">
        <v>69</v>
      </c>
      <c r="H272" s="31" t="s">
        <v>184</v>
      </c>
      <c r="I272" s="31" t="s">
        <v>58</v>
      </c>
      <c r="J272" s="31" t="s">
        <v>422</v>
      </c>
      <c r="K272" s="31" t="s">
        <v>48</v>
      </c>
    </row>
    <row r="273" customFormat="false" ht="15" hidden="false" customHeight="false" outlineLevel="0" collapsed="false">
      <c r="A273" s="31" t="s">
        <v>424</v>
      </c>
      <c r="B273" s="31" t="s">
        <v>425</v>
      </c>
      <c r="C273" s="31" t="s">
        <v>44</v>
      </c>
      <c r="D273" s="31" t="s">
        <v>44</v>
      </c>
      <c r="E273" s="31" t="n">
        <v>1</v>
      </c>
      <c r="F273" s="32" t="n">
        <v>5.95</v>
      </c>
      <c r="G273" s="32" t="n">
        <v>5.95</v>
      </c>
      <c r="H273" s="31" t="s">
        <v>45</v>
      </c>
      <c r="I273" s="31" t="s">
        <v>104</v>
      </c>
      <c r="J273" s="31" t="s">
        <v>426</v>
      </c>
      <c r="K273" s="31" t="s">
        <v>48</v>
      </c>
    </row>
    <row r="274" customFormat="false" ht="15" hidden="false" customHeight="false" outlineLevel="0" collapsed="false">
      <c r="A274" s="31" t="s">
        <v>424</v>
      </c>
      <c r="B274" s="31" t="s">
        <v>425</v>
      </c>
      <c r="C274" s="31" t="s">
        <v>20</v>
      </c>
      <c r="D274" s="31" t="s">
        <v>53</v>
      </c>
      <c r="E274" s="31" t="n">
        <v>1</v>
      </c>
      <c r="F274" s="32" t="n">
        <v>39</v>
      </c>
      <c r="G274" s="32" t="n">
        <v>39</v>
      </c>
      <c r="H274" s="31" t="s">
        <v>45</v>
      </c>
      <c r="I274" s="31" t="s">
        <v>104</v>
      </c>
      <c r="J274" s="31" t="s">
        <v>426</v>
      </c>
      <c r="K274" s="31" t="s">
        <v>48</v>
      </c>
    </row>
    <row r="275" customFormat="false" ht="15" hidden="false" customHeight="false" outlineLevel="0" collapsed="false">
      <c r="A275" s="31" t="s">
        <v>427</v>
      </c>
      <c r="B275" s="31" t="s">
        <v>428</v>
      </c>
      <c r="C275" s="31" t="s">
        <v>20</v>
      </c>
      <c r="D275" s="31" t="s">
        <v>53</v>
      </c>
      <c r="E275" s="31" t="n">
        <v>1</v>
      </c>
      <c r="F275" s="32" t="n">
        <v>39</v>
      </c>
      <c r="G275" s="32" t="n">
        <v>39</v>
      </c>
      <c r="H275" s="31" t="s">
        <v>45</v>
      </c>
      <c r="I275" s="31" t="s">
        <v>84</v>
      </c>
      <c r="J275" s="31" t="s">
        <v>429</v>
      </c>
      <c r="K275" s="31" t="s">
        <v>48</v>
      </c>
    </row>
    <row r="276" customFormat="false" ht="15" hidden="false" customHeight="false" outlineLevel="0" collapsed="false">
      <c r="A276" s="31" t="s">
        <v>427</v>
      </c>
      <c r="B276" s="31" t="s">
        <v>428</v>
      </c>
      <c r="C276" s="31" t="s">
        <v>20</v>
      </c>
      <c r="D276" s="31" t="s">
        <v>63</v>
      </c>
      <c r="E276" s="31" t="n">
        <v>2</v>
      </c>
      <c r="F276" s="32" t="n">
        <v>14</v>
      </c>
      <c r="G276" s="32" t="n">
        <v>28</v>
      </c>
      <c r="H276" s="31" t="s">
        <v>45</v>
      </c>
      <c r="I276" s="31" t="s">
        <v>84</v>
      </c>
      <c r="J276" s="31" t="s">
        <v>429</v>
      </c>
      <c r="K276" s="31" t="s">
        <v>48</v>
      </c>
    </row>
    <row r="277" customFormat="false" ht="15" hidden="false" customHeight="false" outlineLevel="0" collapsed="false">
      <c r="A277" s="31" t="s">
        <v>427</v>
      </c>
      <c r="B277" s="31" t="s">
        <v>430</v>
      </c>
      <c r="C277" s="31" t="s">
        <v>44</v>
      </c>
      <c r="D277" s="31" t="s">
        <v>44</v>
      </c>
      <c r="E277" s="31" t="n">
        <v>1</v>
      </c>
      <c r="F277" s="32" t="n">
        <v>4.95</v>
      </c>
      <c r="G277" s="32" t="n">
        <v>4.95</v>
      </c>
      <c r="H277" s="31" t="s">
        <v>45</v>
      </c>
      <c r="I277" s="31" t="s">
        <v>84</v>
      </c>
      <c r="J277" s="31" t="s">
        <v>429</v>
      </c>
      <c r="K277" s="31" t="s">
        <v>48</v>
      </c>
    </row>
    <row r="278" customFormat="false" ht="15" hidden="false" customHeight="false" outlineLevel="0" collapsed="false">
      <c r="A278" s="31" t="s">
        <v>431</v>
      </c>
      <c r="B278" s="31" t="s">
        <v>432</v>
      </c>
      <c r="C278" s="31" t="s">
        <v>44</v>
      </c>
      <c r="D278" s="31" t="s">
        <v>44</v>
      </c>
      <c r="E278" s="31" t="n">
        <v>1</v>
      </c>
      <c r="F278" s="32" t="n">
        <v>0</v>
      </c>
      <c r="G278" s="32" t="n">
        <v>0</v>
      </c>
      <c r="H278" s="31" t="s">
        <v>45</v>
      </c>
      <c r="I278" s="31" t="s">
        <v>58</v>
      </c>
      <c r="J278" s="31" t="s">
        <v>433</v>
      </c>
      <c r="K278" s="31" t="s">
        <v>48</v>
      </c>
    </row>
    <row r="279" customFormat="false" ht="15" hidden="false" customHeight="false" outlineLevel="0" collapsed="false">
      <c r="A279" s="31" t="s">
        <v>431</v>
      </c>
      <c r="B279" s="31" t="s">
        <v>432</v>
      </c>
      <c r="C279" s="31" t="s">
        <v>20</v>
      </c>
      <c r="D279" s="31" t="s">
        <v>123</v>
      </c>
      <c r="E279" s="31" t="n">
        <v>2</v>
      </c>
      <c r="F279" s="32" t="n">
        <v>75</v>
      </c>
      <c r="G279" s="32" t="n">
        <v>150</v>
      </c>
      <c r="H279" s="31" t="s">
        <v>45</v>
      </c>
      <c r="I279" s="31" t="s">
        <v>58</v>
      </c>
      <c r="J279" s="31" t="s">
        <v>433</v>
      </c>
      <c r="K279" s="31" t="s">
        <v>48</v>
      </c>
    </row>
    <row r="280" customFormat="false" ht="15" hidden="false" customHeight="false" outlineLevel="0" collapsed="false">
      <c r="A280" s="31" t="s">
        <v>434</v>
      </c>
      <c r="B280" s="31" t="s">
        <v>435</v>
      </c>
      <c r="C280" s="31" t="s">
        <v>44</v>
      </c>
      <c r="D280" s="31" t="s">
        <v>44</v>
      </c>
      <c r="E280" s="31" t="n">
        <v>1</v>
      </c>
      <c r="F280" s="32" t="n">
        <v>3.95</v>
      </c>
      <c r="G280" s="32" t="n">
        <v>3.95</v>
      </c>
      <c r="H280" s="31" t="s">
        <v>57</v>
      </c>
      <c r="I280" s="31" t="s">
        <v>58</v>
      </c>
      <c r="J280" s="31" t="s">
        <v>436</v>
      </c>
      <c r="K280" s="31" t="s">
        <v>48</v>
      </c>
    </row>
    <row r="281" customFormat="false" ht="15" hidden="false" customHeight="false" outlineLevel="0" collapsed="false">
      <c r="A281" s="31" t="s">
        <v>434</v>
      </c>
      <c r="B281" s="31" t="s">
        <v>435</v>
      </c>
      <c r="C281" s="31" t="s">
        <v>20</v>
      </c>
      <c r="D281" s="31" t="s">
        <v>63</v>
      </c>
      <c r="E281" s="31" t="n">
        <v>1</v>
      </c>
      <c r="F281" s="32" t="n">
        <v>14</v>
      </c>
      <c r="G281" s="32" t="n">
        <v>14</v>
      </c>
      <c r="H281" s="31" t="s">
        <v>57</v>
      </c>
      <c r="I281" s="31" t="s">
        <v>58</v>
      </c>
      <c r="J281" s="31" t="s">
        <v>436</v>
      </c>
      <c r="K281" s="31" t="s">
        <v>48</v>
      </c>
    </row>
    <row r="282" customFormat="false" ht="15" hidden="false" customHeight="false" outlineLevel="0" collapsed="false">
      <c r="A282" s="31" t="s">
        <v>434</v>
      </c>
      <c r="B282" s="31" t="s">
        <v>437</v>
      </c>
      <c r="C282" s="31" t="s">
        <v>50</v>
      </c>
      <c r="D282" s="31" t="s">
        <v>51</v>
      </c>
      <c r="E282" s="31" t="n">
        <v>1</v>
      </c>
      <c r="F282" s="32" t="n">
        <v>-5</v>
      </c>
      <c r="G282" s="32" t="n">
        <v>-5</v>
      </c>
      <c r="H282" s="31" t="s">
        <v>57</v>
      </c>
      <c r="I282" s="31" t="s">
        <v>58</v>
      </c>
      <c r="J282" s="31" t="s">
        <v>436</v>
      </c>
      <c r="K282" s="31" t="s">
        <v>48</v>
      </c>
    </row>
    <row r="283" customFormat="false" ht="15" hidden="false" customHeight="false" outlineLevel="0" collapsed="false">
      <c r="A283" s="31" t="s">
        <v>438</v>
      </c>
      <c r="B283" s="31" t="s">
        <v>439</v>
      </c>
      <c r="C283" s="31" t="s">
        <v>44</v>
      </c>
      <c r="D283" s="31" t="s">
        <v>44</v>
      </c>
      <c r="E283" s="31" t="n">
        <v>1</v>
      </c>
      <c r="F283" s="32" t="n">
        <v>4.95</v>
      </c>
      <c r="G283" s="32" t="n">
        <v>4.95</v>
      </c>
      <c r="H283" s="31" t="s">
        <v>160</v>
      </c>
      <c r="I283" s="31" t="s">
        <v>58</v>
      </c>
      <c r="J283" s="31" t="s">
        <v>440</v>
      </c>
      <c r="K283" s="31" t="s">
        <v>48</v>
      </c>
    </row>
    <row r="284" customFormat="false" ht="15" hidden="false" customHeight="false" outlineLevel="0" collapsed="false">
      <c r="A284" s="31" t="s">
        <v>438</v>
      </c>
      <c r="B284" s="31" t="s">
        <v>439</v>
      </c>
      <c r="C284" s="31" t="s">
        <v>20</v>
      </c>
      <c r="D284" s="31" t="s">
        <v>78</v>
      </c>
      <c r="E284" s="31" t="n">
        <v>1</v>
      </c>
      <c r="F284" s="32" t="n">
        <v>89</v>
      </c>
      <c r="G284" s="32" t="n">
        <v>89</v>
      </c>
      <c r="H284" s="31" t="s">
        <v>160</v>
      </c>
      <c r="I284" s="31" t="s">
        <v>58</v>
      </c>
      <c r="J284" s="31" t="s">
        <v>440</v>
      </c>
      <c r="K284" s="31" t="s">
        <v>48</v>
      </c>
    </row>
    <row r="285" customFormat="false" ht="15" hidden="false" customHeight="false" outlineLevel="0" collapsed="false">
      <c r="A285" s="31" t="s">
        <v>438</v>
      </c>
      <c r="B285" s="31" t="s">
        <v>439</v>
      </c>
      <c r="C285" s="31" t="s">
        <v>20</v>
      </c>
      <c r="D285" s="31" t="s">
        <v>53</v>
      </c>
      <c r="E285" s="31" t="n">
        <v>1</v>
      </c>
      <c r="F285" s="32" t="n">
        <v>39</v>
      </c>
      <c r="G285" s="32" t="n">
        <v>39</v>
      </c>
      <c r="H285" s="31" t="s">
        <v>160</v>
      </c>
      <c r="I285" s="31" t="s">
        <v>58</v>
      </c>
      <c r="J285" s="31" t="s">
        <v>440</v>
      </c>
      <c r="K285" s="31" t="s">
        <v>48</v>
      </c>
    </row>
    <row r="286" customFormat="false" ht="15" hidden="false" customHeight="false" outlineLevel="0" collapsed="false">
      <c r="A286" s="31" t="s">
        <v>441</v>
      </c>
      <c r="B286" s="31" t="s">
        <v>442</v>
      </c>
      <c r="C286" s="31" t="s">
        <v>44</v>
      </c>
      <c r="D286" s="31" t="s">
        <v>44</v>
      </c>
      <c r="E286" s="31" t="n">
        <v>1</v>
      </c>
      <c r="F286" s="32" t="n">
        <v>0</v>
      </c>
      <c r="G286" s="32" t="n">
        <v>0</v>
      </c>
      <c r="H286" s="31" t="s">
        <v>57</v>
      </c>
      <c r="I286" s="31" t="s">
        <v>121</v>
      </c>
      <c r="J286" s="31" t="s">
        <v>443</v>
      </c>
      <c r="K286" s="31" t="s">
        <v>48</v>
      </c>
    </row>
    <row r="287" customFormat="false" ht="15" hidden="false" customHeight="false" outlineLevel="0" collapsed="false">
      <c r="A287" s="31" t="s">
        <v>441</v>
      </c>
      <c r="B287" s="31" t="s">
        <v>444</v>
      </c>
      <c r="C287" s="31" t="s">
        <v>20</v>
      </c>
      <c r="D287" s="31" t="s">
        <v>56</v>
      </c>
      <c r="E287" s="31" t="n">
        <v>2</v>
      </c>
      <c r="F287" s="32" t="n">
        <v>45</v>
      </c>
      <c r="G287" s="32" t="n">
        <v>90</v>
      </c>
      <c r="H287" s="31" t="s">
        <v>57</v>
      </c>
      <c r="I287" s="31" t="s">
        <v>121</v>
      </c>
      <c r="J287" s="31" t="s">
        <v>443</v>
      </c>
      <c r="K287" s="31" t="s">
        <v>48</v>
      </c>
    </row>
    <row r="288" customFormat="false" ht="15" hidden="false" customHeight="false" outlineLevel="0" collapsed="false">
      <c r="A288" s="31" t="s">
        <v>441</v>
      </c>
      <c r="B288" s="31" t="s">
        <v>442</v>
      </c>
      <c r="C288" s="31" t="s">
        <v>50</v>
      </c>
      <c r="D288" s="31" t="s">
        <v>51</v>
      </c>
      <c r="E288" s="31" t="n">
        <v>1</v>
      </c>
      <c r="F288" s="32" t="n">
        <v>-5</v>
      </c>
      <c r="G288" s="32" t="n">
        <v>-5</v>
      </c>
      <c r="H288" s="31" t="s">
        <v>57</v>
      </c>
      <c r="I288" s="31" t="s">
        <v>121</v>
      </c>
      <c r="J288" s="31" t="s">
        <v>443</v>
      </c>
      <c r="K288" s="31" t="s">
        <v>48</v>
      </c>
    </row>
    <row r="289" customFormat="false" ht="15" hidden="false" customHeight="false" outlineLevel="0" collapsed="false">
      <c r="A289" s="31" t="s">
        <v>441</v>
      </c>
      <c r="B289" s="31" t="s">
        <v>442</v>
      </c>
      <c r="C289" s="31" t="s">
        <v>20</v>
      </c>
      <c r="D289" s="31" t="s">
        <v>66</v>
      </c>
      <c r="E289" s="31" t="n">
        <v>1</v>
      </c>
      <c r="F289" s="32" t="n">
        <v>32</v>
      </c>
      <c r="G289" s="32" t="n">
        <v>32</v>
      </c>
      <c r="H289" s="31" t="s">
        <v>57</v>
      </c>
      <c r="I289" s="31" t="s">
        <v>121</v>
      </c>
      <c r="J289" s="31" t="s">
        <v>443</v>
      </c>
      <c r="K289" s="31" t="s">
        <v>48</v>
      </c>
    </row>
    <row r="290" customFormat="false" ht="15" hidden="false" customHeight="false" outlineLevel="0" collapsed="false">
      <c r="A290" s="31" t="s">
        <v>376</v>
      </c>
      <c r="B290" s="31" t="s">
        <v>445</v>
      </c>
      <c r="C290" s="31" t="s">
        <v>20</v>
      </c>
      <c r="D290" s="31" t="s">
        <v>52</v>
      </c>
      <c r="E290" s="31" t="n">
        <v>-2</v>
      </c>
      <c r="F290" s="32" t="n">
        <v>22</v>
      </c>
      <c r="G290" s="32" t="n">
        <v>-44</v>
      </c>
      <c r="H290" s="31" t="s">
        <v>45</v>
      </c>
      <c r="I290" s="31" t="s">
        <v>58</v>
      </c>
      <c r="J290" s="31" t="s">
        <v>221</v>
      </c>
      <c r="K290" s="31" t="s">
        <v>243</v>
      </c>
    </row>
    <row r="291" customFormat="false" ht="15" hidden="false" customHeight="false" outlineLevel="0" collapsed="false">
      <c r="A291" s="31" t="s">
        <v>446</v>
      </c>
      <c r="B291" s="31" t="s">
        <v>447</v>
      </c>
      <c r="C291" s="31" t="s">
        <v>44</v>
      </c>
      <c r="D291" s="31" t="s">
        <v>44</v>
      </c>
      <c r="E291" s="31" t="n">
        <v>1</v>
      </c>
      <c r="F291" s="32" t="n">
        <v>5.95</v>
      </c>
      <c r="G291" s="32" t="n">
        <v>5.95</v>
      </c>
      <c r="H291" s="31" t="s">
        <v>184</v>
      </c>
      <c r="I291" s="31" t="s">
        <v>46</v>
      </c>
      <c r="J291" s="31" t="s">
        <v>448</v>
      </c>
      <c r="K291" s="31" t="s">
        <v>48</v>
      </c>
    </row>
    <row r="292" customFormat="false" ht="15" hidden="false" customHeight="false" outlineLevel="0" collapsed="false">
      <c r="A292" s="31" t="s">
        <v>446</v>
      </c>
      <c r="B292" s="31" t="s">
        <v>449</v>
      </c>
      <c r="C292" s="31" t="s">
        <v>20</v>
      </c>
      <c r="D292" s="31" t="s">
        <v>69</v>
      </c>
      <c r="E292" s="31" t="n">
        <v>1</v>
      </c>
      <c r="F292" s="32" t="n">
        <v>29</v>
      </c>
      <c r="G292" s="32" t="n">
        <v>29</v>
      </c>
      <c r="H292" s="31" t="s">
        <v>184</v>
      </c>
      <c r="I292" s="31" t="s">
        <v>46</v>
      </c>
      <c r="J292" s="31" t="s">
        <v>448</v>
      </c>
      <c r="K292" s="31" t="s">
        <v>48</v>
      </c>
    </row>
    <row r="293" customFormat="false" ht="15" hidden="false" customHeight="false" outlineLevel="0" collapsed="false">
      <c r="A293" s="31" t="s">
        <v>450</v>
      </c>
      <c r="B293" s="31" t="s">
        <v>451</v>
      </c>
      <c r="C293" s="31" t="s">
        <v>20</v>
      </c>
      <c r="D293" s="31" t="s">
        <v>63</v>
      </c>
      <c r="E293" s="31" t="n">
        <v>1</v>
      </c>
      <c r="F293" s="32" t="n">
        <v>14</v>
      </c>
      <c r="G293" s="32" t="n">
        <v>14</v>
      </c>
      <c r="H293" s="31" t="s">
        <v>45</v>
      </c>
      <c r="I293" s="31" t="s">
        <v>58</v>
      </c>
      <c r="J293" s="31" t="s">
        <v>452</v>
      </c>
      <c r="K293" s="31" t="s">
        <v>48</v>
      </c>
    </row>
    <row r="294" customFormat="false" ht="15" hidden="false" customHeight="false" outlineLevel="0" collapsed="false">
      <c r="A294" s="31" t="s">
        <v>450</v>
      </c>
      <c r="B294" s="31" t="s">
        <v>451</v>
      </c>
      <c r="C294" s="31" t="s">
        <v>20</v>
      </c>
      <c r="D294" s="31" t="s">
        <v>69</v>
      </c>
      <c r="E294" s="31" t="n">
        <v>1</v>
      </c>
      <c r="F294" s="32" t="n">
        <v>29</v>
      </c>
      <c r="G294" s="32" t="n">
        <v>29</v>
      </c>
      <c r="H294" s="31" t="s">
        <v>45</v>
      </c>
      <c r="I294" s="31" t="s">
        <v>58</v>
      </c>
      <c r="J294" s="31" t="s">
        <v>452</v>
      </c>
      <c r="K294" s="31" t="s">
        <v>48</v>
      </c>
    </row>
    <row r="295" customFormat="false" ht="15" hidden="false" customHeight="false" outlineLevel="0" collapsed="false">
      <c r="A295" s="31" t="s">
        <v>453</v>
      </c>
      <c r="B295" s="31" t="s">
        <v>454</v>
      </c>
      <c r="C295" s="31" t="s">
        <v>20</v>
      </c>
      <c r="D295" s="31" t="s">
        <v>56</v>
      </c>
      <c r="E295" s="31" t="n">
        <v>2</v>
      </c>
      <c r="F295" s="32" t="n">
        <v>45</v>
      </c>
      <c r="G295" s="32" t="n">
        <v>90</v>
      </c>
      <c r="H295" s="31" t="s">
        <v>160</v>
      </c>
      <c r="I295" s="31" t="s">
        <v>104</v>
      </c>
      <c r="J295" s="31" t="s">
        <v>455</v>
      </c>
      <c r="K295" s="31" t="s">
        <v>48</v>
      </c>
    </row>
    <row r="296" customFormat="false" ht="15" hidden="false" customHeight="false" outlineLevel="0" collapsed="false">
      <c r="A296" s="31" t="s">
        <v>453</v>
      </c>
      <c r="B296" s="31" t="s">
        <v>454</v>
      </c>
      <c r="C296" s="31" t="s">
        <v>20</v>
      </c>
      <c r="D296" s="31" t="s">
        <v>73</v>
      </c>
      <c r="E296" s="31" t="n">
        <v>2</v>
      </c>
      <c r="F296" s="32" t="n">
        <v>69</v>
      </c>
      <c r="G296" s="32" t="n">
        <v>138</v>
      </c>
      <c r="H296" s="31" t="s">
        <v>160</v>
      </c>
      <c r="I296" s="31" t="s">
        <v>104</v>
      </c>
      <c r="J296" s="31" t="s">
        <v>455</v>
      </c>
      <c r="K296" s="31" t="s">
        <v>48</v>
      </c>
    </row>
    <row r="297" customFormat="false" ht="15" hidden="false" customHeight="false" outlineLevel="0" collapsed="false">
      <c r="A297" s="31" t="s">
        <v>453</v>
      </c>
      <c r="B297" s="31" t="s">
        <v>456</v>
      </c>
      <c r="C297" s="31" t="s">
        <v>44</v>
      </c>
      <c r="D297" s="31" t="s">
        <v>44</v>
      </c>
      <c r="E297" s="31" t="n">
        <v>1</v>
      </c>
      <c r="F297" s="32" t="n">
        <v>3.95</v>
      </c>
      <c r="G297" s="32" t="n">
        <v>3.95</v>
      </c>
      <c r="H297" s="31" t="s">
        <v>160</v>
      </c>
      <c r="I297" s="31" t="s">
        <v>104</v>
      </c>
      <c r="J297" s="31" t="s">
        <v>455</v>
      </c>
      <c r="K297" s="31" t="s">
        <v>48</v>
      </c>
    </row>
    <row r="298" customFormat="false" ht="15" hidden="false" customHeight="false" outlineLevel="0" collapsed="false">
      <c r="A298" s="31" t="s">
        <v>457</v>
      </c>
      <c r="B298" s="31" t="s">
        <v>458</v>
      </c>
      <c r="C298" s="31" t="s">
        <v>20</v>
      </c>
      <c r="D298" s="31" t="s">
        <v>87</v>
      </c>
      <c r="E298" s="31" t="n">
        <v>1</v>
      </c>
      <c r="F298" s="32" t="n">
        <v>35</v>
      </c>
      <c r="G298" s="32" t="n">
        <v>35</v>
      </c>
      <c r="H298" s="31" t="s">
        <v>160</v>
      </c>
      <c r="I298" s="31" t="s">
        <v>58</v>
      </c>
      <c r="J298" s="31" t="s">
        <v>459</v>
      </c>
      <c r="K298" s="31" t="s">
        <v>48</v>
      </c>
    </row>
    <row r="299" customFormat="false" ht="15" hidden="false" customHeight="false" outlineLevel="0" collapsed="false">
      <c r="A299" s="31" t="s">
        <v>460</v>
      </c>
      <c r="B299" s="31" t="s">
        <v>461</v>
      </c>
      <c r="C299" s="31" t="s">
        <v>20</v>
      </c>
      <c r="D299" s="31" t="s">
        <v>52</v>
      </c>
      <c r="E299" s="31" t="n">
        <v>1</v>
      </c>
      <c r="F299" s="32" t="n">
        <v>22</v>
      </c>
      <c r="G299" s="32" t="n">
        <v>22</v>
      </c>
      <c r="H299" s="31" t="s">
        <v>45</v>
      </c>
      <c r="I299" s="31" t="s">
        <v>58</v>
      </c>
      <c r="J299" s="31" t="s">
        <v>462</v>
      </c>
      <c r="K299" s="31" t="s">
        <v>48</v>
      </c>
    </row>
    <row r="300" customFormat="false" ht="15" hidden="false" customHeight="false" outlineLevel="0" collapsed="false">
      <c r="A300" s="31" t="s">
        <v>460</v>
      </c>
      <c r="B300" s="31" t="s">
        <v>461</v>
      </c>
      <c r="C300" s="31" t="s">
        <v>44</v>
      </c>
      <c r="D300" s="31" t="s">
        <v>44</v>
      </c>
      <c r="E300" s="31" t="n">
        <v>1</v>
      </c>
      <c r="F300" s="32" t="n">
        <v>3.95</v>
      </c>
      <c r="G300" s="32" t="n">
        <v>3.95</v>
      </c>
      <c r="H300" s="31" t="s">
        <v>45</v>
      </c>
      <c r="I300" s="31" t="s">
        <v>58</v>
      </c>
      <c r="J300" s="31" t="s">
        <v>462</v>
      </c>
      <c r="K300" s="31" t="s">
        <v>48</v>
      </c>
    </row>
    <row r="301" customFormat="false" ht="15" hidden="false" customHeight="false" outlineLevel="0" collapsed="false">
      <c r="A301" s="31" t="s">
        <v>460</v>
      </c>
      <c r="B301" s="31" t="s">
        <v>461</v>
      </c>
      <c r="C301" s="31" t="s">
        <v>50</v>
      </c>
      <c r="D301" s="31" t="s">
        <v>51</v>
      </c>
      <c r="E301" s="31" t="n">
        <v>1</v>
      </c>
      <c r="F301" s="32" t="n">
        <v>-5</v>
      </c>
      <c r="G301" s="32" t="n">
        <v>-5</v>
      </c>
      <c r="H301" s="31" t="s">
        <v>45</v>
      </c>
      <c r="I301" s="31" t="s">
        <v>58</v>
      </c>
      <c r="J301" s="31" t="s">
        <v>462</v>
      </c>
      <c r="K301" s="31" t="s">
        <v>48</v>
      </c>
    </row>
    <row r="302" customFormat="false" ht="15" hidden="false" customHeight="false" outlineLevel="0" collapsed="false">
      <c r="A302" s="31" t="s">
        <v>460</v>
      </c>
      <c r="B302" s="31" t="s">
        <v>463</v>
      </c>
      <c r="C302" s="31" t="s">
        <v>20</v>
      </c>
      <c r="D302" s="31" t="s">
        <v>73</v>
      </c>
      <c r="E302" s="31" t="n">
        <v>1</v>
      </c>
      <c r="F302" s="32" t="n">
        <v>69</v>
      </c>
      <c r="G302" s="32" t="n">
        <v>69</v>
      </c>
      <c r="H302" s="31" t="s">
        <v>45</v>
      </c>
      <c r="I302" s="31" t="s">
        <v>58</v>
      </c>
      <c r="J302" s="31" t="s">
        <v>462</v>
      </c>
      <c r="K302" s="31" t="s">
        <v>48</v>
      </c>
    </row>
    <row r="303" customFormat="false" ht="15" hidden="false" customHeight="false" outlineLevel="0" collapsed="false">
      <c r="A303" s="31" t="s">
        <v>464</v>
      </c>
      <c r="B303" s="31" t="s">
        <v>465</v>
      </c>
      <c r="C303" s="31" t="s">
        <v>20</v>
      </c>
      <c r="D303" s="31" t="s">
        <v>87</v>
      </c>
      <c r="E303" s="31" t="n">
        <v>1</v>
      </c>
      <c r="F303" s="32" t="n">
        <v>31.5</v>
      </c>
      <c r="G303" s="32" t="n">
        <v>31.5</v>
      </c>
      <c r="H303" s="31" t="s">
        <v>57</v>
      </c>
      <c r="I303" s="31" t="s">
        <v>104</v>
      </c>
      <c r="J303" s="31"/>
      <c r="K303" s="31" t="s">
        <v>48</v>
      </c>
    </row>
    <row r="304" customFormat="false" ht="15" hidden="false" customHeight="false" outlineLevel="0" collapsed="false">
      <c r="A304" s="31" t="s">
        <v>464</v>
      </c>
      <c r="B304" s="31" t="s">
        <v>465</v>
      </c>
      <c r="C304" s="31" t="s">
        <v>20</v>
      </c>
      <c r="D304" s="31" t="s">
        <v>66</v>
      </c>
      <c r="E304" s="31" t="n">
        <v>1</v>
      </c>
      <c r="F304" s="32" t="n">
        <v>32</v>
      </c>
      <c r="G304" s="32" t="n">
        <v>32</v>
      </c>
      <c r="H304" s="31" t="s">
        <v>57</v>
      </c>
      <c r="I304" s="31" t="s">
        <v>104</v>
      </c>
      <c r="J304" s="31"/>
      <c r="K304" s="31" t="s">
        <v>48</v>
      </c>
    </row>
    <row r="305" customFormat="false" ht="15" hidden="false" customHeight="false" outlineLevel="0" collapsed="false">
      <c r="A305" s="31" t="s">
        <v>466</v>
      </c>
      <c r="B305" s="31" t="s">
        <v>467</v>
      </c>
      <c r="C305" s="31" t="s">
        <v>20</v>
      </c>
      <c r="D305" s="31" t="s">
        <v>87</v>
      </c>
      <c r="E305" s="31" t="n">
        <v>1</v>
      </c>
      <c r="F305" s="32" t="n">
        <v>35</v>
      </c>
      <c r="G305" s="32" t="n">
        <v>35</v>
      </c>
      <c r="H305" s="31" t="s">
        <v>45</v>
      </c>
      <c r="I305" s="31" t="s">
        <v>104</v>
      </c>
      <c r="J305" s="31" t="s">
        <v>468</v>
      </c>
      <c r="K305" s="31" t="s">
        <v>48</v>
      </c>
    </row>
    <row r="306" customFormat="false" ht="15" hidden="false" customHeight="false" outlineLevel="0" collapsed="false">
      <c r="A306" s="31" t="s">
        <v>466</v>
      </c>
      <c r="B306" s="31" t="s">
        <v>467</v>
      </c>
      <c r="C306" s="31" t="s">
        <v>20</v>
      </c>
      <c r="D306" s="31" t="s">
        <v>52</v>
      </c>
      <c r="E306" s="31" t="n">
        <v>1</v>
      </c>
      <c r="F306" s="32" t="n">
        <v>17.6</v>
      </c>
      <c r="G306" s="32" t="n">
        <v>17.6</v>
      </c>
      <c r="H306" s="31" t="s">
        <v>45</v>
      </c>
      <c r="I306" s="31" t="s">
        <v>104</v>
      </c>
      <c r="J306" s="31" t="s">
        <v>468</v>
      </c>
      <c r="K306" s="31" t="s">
        <v>48</v>
      </c>
    </row>
    <row r="307" customFormat="false" ht="15" hidden="false" customHeight="false" outlineLevel="0" collapsed="false">
      <c r="A307" s="31" t="s">
        <v>469</v>
      </c>
      <c r="B307" s="31" t="s">
        <v>470</v>
      </c>
      <c r="C307" s="31" t="s">
        <v>20</v>
      </c>
      <c r="D307" s="31" t="s">
        <v>52</v>
      </c>
      <c r="E307" s="31" t="n">
        <v>2</v>
      </c>
      <c r="F307" s="32" t="n">
        <v>19.8</v>
      </c>
      <c r="G307" s="32" t="n">
        <v>39.6</v>
      </c>
      <c r="H307" s="31" t="s">
        <v>184</v>
      </c>
      <c r="I307" s="31" t="s">
        <v>58</v>
      </c>
      <c r="J307" s="31" t="s">
        <v>471</v>
      </c>
      <c r="K307" s="31" t="s">
        <v>48</v>
      </c>
    </row>
    <row r="308" customFormat="false" ht="15" hidden="false" customHeight="false" outlineLevel="0" collapsed="false">
      <c r="A308" s="31" t="s">
        <v>469</v>
      </c>
      <c r="B308" s="31" t="s">
        <v>472</v>
      </c>
      <c r="C308" s="31" t="s">
        <v>20</v>
      </c>
      <c r="D308" s="31" t="s">
        <v>140</v>
      </c>
      <c r="E308" s="31" t="n">
        <v>1</v>
      </c>
      <c r="F308" s="32" t="n">
        <v>26</v>
      </c>
      <c r="G308" s="32" t="n">
        <v>26</v>
      </c>
      <c r="H308" s="31" t="s">
        <v>184</v>
      </c>
      <c r="I308" s="31" t="s">
        <v>58</v>
      </c>
      <c r="J308" s="31" t="s">
        <v>471</v>
      </c>
      <c r="K308" s="31" t="s">
        <v>48</v>
      </c>
    </row>
    <row r="309" customFormat="false" ht="15" hidden="false" customHeight="false" outlineLevel="0" collapsed="false">
      <c r="A309" s="31" t="s">
        <v>469</v>
      </c>
      <c r="B309" s="31" t="s">
        <v>472</v>
      </c>
      <c r="C309" s="31" t="s">
        <v>50</v>
      </c>
      <c r="D309" s="31" t="s">
        <v>51</v>
      </c>
      <c r="E309" s="31" t="n">
        <v>1</v>
      </c>
      <c r="F309" s="32" t="n">
        <v>-5</v>
      </c>
      <c r="G309" s="32" t="n">
        <v>-5</v>
      </c>
      <c r="H309" s="31" t="s">
        <v>184</v>
      </c>
      <c r="I309" s="31" t="s">
        <v>58</v>
      </c>
      <c r="J309" s="31" t="s">
        <v>471</v>
      </c>
      <c r="K309" s="31" t="s">
        <v>48</v>
      </c>
    </row>
    <row r="310" customFormat="false" ht="15" hidden="false" customHeight="false" outlineLevel="0" collapsed="false">
      <c r="A310" s="31" t="s">
        <v>469</v>
      </c>
      <c r="B310" s="31" t="s">
        <v>472</v>
      </c>
      <c r="C310" s="31" t="s">
        <v>20</v>
      </c>
      <c r="D310" s="31" t="s">
        <v>53</v>
      </c>
      <c r="E310" s="31" t="n">
        <v>1</v>
      </c>
      <c r="F310" s="32" t="n">
        <v>39</v>
      </c>
      <c r="G310" s="32" t="n">
        <v>39</v>
      </c>
      <c r="H310" s="31" t="s">
        <v>184</v>
      </c>
      <c r="I310" s="31" t="s">
        <v>58</v>
      </c>
      <c r="J310" s="31" t="s">
        <v>471</v>
      </c>
      <c r="K310" s="31" t="s">
        <v>48</v>
      </c>
    </row>
    <row r="311" customFormat="false" ht="15" hidden="false" customHeight="false" outlineLevel="0" collapsed="false">
      <c r="A311" s="31" t="s">
        <v>473</v>
      </c>
      <c r="B311" s="31" t="s">
        <v>474</v>
      </c>
      <c r="C311" s="31" t="s">
        <v>44</v>
      </c>
      <c r="D311" s="31" t="s">
        <v>44</v>
      </c>
      <c r="E311" s="31" t="n">
        <v>1</v>
      </c>
      <c r="F311" s="32" t="n">
        <v>3.95</v>
      </c>
      <c r="G311" s="32" t="n">
        <v>3.95</v>
      </c>
      <c r="H311" s="31" t="s">
        <v>45</v>
      </c>
      <c r="I311" s="31" t="s">
        <v>58</v>
      </c>
      <c r="J311" s="31" t="s">
        <v>475</v>
      </c>
      <c r="K311" s="31" t="s">
        <v>48</v>
      </c>
    </row>
    <row r="312" customFormat="false" ht="15" hidden="false" customHeight="false" outlineLevel="0" collapsed="false">
      <c r="A312" s="31" t="s">
        <v>473</v>
      </c>
      <c r="B312" s="31" t="s">
        <v>476</v>
      </c>
      <c r="C312" s="31" t="s">
        <v>20</v>
      </c>
      <c r="D312" s="31" t="s">
        <v>66</v>
      </c>
      <c r="E312" s="31" t="n">
        <v>1</v>
      </c>
      <c r="F312" s="32" t="n">
        <v>32</v>
      </c>
      <c r="G312" s="32" t="n">
        <v>32</v>
      </c>
      <c r="H312" s="31" t="s">
        <v>45</v>
      </c>
      <c r="I312" s="31" t="s">
        <v>58</v>
      </c>
      <c r="J312" s="31" t="s">
        <v>475</v>
      </c>
      <c r="K312" s="31" t="s">
        <v>48</v>
      </c>
    </row>
    <row r="313" customFormat="false" ht="15" hidden="false" customHeight="false" outlineLevel="0" collapsed="false">
      <c r="A313" s="31" t="s">
        <v>477</v>
      </c>
      <c r="B313" s="31" t="s">
        <v>478</v>
      </c>
      <c r="C313" s="31" t="s">
        <v>44</v>
      </c>
      <c r="D313" s="31" t="s">
        <v>44</v>
      </c>
      <c r="E313" s="31" t="n">
        <v>1</v>
      </c>
      <c r="F313" s="32" t="n">
        <v>3.95</v>
      </c>
      <c r="G313" s="32" t="n">
        <v>3.95</v>
      </c>
      <c r="H313" s="31" t="s">
        <v>45</v>
      </c>
      <c r="I313" s="31" t="s">
        <v>46</v>
      </c>
      <c r="J313" s="31" t="s">
        <v>479</v>
      </c>
      <c r="K313" s="31" t="s">
        <v>48</v>
      </c>
    </row>
    <row r="314" customFormat="false" ht="15" hidden="false" customHeight="false" outlineLevel="0" collapsed="false">
      <c r="A314" s="31" t="s">
        <v>477</v>
      </c>
      <c r="B314" s="31" t="s">
        <v>478</v>
      </c>
      <c r="C314" s="31" t="s">
        <v>20</v>
      </c>
      <c r="D314" s="31" t="s">
        <v>78</v>
      </c>
      <c r="E314" s="31" t="n">
        <v>1</v>
      </c>
      <c r="F314" s="32" t="n">
        <v>89</v>
      </c>
      <c r="G314" s="32" t="n">
        <v>89</v>
      </c>
      <c r="H314" s="31" t="s">
        <v>45</v>
      </c>
      <c r="I314" s="31" t="s">
        <v>46</v>
      </c>
      <c r="J314" s="31" t="s">
        <v>479</v>
      </c>
      <c r="K314" s="31" t="s">
        <v>48</v>
      </c>
    </row>
    <row r="315" customFormat="false" ht="15" hidden="false" customHeight="false" outlineLevel="0" collapsed="false">
      <c r="A315" s="31" t="s">
        <v>477</v>
      </c>
      <c r="B315" s="31" t="s">
        <v>478</v>
      </c>
      <c r="C315" s="31" t="s">
        <v>20</v>
      </c>
      <c r="D315" s="31" t="s">
        <v>53</v>
      </c>
      <c r="E315" s="31" t="n">
        <v>1</v>
      </c>
      <c r="F315" s="32" t="n">
        <v>39</v>
      </c>
      <c r="G315" s="32" t="n">
        <v>39</v>
      </c>
      <c r="H315" s="31" t="s">
        <v>45</v>
      </c>
      <c r="I315" s="31" t="s">
        <v>46</v>
      </c>
      <c r="J315" s="31" t="s">
        <v>479</v>
      </c>
      <c r="K315" s="31" t="s">
        <v>48</v>
      </c>
    </row>
    <row r="316" customFormat="false" ht="15" hidden="false" customHeight="false" outlineLevel="0" collapsed="false">
      <c r="A316" s="31" t="s">
        <v>480</v>
      </c>
      <c r="B316" s="31" t="s">
        <v>481</v>
      </c>
      <c r="C316" s="31" t="s">
        <v>44</v>
      </c>
      <c r="D316" s="31" t="s">
        <v>44</v>
      </c>
      <c r="E316" s="31" t="n">
        <v>1</v>
      </c>
      <c r="F316" s="32" t="n">
        <v>5.95</v>
      </c>
      <c r="G316" s="32" t="n">
        <v>5.95</v>
      </c>
      <c r="H316" s="31" t="s">
        <v>145</v>
      </c>
      <c r="I316" s="31" t="s">
        <v>84</v>
      </c>
      <c r="J316" s="31" t="s">
        <v>482</v>
      </c>
      <c r="K316" s="31" t="s">
        <v>48</v>
      </c>
    </row>
    <row r="317" customFormat="false" ht="15" hidden="false" customHeight="false" outlineLevel="0" collapsed="false">
      <c r="A317" s="31" t="s">
        <v>480</v>
      </c>
      <c r="B317" s="31" t="s">
        <v>483</v>
      </c>
      <c r="C317" s="31" t="s">
        <v>20</v>
      </c>
      <c r="D317" s="31" t="s">
        <v>69</v>
      </c>
      <c r="E317" s="31" t="n">
        <v>1</v>
      </c>
      <c r="F317" s="32" t="n">
        <v>29</v>
      </c>
      <c r="G317" s="32" t="n">
        <v>29</v>
      </c>
      <c r="H317" s="31" t="s">
        <v>145</v>
      </c>
      <c r="I317" s="31" t="s">
        <v>84</v>
      </c>
      <c r="J317" s="31" t="s">
        <v>482</v>
      </c>
      <c r="K317" s="31" t="s">
        <v>48</v>
      </c>
    </row>
    <row r="318" customFormat="false" ht="15" hidden="false" customHeight="false" outlineLevel="0" collapsed="false">
      <c r="A318" s="31" t="s">
        <v>480</v>
      </c>
      <c r="B318" s="31" t="s">
        <v>481</v>
      </c>
      <c r="C318" s="31" t="s">
        <v>20</v>
      </c>
      <c r="D318" s="31" t="s">
        <v>140</v>
      </c>
      <c r="E318" s="31" t="n">
        <v>2</v>
      </c>
      <c r="F318" s="32" t="n">
        <v>26</v>
      </c>
      <c r="G318" s="32" t="n">
        <v>52</v>
      </c>
      <c r="H318" s="31" t="s">
        <v>145</v>
      </c>
      <c r="I318" s="31" t="s">
        <v>84</v>
      </c>
      <c r="J318" s="31" t="s">
        <v>482</v>
      </c>
      <c r="K318" s="31" t="s">
        <v>48</v>
      </c>
    </row>
    <row r="319" customFormat="false" ht="15" hidden="false" customHeight="false" outlineLevel="0" collapsed="false">
      <c r="A319" s="31" t="s">
        <v>484</v>
      </c>
      <c r="B319" s="31" t="s">
        <v>485</v>
      </c>
      <c r="C319" s="31" t="s">
        <v>20</v>
      </c>
      <c r="D319" s="31" t="s">
        <v>69</v>
      </c>
      <c r="E319" s="31" t="n">
        <v>1</v>
      </c>
      <c r="F319" s="32" t="n">
        <v>29</v>
      </c>
      <c r="G319" s="32" t="n">
        <v>29</v>
      </c>
      <c r="H319" s="31" t="s">
        <v>57</v>
      </c>
      <c r="I319" s="31" t="s">
        <v>58</v>
      </c>
      <c r="J319" s="31" t="s">
        <v>486</v>
      </c>
      <c r="K319" s="31" t="s">
        <v>48</v>
      </c>
    </row>
    <row r="320" customFormat="false" ht="15" hidden="false" customHeight="false" outlineLevel="0" collapsed="false">
      <c r="A320" s="31" t="s">
        <v>484</v>
      </c>
      <c r="B320" s="31" t="s">
        <v>485</v>
      </c>
      <c r="C320" s="31" t="s">
        <v>20</v>
      </c>
      <c r="D320" s="31" t="s">
        <v>53</v>
      </c>
      <c r="E320" s="31" t="n">
        <v>1</v>
      </c>
      <c r="F320" s="32" t="n">
        <v>39</v>
      </c>
      <c r="G320" s="32" t="n">
        <v>39</v>
      </c>
      <c r="H320" s="31" t="s">
        <v>57</v>
      </c>
      <c r="I320" s="31" t="s">
        <v>58</v>
      </c>
      <c r="J320" s="31" t="s">
        <v>486</v>
      </c>
      <c r="K320" s="31" t="s">
        <v>48</v>
      </c>
    </row>
    <row r="321" customFormat="false" ht="15" hidden="false" customHeight="false" outlineLevel="0" collapsed="false">
      <c r="A321" s="31" t="s">
        <v>484</v>
      </c>
      <c r="B321" s="31" t="s">
        <v>485</v>
      </c>
      <c r="C321" s="31" t="s">
        <v>44</v>
      </c>
      <c r="D321" s="31" t="s">
        <v>44</v>
      </c>
      <c r="E321" s="31" t="n">
        <v>1</v>
      </c>
      <c r="F321" s="32" t="n">
        <v>0</v>
      </c>
      <c r="G321" s="32" t="n">
        <v>0</v>
      </c>
      <c r="H321" s="31" t="s">
        <v>57</v>
      </c>
      <c r="I321" s="31" t="s">
        <v>58</v>
      </c>
      <c r="J321" s="31" t="s">
        <v>486</v>
      </c>
      <c r="K321" s="31" t="s">
        <v>48</v>
      </c>
    </row>
    <row r="322" customFormat="false" ht="15" hidden="false" customHeight="false" outlineLevel="0" collapsed="false">
      <c r="A322" s="31" t="s">
        <v>487</v>
      </c>
      <c r="B322" s="31" t="s">
        <v>488</v>
      </c>
      <c r="C322" s="31" t="s">
        <v>44</v>
      </c>
      <c r="D322" s="31" t="s">
        <v>44</v>
      </c>
      <c r="E322" s="31" t="n">
        <v>1</v>
      </c>
      <c r="F322" s="32" t="n">
        <v>3.95</v>
      </c>
      <c r="G322" s="32" t="n">
        <v>3.95</v>
      </c>
      <c r="H322" s="31" t="s">
        <v>57</v>
      </c>
      <c r="I322" s="31" t="s">
        <v>58</v>
      </c>
      <c r="J322" s="31" t="s">
        <v>489</v>
      </c>
      <c r="K322" s="31" t="s">
        <v>48</v>
      </c>
    </row>
    <row r="323" customFormat="false" ht="15" hidden="false" customHeight="false" outlineLevel="0" collapsed="false">
      <c r="A323" s="31" t="s">
        <v>487</v>
      </c>
      <c r="B323" s="31" t="s">
        <v>490</v>
      </c>
      <c r="C323" s="31" t="s">
        <v>20</v>
      </c>
      <c r="D323" s="31" t="s">
        <v>52</v>
      </c>
      <c r="E323" s="31" t="n">
        <v>2</v>
      </c>
      <c r="F323" s="32" t="n">
        <v>22</v>
      </c>
      <c r="G323" s="32" t="n">
        <v>44</v>
      </c>
      <c r="H323" s="31" t="s">
        <v>57</v>
      </c>
      <c r="I323" s="31" t="s">
        <v>58</v>
      </c>
      <c r="J323" s="31" t="s">
        <v>489</v>
      </c>
      <c r="K323" s="31" t="s">
        <v>48</v>
      </c>
    </row>
    <row r="324" customFormat="false" ht="15" hidden="false" customHeight="false" outlineLevel="0" collapsed="false">
      <c r="A324" s="31" t="s">
        <v>487</v>
      </c>
      <c r="B324" s="31" t="s">
        <v>490</v>
      </c>
      <c r="C324" s="31" t="s">
        <v>50</v>
      </c>
      <c r="D324" s="31" t="s">
        <v>51</v>
      </c>
      <c r="E324" s="31" t="n">
        <v>1</v>
      </c>
      <c r="F324" s="32" t="n">
        <v>-10</v>
      </c>
      <c r="G324" s="32" t="n">
        <v>-10</v>
      </c>
      <c r="H324" s="31" t="s">
        <v>57</v>
      </c>
      <c r="I324" s="31" t="s">
        <v>58</v>
      </c>
      <c r="J324" s="31" t="s">
        <v>489</v>
      </c>
      <c r="K324" s="31" t="s">
        <v>48</v>
      </c>
    </row>
    <row r="325" customFormat="false" ht="15" hidden="false" customHeight="false" outlineLevel="0" collapsed="false">
      <c r="A325" s="31" t="s">
        <v>491</v>
      </c>
      <c r="B325" s="31" t="s">
        <v>492</v>
      </c>
      <c r="C325" s="31" t="s">
        <v>20</v>
      </c>
      <c r="D325" s="31" t="s">
        <v>69</v>
      </c>
      <c r="E325" s="31" t="n">
        <v>2</v>
      </c>
      <c r="F325" s="32" t="n">
        <v>29</v>
      </c>
      <c r="G325" s="32" t="n">
        <v>58</v>
      </c>
      <c r="H325" s="31" t="s">
        <v>45</v>
      </c>
      <c r="I325" s="31" t="s">
        <v>58</v>
      </c>
      <c r="J325" s="31" t="s">
        <v>493</v>
      </c>
      <c r="K325" s="31" t="s">
        <v>48</v>
      </c>
    </row>
    <row r="326" customFormat="false" ht="15" hidden="false" customHeight="false" outlineLevel="0" collapsed="false">
      <c r="A326" s="31" t="s">
        <v>494</v>
      </c>
      <c r="B326" s="31" t="s">
        <v>495</v>
      </c>
      <c r="C326" s="31" t="s">
        <v>44</v>
      </c>
      <c r="D326" s="31" t="s">
        <v>44</v>
      </c>
      <c r="E326" s="31" t="n">
        <v>1</v>
      </c>
      <c r="F326" s="32" t="n">
        <v>0</v>
      </c>
      <c r="G326" s="32" t="n">
        <v>0</v>
      </c>
      <c r="H326" s="31" t="s">
        <v>45</v>
      </c>
      <c r="I326" s="31" t="s">
        <v>46</v>
      </c>
      <c r="J326" s="31" t="s">
        <v>496</v>
      </c>
      <c r="K326" s="31" t="s">
        <v>48</v>
      </c>
    </row>
    <row r="327" customFormat="false" ht="15" hidden="false" customHeight="false" outlineLevel="0" collapsed="false">
      <c r="A327" s="31" t="s">
        <v>494</v>
      </c>
      <c r="B327" s="31" t="s">
        <v>497</v>
      </c>
      <c r="C327" s="31" t="s">
        <v>20</v>
      </c>
      <c r="D327" s="31" t="s">
        <v>78</v>
      </c>
      <c r="E327" s="31" t="n">
        <v>1</v>
      </c>
      <c r="F327" s="32" t="n">
        <v>89</v>
      </c>
      <c r="G327" s="32" t="n">
        <v>89</v>
      </c>
      <c r="H327" s="31" t="s">
        <v>45</v>
      </c>
      <c r="I327" s="31" t="s">
        <v>46</v>
      </c>
      <c r="J327" s="31" t="s">
        <v>496</v>
      </c>
      <c r="K327" s="31" t="s">
        <v>48</v>
      </c>
    </row>
    <row r="328" customFormat="false" ht="15" hidden="false" customHeight="false" outlineLevel="0" collapsed="false">
      <c r="A328" s="31" t="s">
        <v>498</v>
      </c>
      <c r="B328" s="31" t="s">
        <v>499</v>
      </c>
      <c r="C328" s="31" t="s">
        <v>20</v>
      </c>
      <c r="D328" s="31" t="s">
        <v>69</v>
      </c>
      <c r="E328" s="31" t="n">
        <v>1</v>
      </c>
      <c r="F328" s="32" t="n">
        <v>29</v>
      </c>
      <c r="G328" s="32" t="n">
        <v>29</v>
      </c>
      <c r="H328" s="31" t="s">
        <v>45</v>
      </c>
      <c r="I328" s="31" t="s">
        <v>58</v>
      </c>
      <c r="J328" s="31" t="s">
        <v>500</v>
      </c>
      <c r="K328" s="31" t="s">
        <v>48</v>
      </c>
    </row>
    <row r="329" customFormat="false" ht="15" hidden="false" customHeight="false" outlineLevel="0" collapsed="false">
      <c r="A329" s="31" t="s">
        <v>498</v>
      </c>
      <c r="B329" s="31" t="s">
        <v>499</v>
      </c>
      <c r="C329" s="31" t="s">
        <v>20</v>
      </c>
      <c r="D329" s="31" t="s">
        <v>78</v>
      </c>
      <c r="E329" s="31" t="n">
        <v>1</v>
      </c>
      <c r="F329" s="32" t="n">
        <v>89</v>
      </c>
      <c r="G329" s="32" t="n">
        <v>89</v>
      </c>
      <c r="H329" s="31" t="s">
        <v>45</v>
      </c>
      <c r="I329" s="31" t="s">
        <v>58</v>
      </c>
      <c r="J329" s="31" t="s">
        <v>500</v>
      </c>
      <c r="K329" s="31" t="s">
        <v>48</v>
      </c>
    </row>
    <row r="330" customFormat="false" ht="15" hidden="false" customHeight="false" outlineLevel="0" collapsed="false">
      <c r="A330" s="31" t="s">
        <v>501</v>
      </c>
      <c r="B330" s="31" t="s">
        <v>502</v>
      </c>
      <c r="C330" s="31" t="s">
        <v>20</v>
      </c>
      <c r="D330" s="31" t="s">
        <v>56</v>
      </c>
      <c r="E330" s="31" t="n">
        <v>1</v>
      </c>
      <c r="F330" s="32" t="n">
        <v>45</v>
      </c>
      <c r="G330" s="32" t="n">
        <v>45</v>
      </c>
      <c r="H330" s="31" t="s">
        <v>57</v>
      </c>
      <c r="I330" s="31" t="s">
        <v>46</v>
      </c>
      <c r="J330" s="31" t="s">
        <v>503</v>
      </c>
      <c r="K330" s="31" t="s">
        <v>48</v>
      </c>
    </row>
    <row r="331" customFormat="false" ht="15" hidden="false" customHeight="false" outlineLevel="0" collapsed="false">
      <c r="A331" s="31" t="s">
        <v>501</v>
      </c>
      <c r="B331" s="31" t="s">
        <v>502</v>
      </c>
      <c r="C331" s="31" t="s">
        <v>44</v>
      </c>
      <c r="D331" s="31" t="s">
        <v>44</v>
      </c>
      <c r="E331" s="31" t="n">
        <v>1</v>
      </c>
      <c r="F331" s="32" t="n">
        <v>5.95</v>
      </c>
      <c r="G331" s="32" t="n">
        <v>5.95</v>
      </c>
      <c r="H331" s="31" t="s">
        <v>57</v>
      </c>
      <c r="I331" s="31" t="s">
        <v>46</v>
      </c>
      <c r="J331" s="31" t="s">
        <v>503</v>
      </c>
      <c r="K331" s="31" t="s">
        <v>48</v>
      </c>
    </row>
    <row r="332" customFormat="false" ht="15" hidden="false" customHeight="false" outlineLevel="0" collapsed="false">
      <c r="A332" s="31" t="s">
        <v>504</v>
      </c>
      <c r="B332" s="31" t="s">
        <v>505</v>
      </c>
      <c r="C332" s="31" t="s">
        <v>20</v>
      </c>
      <c r="D332" s="31" t="s">
        <v>53</v>
      </c>
      <c r="E332" s="31" t="n">
        <v>2</v>
      </c>
      <c r="F332" s="32" t="n">
        <v>39</v>
      </c>
      <c r="G332" s="32" t="n">
        <v>78</v>
      </c>
      <c r="H332" s="31" t="s">
        <v>45</v>
      </c>
      <c r="I332" s="31" t="s">
        <v>58</v>
      </c>
      <c r="J332" s="31" t="s">
        <v>506</v>
      </c>
      <c r="K332" s="31" t="s">
        <v>48</v>
      </c>
    </row>
    <row r="333" customFormat="false" ht="15" hidden="false" customHeight="false" outlineLevel="0" collapsed="false">
      <c r="A333" s="31" t="s">
        <v>504</v>
      </c>
      <c r="B333" s="31" t="s">
        <v>507</v>
      </c>
      <c r="C333" s="31" t="s">
        <v>20</v>
      </c>
      <c r="D333" s="31" t="s">
        <v>78</v>
      </c>
      <c r="E333" s="31" t="n">
        <v>1</v>
      </c>
      <c r="F333" s="32" t="n">
        <v>89</v>
      </c>
      <c r="G333" s="32" t="n">
        <v>89</v>
      </c>
      <c r="H333" s="31" t="s">
        <v>45</v>
      </c>
      <c r="I333" s="31" t="s">
        <v>58</v>
      </c>
      <c r="J333" s="31" t="s">
        <v>506</v>
      </c>
      <c r="K333" s="31" t="s">
        <v>48</v>
      </c>
    </row>
    <row r="334" customFormat="false" ht="15" hidden="false" customHeight="false" outlineLevel="0" collapsed="false">
      <c r="A334" s="31" t="s">
        <v>504</v>
      </c>
      <c r="B334" s="31" t="s">
        <v>507</v>
      </c>
      <c r="C334" s="31" t="s">
        <v>44</v>
      </c>
      <c r="D334" s="31" t="s">
        <v>44</v>
      </c>
      <c r="E334" s="31" t="n">
        <v>1</v>
      </c>
      <c r="F334" s="32" t="n">
        <v>3.95</v>
      </c>
      <c r="G334" s="32" t="n">
        <v>3.95</v>
      </c>
      <c r="H334" s="31" t="s">
        <v>45</v>
      </c>
      <c r="I334" s="31" t="s">
        <v>58</v>
      </c>
      <c r="J334" s="31" t="s">
        <v>506</v>
      </c>
      <c r="K334" s="31" t="s">
        <v>48</v>
      </c>
    </row>
    <row r="335" customFormat="false" ht="15" hidden="false" customHeight="false" outlineLevel="0" collapsed="false">
      <c r="A335" s="31" t="s">
        <v>508</v>
      </c>
      <c r="B335" s="31" t="s">
        <v>509</v>
      </c>
      <c r="C335" s="31" t="s">
        <v>20</v>
      </c>
      <c r="D335" s="31" t="s">
        <v>53</v>
      </c>
      <c r="E335" s="31" t="n">
        <v>4</v>
      </c>
      <c r="F335" s="32" t="n">
        <v>39</v>
      </c>
      <c r="G335" s="32" t="n">
        <v>156</v>
      </c>
      <c r="H335" s="31" t="s">
        <v>45</v>
      </c>
      <c r="I335" s="31" t="s">
        <v>46</v>
      </c>
      <c r="J335" s="31" t="s">
        <v>510</v>
      </c>
      <c r="K335" s="31" t="s">
        <v>48</v>
      </c>
    </row>
    <row r="336" customFormat="false" ht="15" hidden="false" customHeight="false" outlineLevel="0" collapsed="false">
      <c r="A336" s="31" t="s">
        <v>508</v>
      </c>
      <c r="B336" s="31" t="s">
        <v>509</v>
      </c>
      <c r="C336" s="31" t="s">
        <v>44</v>
      </c>
      <c r="D336" s="31" t="s">
        <v>44</v>
      </c>
      <c r="E336" s="31" t="n">
        <v>1</v>
      </c>
      <c r="F336" s="32" t="n">
        <v>0</v>
      </c>
      <c r="G336" s="32" t="n">
        <v>0</v>
      </c>
      <c r="H336" s="31" t="s">
        <v>45</v>
      </c>
      <c r="I336" s="31" t="s">
        <v>46</v>
      </c>
      <c r="J336" s="31" t="s">
        <v>510</v>
      </c>
      <c r="K336" s="31" t="s">
        <v>48</v>
      </c>
    </row>
    <row r="337" customFormat="false" ht="15" hidden="false" customHeight="false" outlineLevel="0" collapsed="false">
      <c r="A337" s="31" t="s">
        <v>508</v>
      </c>
      <c r="B337" s="31" t="s">
        <v>511</v>
      </c>
      <c r="C337" s="31" t="s">
        <v>20</v>
      </c>
      <c r="D337" s="31" t="s">
        <v>78</v>
      </c>
      <c r="E337" s="31" t="n">
        <v>1</v>
      </c>
      <c r="F337" s="32" t="n">
        <v>89</v>
      </c>
      <c r="G337" s="32" t="n">
        <v>89</v>
      </c>
      <c r="H337" s="31" t="s">
        <v>45</v>
      </c>
      <c r="I337" s="31" t="s">
        <v>46</v>
      </c>
      <c r="J337" s="31" t="s">
        <v>510</v>
      </c>
      <c r="K337" s="31" t="s">
        <v>48</v>
      </c>
    </row>
    <row r="338" customFormat="false" ht="15" hidden="false" customHeight="false" outlineLevel="0" collapsed="false">
      <c r="A338" s="31" t="s">
        <v>512</v>
      </c>
      <c r="B338" s="31" t="s">
        <v>513</v>
      </c>
      <c r="C338" s="31" t="s">
        <v>50</v>
      </c>
      <c r="D338" s="31" t="s">
        <v>51</v>
      </c>
      <c r="E338" s="31" t="n">
        <v>1</v>
      </c>
      <c r="F338" s="32" t="n">
        <v>-15</v>
      </c>
      <c r="G338" s="32" t="n">
        <v>-15</v>
      </c>
      <c r="H338" s="31" t="s">
        <v>45</v>
      </c>
      <c r="I338" s="31" t="s">
        <v>58</v>
      </c>
      <c r="J338" s="31"/>
      <c r="K338" s="31" t="s">
        <v>48</v>
      </c>
    </row>
    <row r="339" customFormat="false" ht="15" hidden="false" customHeight="false" outlineLevel="0" collapsed="false">
      <c r="A339" s="31" t="s">
        <v>512</v>
      </c>
      <c r="B339" s="31" t="s">
        <v>513</v>
      </c>
      <c r="C339" s="31" t="s">
        <v>44</v>
      </c>
      <c r="D339" s="31" t="s">
        <v>44</v>
      </c>
      <c r="E339" s="31" t="n">
        <v>1</v>
      </c>
      <c r="F339" s="32" t="n">
        <v>3.95</v>
      </c>
      <c r="G339" s="32" t="n">
        <v>3.95</v>
      </c>
      <c r="H339" s="31" t="s">
        <v>45</v>
      </c>
      <c r="I339" s="31" t="s">
        <v>58</v>
      </c>
      <c r="J339" s="31"/>
      <c r="K339" s="31" t="s">
        <v>48</v>
      </c>
    </row>
    <row r="340" customFormat="false" ht="15" hidden="false" customHeight="false" outlineLevel="0" collapsed="false">
      <c r="A340" s="31" t="s">
        <v>512</v>
      </c>
      <c r="B340" s="31" t="s">
        <v>513</v>
      </c>
      <c r="C340" s="31" t="s">
        <v>20</v>
      </c>
      <c r="D340" s="31" t="s">
        <v>87</v>
      </c>
      <c r="E340" s="31" t="n">
        <v>1</v>
      </c>
      <c r="F340" s="32" t="n">
        <v>35</v>
      </c>
      <c r="G340" s="32" t="n">
        <v>35</v>
      </c>
      <c r="H340" s="31" t="s">
        <v>45</v>
      </c>
      <c r="I340" s="31" t="s">
        <v>58</v>
      </c>
      <c r="J340" s="31"/>
      <c r="K340" s="31" t="s">
        <v>48</v>
      </c>
    </row>
    <row r="341" customFormat="false" ht="15" hidden="false" customHeight="false" outlineLevel="0" collapsed="false">
      <c r="A341" s="31" t="s">
        <v>514</v>
      </c>
      <c r="B341" s="31" t="s">
        <v>515</v>
      </c>
      <c r="C341" s="31" t="s">
        <v>20</v>
      </c>
      <c r="D341" s="31" t="s">
        <v>69</v>
      </c>
      <c r="E341" s="31" t="n">
        <v>1</v>
      </c>
      <c r="F341" s="32" t="n">
        <v>29</v>
      </c>
      <c r="G341" s="32" t="n">
        <v>29</v>
      </c>
      <c r="H341" s="31" t="s">
        <v>145</v>
      </c>
      <c r="I341" s="31" t="s">
        <v>58</v>
      </c>
      <c r="J341" s="31"/>
      <c r="K341" s="31" t="s">
        <v>48</v>
      </c>
    </row>
    <row r="342" customFormat="false" ht="15" hidden="false" customHeight="false" outlineLevel="0" collapsed="false">
      <c r="A342" s="31" t="s">
        <v>514</v>
      </c>
      <c r="B342" s="31" t="s">
        <v>516</v>
      </c>
      <c r="C342" s="31" t="s">
        <v>44</v>
      </c>
      <c r="D342" s="31" t="s">
        <v>44</v>
      </c>
      <c r="E342" s="31" t="n">
        <v>1</v>
      </c>
      <c r="F342" s="32" t="n">
        <v>4.95</v>
      </c>
      <c r="G342" s="32" t="n">
        <v>4.95</v>
      </c>
      <c r="H342" s="31" t="s">
        <v>145</v>
      </c>
      <c r="I342" s="31" t="s">
        <v>58</v>
      </c>
      <c r="J342" s="31"/>
      <c r="K342" s="31" t="s">
        <v>48</v>
      </c>
    </row>
    <row r="343" customFormat="false" ht="15" hidden="false" customHeight="false" outlineLevel="0" collapsed="false">
      <c r="A343" s="31" t="s">
        <v>517</v>
      </c>
      <c r="B343" s="31" t="s">
        <v>518</v>
      </c>
      <c r="C343" s="31" t="s">
        <v>20</v>
      </c>
      <c r="D343" s="31" t="s">
        <v>123</v>
      </c>
      <c r="E343" s="31" t="n">
        <v>2</v>
      </c>
      <c r="F343" s="32" t="n">
        <v>60</v>
      </c>
      <c r="G343" s="32" t="n">
        <v>120</v>
      </c>
      <c r="H343" s="31" t="s">
        <v>57</v>
      </c>
      <c r="I343" s="31" t="s">
        <v>58</v>
      </c>
      <c r="J343" s="31" t="s">
        <v>519</v>
      </c>
      <c r="K343" s="31" t="s">
        <v>48</v>
      </c>
    </row>
    <row r="344" customFormat="false" ht="15" hidden="false" customHeight="false" outlineLevel="0" collapsed="false">
      <c r="A344" s="31" t="s">
        <v>517</v>
      </c>
      <c r="B344" s="31" t="s">
        <v>518</v>
      </c>
      <c r="C344" s="31" t="s">
        <v>44</v>
      </c>
      <c r="D344" s="31" t="s">
        <v>44</v>
      </c>
      <c r="E344" s="31" t="n">
        <v>1</v>
      </c>
      <c r="F344" s="32" t="n">
        <v>5.95</v>
      </c>
      <c r="G344" s="32" t="n">
        <v>5.95</v>
      </c>
      <c r="H344" s="31" t="s">
        <v>57</v>
      </c>
      <c r="I344" s="31" t="s">
        <v>58</v>
      </c>
      <c r="J344" s="31" t="s">
        <v>519</v>
      </c>
      <c r="K344" s="31" t="s">
        <v>48</v>
      </c>
    </row>
    <row r="345" customFormat="false" ht="15" hidden="false" customHeight="false" outlineLevel="0" collapsed="false">
      <c r="A345" s="31" t="s">
        <v>517</v>
      </c>
      <c r="B345" s="31" t="s">
        <v>518</v>
      </c>
      <c r="C345" s="31" t="s">
        <v>20</v>
      </c>
      <c r="D345" s="31" t="s">
        <v>69</v>
      </c>
      <c r="E345" s="31" t="n">
        <v>2</v>
      </c>
      <c r="F345" s="32" t="n">
        <v>29</v>
      </c>
      <c r="G345" s="32" t="n">
        <v>58</v>
      </c>
      <c r="H345" s="31" t="s">
        <v>57</v>
      </c>
      <c r="I345" s="31" t="s">
        <v>58</v>
      </c>
      <c r="J345" s="31" t="s">
        <v>519</v>
      </c>
      <c r="K345" s="31" t="s">
        <v>48</v>
      </c>
    </row>
    <row r="346" customFormat="false" ht="15" hidden="false" customHeight="false" outlineLevel="0" collapsed="false">
      <c r="A346" s="31" t="s">
        <v>520</v>
      </c>
      <c r="B346" s="31" t="s">
        <v>521</v>
      </c>
      <c r="C346" s="31" t="s">
        <v>50</v>
      </c>
      <c r="D346" s="31" t="s">
        <v>51</v>
      </c>
      <c r="E346" s="31" t="n">
        <v>1</v>
      </c>
      <c r="F346" s="32" t="n">
        <v>-15</v>
      </c>
      <c r="G346" s="32" t="n">
        <v>-15</v>
      </c>
      <c r="H346" s="31" t="s">
        <v>57</v>
      </c>
      <c r="I346" s="31" t="s">
        <v>58</v>
      </c>
      <c r="J346" s="31" t="s">
        <v>522</v>
      </c>
      <c r="K346" s="31" t="s">
        <v>48</v>
      </c>
    </row>
    <row r="347" customFormat="false" ht="15" hidden="false" customHeight="false" outlineLevel="0" collapsed="false">
      <c r="A347" s="31" t="s">
        <v>520</v>
      </c>
      <c r="B347" s="31" t="s">
        <v>523</v>
      </c>
      <c r="C347" s="31" t="s">
        <v>20</v>
      </c>
      <c r="D347" s="31" t="s">
        <v>73</v>
      </c>
      <c r="E347" s="31" t="n">
        <v>1</v>
      </c>
      <c r="F347" s="32" t="n">
        <v>69</v>
      </c>
      <c r="G347" s="32" t="n">
        <v>69</v>
      </c>
      <c r="H347" s="31" t="s">
        <v>57</v>
      </c>
      <c r="I347" s="31" t="s">
        <v>58</v>
      </c>
      <c r="J347" s="31" t="s">
        <v>522</v>
      </c>
      <c r="K347" s="31" t="s">
        <v>48</v>
      </c>
    </row>
    <row r="348" customFormat="false" ht="15" hidden="false" customHeight="false" outlineLevel="0" collapsed="false">
      <c r="A348" s="31" t="s">
        <v>520</v>
      </c>
      <c r="B348" s="31" t="s">
        <v>521</v>
      </c>
      <c r="C348" s="31" t="s">
        <v>20</v>
      </c>
      <c r="D348" s="31" t="s">
        <v>52</v>
      </c>
      <c r="E348" s="31" t="n">
        <v>1</v>
      </c>
      <c r="F348" s="32" t="n">
        <v>17.6</v>
      </c>
      <c r="G348" s="32" t="n">
        <v>17.6</v>
      </c>
      <c r="H348" s="31" t="s">
        <v>57</v>
      </c>
      <c r="I348" s="31" t="s">
        <v>58</v>
      </c>
      <c r="J348" s="31" t="s">
        <v>522</v>
      </c>
      <c r="K348" s="31" t="s">
        <v>48</v>
      </c>
    </row>
    <row r="349" customFormat="false" ht="15" hidden="false" customHeight="false" outlineLevel="0" collapsed="false">
      <c r="A349" s="31" t="s">
        <v>520</v>
      </c>
      <c r="B349" s="31" t="s">
        <v>521</v>
      </c>
      <c r="C349" s="31" t="s">
        <v>44</v>
      </c>
      <c r="D349" s="31" t="s">
        <v>44</v>
      </c>
      <c r="E349" s="31" t="n">
        <v>1</v>
      </c>
      <c r="F349" s="32" t="n">
        <v>0</v>
      </c>
      <c r="G349" s="32" t="n">
        <v>0</v>
      </c>
      <c r="H349" s="31" t="s">
        <v>57</v>
      </c>
      <c r="I349" s="31" t="s">
        <v>58</v>
      </c>
      <c r="J349" s="31" t="s">
        <v>522</v>
      </c>
      <c r="K349" s="31" t="s">
        <v>48</v>
      </c>
    </row>
    <row r="350" customFormat="false" ht="15" hidden="false" customHeight="false" outlineLevel="0" collapsed="false">
      <c r="A350" s="31" t="s">
        <v>446</v>
      </c>
      <c r="B350" s="31" t="s">
        <v>524</v>
      </c>
      <c r="C350" s="31" t="s">
        <v>20</v>
      </c>
      <c r="D350" s="31" t="s">
        <v>69</v>
      </c>
      <c r="E350" s="31" t="n">
        <v>-1</v>
      </c>
      <c r="F350" s="32" t="n">
        <v>29</v>
      </c>
      <c r="G350" s="32" t="n">
        <v>-29</v>
      </c>
      <c r="H350" s="31" t="s">
        <v>184</v>
      </c>
      <c r="I350" s="31" t="s">
        <v>46</v>
      </c>
      <c r="J350" s="31" t="s">
        <v>448</v>
      </c>
      <c r="K350" s="31" t="s">
        <v>243</v>
      </c>
    </row>
    <row r="351" customFormat="false" ht="15" hidden="false" customHeight="false" outlineLevel="0" collapsed="false">
      <c r="A351" s="31" t="s">
        <v>473</v>
      </c>
      <c r="B351" s="31" t="s">
        <v>525</v>
      </c>
      <c r="C351" s="31" t="s">
        <v>20</v>
      </c>
      <c r="D351" s="31" t="s">
        <v>66</v>
      </c>
      <c r="E351" s="31" t="n">
        <v>-1</v>
      </c>
      <c r="F351" s="32" t="n">
        <v>32</v>
      </c>
      <c r="G351" s="32" t="n">
        <v>-32</v>
      </c>
      <c r="H351" s="31" t="s">
        <v>45</v>
      </c>
      <c r="I351" s="31" t="s">
        <v>58</v>
      </c>
      <c r="J351" s="31" t="s">
        <v>475</v>
      </c>
      <c r="K351" s="31" t="s">
        <v>243</v>
      </c>
    </row>
    <row r="352" customFormat="false" ht="15" hidden="false" customHeight="false" outlineLevel="0" collapsed="false">
      <c r="A352" s="31" t="s">
        <v>526</v>
      </c>
      <c r="B352" s="31" t="s">
        <v>527</v>
      </c>
      <c r="C352" s="31" t="s">
        <v>20</v>
      </c>
      <c r="D352" s="31" t="s">
        <v>63</v>
      </c>
      <c r="E352" s="31" t="n">
        <v>2</v>
      </c>
      <c r="F352" s="32" t="n">
        <v>14</v>
      </c>
      <c r="G352" s="32" t="n">
        <v>28</v>
      </c>
      <c r="H352" s="31" t="s">
        <v>184</v>
      </c>
      <c r="I352" s="31" t="s">
        <v>155</v>
      </c>
      <c r="J352" s="31" t="s">
        <v>528</v>
      </c>
      <c r="K352" s="31" t="s">
        <v>48</v>
      </c>
    </row>
    <row r="353" customFormat="false" ht="15" hidden="false" customHeight="false" outlineLevel="0" collapsed="false">
      <c r="A353" s="31" t="s">
        <v>529</v>
      </c>
      <c r="B353" s="31" t="s">
        <v>530</v>
      </c>
      <c r="C353" s="31" t="s">
        <v>44</v>
      </c>
      <c r="D353" s="31" t="s">
        <v>44</v>
      </c>
      <c r="E353" s="31" t="n">
        <v>1</v>
      </c>
      <c r="F353" s="32" t="n">
        <v>3.95</v>
      </c>
      <c r="G353" s="32" t="n">
        <v>3.95</v>
      </c>
      <c r="H353" s="31" t="s">
        <v>45</v>
      </c>
      <c r="I353" s="31" t="s">
        <v>46</v>
      </c>
      <c r="J353" s="31" t="s">
        <v>531</v>
      </c>
      <c r="K353" s="31" t="s">
        <v>48</v>
      </c>
    </row>
    <row r="354" customFormat="false" ht="15" hidden="false" customHeight="false" outlineLevel="0" collapsed="false">
      <c r="A354" s="31" t="s">
        <v>529</v>
      </c>
      <c r="B354" s="31" t="s">
        <v>530</v>
      </c>
      <c r="C354" s="31" t="s">
        <v>20</v>
      </c>
      <c r="D354" s="31" t="s">
        <v>69</v>
      </c>
      <c r="E354" s="31" t="n">
        <v>1</v>
      </c>
      <c r="F354" s="32" t="n">
        <v>29</v>
      </c>
      <c r="G354" s="32" t="n">
        <v>29</v>
      </c>
      <c r="H354" s="31" t="s">
        <v>45</v>
      </c>
      <c r="I354" s="31" t="s">
        <v>46</v>
      </c>
      <c r="J354" s="31" t="s">
        <v>531</v>
      </c>
      <c r="K354" s="31" t="s">
        <v>48</v>
      </c>
    </row>
    <row r="355" customFormat="false" ht="15" hidden="false" customHeight="false" outlineLevel="0" collapsed="false">
      <c r="A355" s="31" t="s">
        <v>532</v>
      </c>
      <c r="B355" s="31" t="s">
        <v>533</v>
      </c>
      <c r="C355" s="31" t="s">
        <v>44</v>
      </c>
      <c r="D355" s="31" t="s">
        <v>44</v>
      </c>
      <c r="E355" s="31" t="n">
        <v>1</v>
      </c>
      <c r="F355" s="32" t="n">
        <v>3.95</v>
      </c>
      <c r="G355" s="32" t="n">
        <v>3.95</v>
      </c>
      <c r="H355" s="31" t="s">
        <v>45</v>
      </c>
      <c r="I355" s="31" t="s">
        <v>155</v>
      </c>
      <c r="J355" s="31" t="s">
        <v>534</v>
      </c>
      <c r="K355" s="31" t="s">
        <v>48</v>
      </c>
    </row>
    <row r="356" customFormat="false" ht="15" hidden="false" customHeight="false" outlineLevel="0" collapsed="false">
      <c r="A356" s="31" t="s">
        <v>532</v>
      </c>
      <c r="B356" s="31" t="s">
        <v>533</v>
      </c>
      <c r="C356" s="31" t="s">
        <v>20</v>
      </c>
      <c r="D356" s="31" t="s">
        <v>123</v>
      </c>
      <c r="E356" s="31" t="n">
        <v>1</v>
      </c>
      <c r="F356" s="32" t="n">
        <v>75</v>
      </c>
      <c r="G356" s="32" t="n">
        <v>75</v>
      </c>
      <c r="H356" s="31" t="s">
        <v>45</v>
      </c>
      <c r="I356" s="31" t="s">
        <v>155</v>
      </c>
      <c r="J356" s="31" t="s">
        <v>534</v>
      </c>
      <c r="K356" s="31" t="s">
        <v>48</v>
      </c>
    </row>
    <row r="357" customFormat="false" ht="15" hidden="false" customHeight="false" outlineLevel="0" collapsed="false">
      <c r="A357" s="31" t="s">
        <v>535</v>
      </c>
      <c r="B357" s="31" t="s">
        <v>536</v>
      </c>
      <c r="C357" s="31" t="s">
        <v>44</v>
      </c>
      <c r="D357" s="31" t="s">
        <v>44</v>
      </c>
      <c r="E357" s="31" t="n">
        <v>1</v>
      </c>
      <c r="F357" s="32" t="n">
        <v>3.95</v>
      </c>
      <c r="G357" s="32" t="n">
        <v>3.95</v>
      </c>
      <c r="H357" s="31" t="s">
        <v>45</v>
      </c>
      <c r="I357" s="31" t="s">
        <v>58</v>
      </c>
      <c r="J357" s="31" t="s">
        <v>537</v>
      </c>
      <c r="K357" s="31" t="s">
        <v>48</v>
      </c>
    </row>
    <row r="358" customFormat="false" ht="15" hidden="false" customHeight="false" outlineLevel="0" collapsed="false">
      <c r="A358" s="31" t="s">
        <v>535</v>
      </c>
      <c r="B358" s="31" t="s">
        <v>538</v>
      </c>
      <c r="C358" s="31" t="s">
        <v>20</v>
      </c>
      <c r="D358" s="31" t="s">
        <v>73</v>
      </c>
      <c r="E358" s="31" t="n">
        <v>2</v>
      </c>
      <c r="F358" s="32" t="n">
        <v>69</v>
      </c>
      <c r="G358" s="32" t="n">
        <v>138</v>
      </c>
      <c r="H358" s="31" t="s">
        <v>45</v>
      </c>
      <c r="I358" s="31" t="s">
        <v>58</v>
      </c>
      <c r="J358" s="31" t="s">
        <v>537</v>
      </c>
      <c r="K358" s="31" t="s">
        <v>48</v>
      </c>
    </row>
    <row r="359" customFormat="false" ht="15" hidden="false" customHeight="false" outlineLevel="0" collapsed="false">
      <c r="A359" s="31" t="s">
        <v>535</v>
      </c>
      <c r="B359" s="31" t="s">
        <v>538</v>
      </c>
      <c r="C359" s="31" t="s">
        <v>20</v>
      </c>
      <c r="D359" s="31" t="s">
        <v>69</v>
      </c>
      <c r="E359" s="31" t="n">
        <v>1</v>
      </c>
      <c r="F359" s="32" t="n">
        <v>29</v>
      </c>
      <c r="G359" s="32" t="n">
        <v>29</v>
      </c>
      <c r="H359" s="31" t="s">
        <v>45</v>
      </c>
      <c r="I359" s="31" t="s">
        <v>58</v>
      </c>
      <c r="J359" s="31" t="s">
        <v>537</v>
      </c>
      <c r="K359" s="31" t="s">
        <v>48</v>
      </c>
    </row>
    <row r="360" customFormat="false" ht="15" hidden="false" customHeight="false" outlineLevel="0" collapsed="false">
      <c r="A360" s="31" t="s">
        <v>539</v>
      </c>
      <c r="B360" s="31" t="s">
        <v>540</v>
      </c>
      <c r="C360" s="31" t="s">
        <v>20</v>
      </c>
      <c r="D360" s="31" t="s">
        <v>53</v>
      </c>
      <c r="E360" s="31" t="n">
        <v>1</v>
      </c>
      <c r="F360" s="32" t="n">
        <v>31.2</v>
      </c>
      <c r="G360" s="32" t="n">
        <v>31.2</v>
      </c>
      <c r="H360" s="31" t="s">
        <v>57</v>
      </c>
      <c r="I360" s="31" t="s">
        <v>58</v>
      </c>
      <c r="J360" s="31" t="s">
        <v>391</v>
      </c>
      <c r="K360" s="31" t="s">
        <v>48</v>
      </c>
    </row>
    <row r="361" customFormat="false" ht="15" hidden="false" customHeight="false" outlineLevel="0" collapsed="false">
      <c r="A361" s="31" t="s">
        <v>541</v>
      </c>
      <c r="B361" s="31" t="s">
        <v>542</v>
      </c>
      <c r="C361" s="31" t="s">
        <v>20</v>
      </c>
      <c r="D361" s="31" t="s">
        <v>78</v>
      </c>
      <c r="E361" s="31" t="n">
        <v>2</v>
      </c>
      <c r="F361" s="32" t="n">
        <v>89</v>
      </c>
      <c r="G361" s="32" t="n">
        <v>178</v>
      </c>
      <c r="H361" s="31" t="s">
        <v>57</v>
      </c>
      <c r="I361" s="31" t="s">
        <v>84</v>
      </c>
      <c r="J361" s="31" t="s">
        <v>543</v>
      </c>
      <c r="K361" s="31" t="s">
        <v>48</v>
      </c>
    </row>
    <row r="362" customFormat="false" ht="15" hidden="false" customHeight="false" outlineLevel="0" collapsed="false">
      <c r="A362" s="31" t="s">
        <v>541</v>
      </c>
      <c r="B362" s="31" t="s">
        <v>544</v>
      </c>
      <c r="C362" s="31" t="s">
        <v>20</v>
      </c>
      <c r="D362" s="31" t="s">
        <v>53</v>
      </c>
      <c r="E362" s="31" t="n">
        <v>1</v>
      </c>
      <c r="F362" s="32" t="n">
        <v>39</v>
      </c>
      <c r="G362" s="32" t="n">
        <v>39</v>
      </c>
      <c r="H362" s="31" t="s">
        <v>57</v>
      </c>
      <c r="I362" s="31" t="s">
        <v>84</v>
      </c>
      <c r="J362" s="31" t="s">
        <v>543</v>
      </c>
      <c r="K362" s="31" t="s">
        <v>48</v>
      </c>
    </row>
    <row r="363" customFormat="false" ht="15" hidden="false" customHeight="false" outlineLevel="0" collapsed="false">
      <c r="A363" s="31" t="s">
        <v>541</v>
      </c>
      <c r="B363" s="31" t="s">
        <v>542</v>
      </c>
      <c r="C363" s="31" t="s">
        <v>44</v>
      </c>
      <c r="D363" s="31" t="s">
        <v>44</v>
      </c>
      <c r="E363" s="31" t="n">
        <v>1</v>
      </c>
      <c r="F363" s="32" t="n">
        <v>3.95</v>
      </c>
      <c r="G363" s="32" t="n">
        <v>3.95</v>
      </c>
      <c r="H363" s="31" t="s">
        <v>57</v>
      </c>
      <c r="I363" s="31" t="s">
        <v>84</v>
      </c>
      <c r="J363" s="31" t="s">
        <v>543</v>
      </c>
      <c r="K363" s="31" t="s">
        <v>48</v>
      </c>
    </row>
    <row r="364" customFormat="false" ht="15" hidden="false" customHeight="false" outlineLevel="0" collapsed="false">
      <c r="A364" s="31" t="s">
        <v>545</v>
      </c>
      <c r="B364" s="31" t="s">
        <v>542</v>
      </c>
      <c r="C364" s="31" t="s">
        <v>20</v>
      </c>
      <c r="D364" s="31" t="s">
        <v>52</v>
      </c>
      <c r="E364" s="31" t="n">
        <v>1</v>
      </c>
      <c r="F364" s="32" t="n">
        <v>22</v>
      </c>
      <c r="G364" s="32" t="n">
        <v>22</v>
      </c>
      <c r="H364" s="31" t="s">
        <v>45</v>
      </c>
      <c r="I364" s="31" t="s">
        <v>84</v>
      </c>
      <c r="J364" s="31"/>
      <c r="K364" s="31" t="s">
        <v>48</v>
      </c>
    </row>
    <row r="365" customFormat="false" ht="15" hidden="false" customHeight="false" outlineLevel="0" collapsed="false">
      <c r="A365" s="31" t="s">
        <v>545</v>
      </c>
      <c r="B365" s="31" t="s">
        <v>542</v>
      </c>
      <c r="C365" s="31" t="s">
        <v>44</v>
      </c>
      <c r="D365" s="31" t="s">
        <v>44</v>
      </c>
      <c r="E365" s="31" t="n">
        <v>1</v>
      </c>
      <c r="F365" s="32" t="n">
        <v>3.95</v>
      </c>
      <c r="G365" s="32" t="n">
        <v>3.95</v>
      </c>
      <c r="H365" s="31" t="s">
        <v>45</v>
      </c>
      <c r="I365" s="31" t="s">
        <v>84</v>
      </c>
      <c r="J365" s="31"/>
      <c r="K365" s="31" t="s">
        <v>48</v>
      </c>
    </row>
    <row r="366" customFormat="false" ht="15" hidden="false" customHeight="false" outlineLevel="0" collapsed="false">
      <c r="A366" s="31" t="s">
        <v>545</v>
      </c>
      <c r="B366" s="31" t="s">
        <v>542</v>
      </c>
      <c r="C366" s="31" t="s">
        <v>20</v>
      </c>
      <c r="D366" s="31" t="s">
        <v>56</v>
      </c>
      <c r="E366" s="31" t="n">
        <v>1</v>
      </c>
      <c r="F366" s="32" t="n">
        <v>45</v>
      </c>
      <c r="G366" s="32" t="n">
        <v>45</v>
      </c>
      <c r="H366" s="31" t="s">
        <v>45</v>
      </c>
      <c r="I366" s="31" t="s">
        <v>84</v>
      </c>
      <c r="J366" s="31"/>
      <c r="K366" s="31" t="s">
        <v>48</v>
      </c>
    </row>
    <row r="367" customFormat="false" ht="15" hidden="false" customHeight="false" outlineLevel="0" collapsed="false">
      <c r="A367" s="31" t="s">
        <v>546</v>
      </c>
      <c r="B367" s="31" t="s">
        <v>547</v>
      </c>
      <c r="C367" s="31" t="s">
        <v>20</v>
      </c>
      <c r="D367" s="31" t="s">
        <v>78</v>
      </c>
      <c r="E367" s="31" t="n">
        <v>1</v>
      </c>
      <c r="F367" s="32" t="n">
        <v>89</v>
      </c>
      <c r="G367" s="32" t="n">
        <v>89</v>
      </c>
      <c r="H367" s="31" t="s">
        <v>145</v>
      </c>
      <c r="I367" s="31" t="s">
        <v>58</v>
      </c>
      <c r="J367" s="31" t="s">
        <v>548</v>
      </c>
      <c r="K367" s="31" t="s">
        <v>48</v>
      </c>
    </row>
    <row r="368" customFormat="false" ht="15" hidden="false" customHeight="false" outlineLevel="0" collapsed="false">
      <c r="A368" s="31" t="s">
        <v>546</v>
      </c>
      <c r="B368" s="31" t="s">
        <v>549</v>
      </c>
      <c r="C368" s="31" t="s">
        <v>44</v>
      </c>
      <c r="D368" s="31" t="s">
        <v>44</v>
      </c>
      <c r="E368" s="31" t="n">
        <v>1</v>
      </c>
      <c r="F368" s="32" t="n">
        <v>0</v>
      </c>
      <c r="G368" s="32" t="n">
        <v>0</v>
      </c>
      <c r="H368" s="31" t="s">
        <v>145</v>
      </c>
      <c r="I368" s="31" t="s">
        <v>58</v>
      </c>
      <c r="J368" s="31" t="s">
        <v>548</v>
      </c>
      <c r="K368" s="31" t="s">
        <v>48</v>
      </c>
    </row>
    <row r="369" customFormat="false" ht="15" hidden="false" customHeight="false" outlineLevel="0" collapsed="false">
      <c r="A369" s="31" t="s">
        <v>550</v>
      </c>
      <c r="B369" s="31" t="s">
        <v>551</v>
      </c>
      <c r="C369" s="31" t="s">
        <v>44</v>
      </c>
      <c r="D369" s="31" t="s">
        <v>44</v>
      </c>
      <c r="E369" s="31" t="n">
        <v>1</v>
      </c>
      <c r="F369" s="32" t="n">
        <v>3.95</v>
      </c>
      <c r="G369" s="32" t="n">
        <v>3.95</v>
      </c>
      <c r="H369" s="31" t="s">
        <v>45</v>
      </c>
      <c r="I369" s="31" t="s">
        <v>58</v>
      </c>
      <c r="J369" s="31" t="s">
        <v>552</v>
      </c>
      <c r="K369" s="31" t="s">
        <v>48</v>
      </c>
    </row>
    <row r="370" customFormat="false" ht="15" hidden="false" customHeight="false" outlineLevel="0" collapsed="false">
      <c r="A370" s="31" t="s">
        <v>550</v>
      </c>
      <c r="B370" s="31" t="s">
        <v>551</v>
      </c>
      <c r="C370" s="31" t="s">
        <v>20</v>
      </c>
      <c r="D370" s="31" t="s">
        <v>87</v>
      </c>
      <c r="E370" s="31" t="n">
        <v>2</v>
      </c>
      <c r="F370" s="32" t="n">
        <v>35</v>
      </c>
      <c r="G370" s="32" t="n">
        <v>70</v>
      </c>
      <c r="H370" s="31" t="s">
        <v>45</v>
      </c>
      <c r="I370" s="31" t="s">
        <v>58</v>
      </c>
      <c r="J370" s="31" t="s">
        <v>552</v>
      </c>
      <c r="K370" s="31" t="s">
        <v>48</v>
      </c>
    </row>
    <row r="371" customFormat="false" ht="15" hidden="false" customHeight="false" outlineLevel="0" collapsed="false">
      <c r="A371" s="31" t="s">
        <v>550</v>
      </c>
      <c r="B371" s="31" t="s">
        <v>551</v>
      </c>
      <c r="C371" s="31" t="s">
        <v>20</v>
      </c>
      <c r="D371" s="31" t="s">
        <v>73</v>
      </c>
      <c r="E371" s="31" t="n">
        <v>1</v>
      </c>
      <c r="F371" s="32" t="n">
        <v>69</v>
      </c>
      <c r="G371" s="32" t="n">
        <v>69</v>
      </c>
      <c r="H371" s="31" t="s">
        <v>45</v>
      </c>
      <c r="I371" s="31" t="s">
        <v>58</v>
      </c>
      <c r="J371" s="31" t="s">
        <v>552</v>
      </c>
      <c r="K371" s="31" t="s">
        <v>48</v>
      </c>
    </row>
    <row r="372" customFormat="false" ht="15" hidden="false" customHeight="false" outlineLevel="0" collapsed="false">
      <c r="A372" s="31" t="s">
        <v>553</v>
      </c>
      <c r="B372" s="31" t="s">
        <v>554</v>
      </c>
      <c r="C372" s="31" t="s">
        <v>44</v>
      </c>
      <c r="D372" s="31" t="s">
        <v>44</v>
      </c>
      <c r="E372" s="31" t="n">
        <v>1</v>
      </c>
      <c r="F372" s="32" t="n">
        <v>4.95</v>
      </c>
      <c r="G372" s="32" t="n">
        <v>4.95</v>
      </c>
      <c r="H372" s="31" t="s">
        <v>145</v>
      </c>
      <c r="I372" s="31" t="s">
        <v>58</v>
      </c>
      <c r="J372" s="31" t="s">
        <v>555</v>
      </c>
      <c r="K372" s="31" t="s">
        <v>48</v>
      </c>
    </row>
    <row r="373" customFormat="false" ht="15" hidden="false" customHeight="false" outlineLevel="0" collapsed="false">
      <c r="A373" s="31" t="s">
        <v>553</v>
      </c>
      <c r="B373" s="31" t="s">
        <v>556</v>
      </c>
      <c r="C373" s="31" t="s">
        <v>20</v>
      </c>
      <c r="D373" s="31" t="s">
        <v>53</v>
      </c>
      <c r="E373" s="31" t="n">
        <v>1</v>
      </c>
      <c r="F373" s="32" t="n">
        <v>39</v>
      </c>
      <c r="G373" s="32" t="n">
        <v>39</v>
      </c>
      <c r="H373" s="31" t="s">
        <v>145</v>
      </c>
      <c r="I373" s="31" t="s">
        <v>58</v>
      </c>
      <c r="J373" s="31" t="s">
        <v>555</v>
      </c>
      <c r="K373" s="31" t="s">
        <v>48</v>
      </c>
    </row>
    <row r="374" customFormat="false" ht="15" hidden="false" customHeight="false" outlineLevel="0" collapsed="false">
      <c r="A374" s="31" t="s">
        <v>553</v>
      </c>
      <c r="B374" s="31" t="s">
        <v>556</v>
      </c>
      <c r="C374" s="31" t="s">
        <v>20</v>
      </c>
      <c r="D374" s="31" t="s">
        <v>69</v>
      </c>
      <c r="E374" s="31" t="n">
        <v>1</v>
      </c>
      <c r="F374" s="32" t="n">
        <v>29</v>
      </c>
      <c r="G374" s="32" t="n">
        <v>29</v>
      </c>
      <c r="H374" s="31" t="s">
        <v>145</v>
      </c>
      <c r="I374" s="31" t="s">
        <v>58</v>
      </c>
      <c r="J374" s="31" t="s">
        <v>555</v>
      </c>
      <c r="K374" s="31" t="s">
        <v>48</v>
      </c>
    </row>
    <row r="375" customFormat="false" ht="15" hidden="false" customHeight="false" outlineLevel="0" collapsed="false">
      <c r="A375" s="31" t="s">
        <v>557</v>
      </c>
      <c r="B375" s="31" t="s">
        <v>558</v>
      </c>
      <c r="C375" s="31" t="s">
        <v>20</v>
      </c>
      <c r="D375" s="31" t="s">
        <v>78</v>
      </c>
      <c r="E375" s="31" t="n">
        <v>2</v>
      </c>
      <c r="F375" s="32" t="n">
        <v>89</v>
      </c>
      <c r="G375" s="32" t="n">
        <v>178</v>
      </c>
      <c r="H375" s="31" t="s">
        <v>45</v>
      </c>
      <c r="I375" s="31" t="s">
        <v>58</v>
      </c>
      <c r="J375" s="31"/>
      <c r="K375" s="31" t="s">
        <v>48</v>
      </c>
    </row>
    <row r="376" customFormat="false" ht="15" hidden="false" customHeight="false" outlineLevel="0" collapsed="false">
      <c r="A376" s="31" t="s">
        <v>557</v>
      </c>
      <c r="B376" s="31" t="s">
        <v>558</v>
      </c>
      <c r="C376" s="31" t="s">
        <v>20</v>
      </c>
      <c r="D376" s="31" t="s">
        <v>123</v>
      </c>
      <c r="E376" s="31" t="n">
        <v>1</v>
      </c>
      <c r="F376" s="32" t="n">
        <v>75</v>
      </c>
      <c r="G376" s="32" t="n">
        <v>75</v>
      </c>
      <c r="H376" s="31" t="s">
        <v>45</v>
      </c>
      <c r="I376" s="31" t="s">
        <v>58</v>
      </c>
      <c r="J376" s="31"/>
      <c r="K376" s="31" t="s">
        <v>48</v>
      </c>
    </row>
    <row r="377" customFormat="false" ht="15" hidden="false" customHeight="false" outlineLevel="0" collapsed="false">
      <c r="A377" s="31" t="s">
        <v>559</v>
      </c>
      <c r="B377" s="31" t="s">
        <v>560</v>
      </c>
      <c r="C377" s="31" t="s">
        <v>50</v>
      </c>
      <c r="D377" s="31" t="s">
        <v>51</v>
      </c>
      <c r="E377" s="31" t="n">
        <v>1</v>
      </c>
      <c r="F377" s="32" t="n">
        <v>-15</v>
      </c>
      <c r="G377" s="32" t="n">
        <v>-15</v>
      </c>
      <c r="H377" s="31" t="s">
        <v>45</v>
      </c>
      <c r="I377" s="31" t="s">
        <v>58</v>
      </c>
      <c r="J377" s="31" t="s">
        <v>552</v>
      </c>
      <c r="K377" s="31" t="s">
        <v>48</v>
      </c>
    </row>
    <row r="378" customFormat="false" ht="15" hidden="false" customHeight="false" outlineLevel="0" collapsed="false">
      <c r="A378" s="31" t="s">
        <v>559</v>
      </c>
      <c r="B378" s="31" t="s">
        <v>561</v>
      </c>
      <c r="C378" s="31" t="s">
        <v>50</v>
      </c>
      <c r="D378" s="31" t="s">
        <v>51</v>
      </c>
      <c r="E378" s="31" t="n">
        <v>1</v>
      </c>
      <c r="F378" s="32" t="n">
        <v>-15</v>
      </c>
      <c r="G378" s="32" t="n">
        <v>-15</v>
      </c>
      <c r="H378" s="31" t="s">
        <v>45</v>
      </c>
      <c r="I378" s="31" t="s">
        <v>58</v>
      </c>
      <c r="J378" s="31" t="s">
        <v>552</v>
      </c>
      <c r="K378" s="31" t="s">
        <v>48</v>
      </c>
    </row>
    <row r="379" customFormat="false" ht="15" hidden="false" customHeight="false" outlineLevel="0" collapsed="false">
      <c r="A379" s="31" t="s">
        <v>559</v>
      </c>
      <c r="B379" s="31" t="s">
        <v>561</v>
      </c>
      <c r="C379" s="31" t="s">
        <v>20</v>
      </c>
      <c r="D379" s="31" t="s">
        <v>78</v>
      </c>
      <c r="E379" s="31" t="n">
        <v>1</v>
      </c>
      <c r="F379" s="32" t="n">
        <v>89</v>
      </c>
      <c r="G379" s="32" t="n">
        <v>89</v>
      </c>
      <c r="H379" s="31" t="s">
        <v>45</v>
      </c>
      <c r="I379" s="31" t="s">
        <v>58</v>
      </c>
      <c r="J379" s="31" t="s">
        <v>552</v>
      </c>
      <c r="K379" s="31" t="s">
        <v>48</v>
      </c>
    </row>
    <row r="380" customFormat="false" ht="15" hidden="false" customHeight="false" outlineLevel="0" collapsed="false">
      <c r="A380" s="31" t="s">
        <v>562</v>
      </c>
      <c r="B380" s="31" t="s">
        <v>563</v>
      </c>
      <c r="C380" s="31" t="s">
        <v>20</v>
      </c>
      <c r="D380" s="31" t="s">
        <v>56</v>
      </c>
      <c r="E380" s="31" t="n">
        <v>2</v>
      </c>
      <c r="F380" s="32" t="n">
        <v>40.5</v>
      </c>
      <c r="G380" s="32" t="n">
        <v>81</v>
      </c>
      <c r="H380" s="31" t="s">
        <v>184</v>
      </c>
      <c r="I380" s="31" t="s">
        <v>84</v>
      </c>
      <c r="J380" s="31" t="s">
        <v>564</v>
      </c>
      <c r="K380" s="31" t="s">
        <v>48</v>
      </c>
    </row>
    <row r="381" customFormat="false" ht="15" hidden="false" customHeight="false" outlineLevel="0" collapsed="false">
      <c r="A381" s="31" t="s">
        <v>562</v>
      </c>
      <c r="B381" s="31" t="s">
        <v>563</v>
      </c>
      <c r="C381" s="31" t="s">
        <v>20</v>
      </c>
      <c r="D381" s="31" t="s">
        <v>123</v>
      </c>
      <c r="E381" s="31" t="n">
        <v>1</v>
      </c>
      <c r="F381" s="32" t="n">
        <v>75</v>
      </c>
      <c r="G381" s="32" t="n">
        <v>75</v>
      </c>
      <c r="H381" s="31" t="s">
        <v>184</v>
      </c>
      <c r="I381" s="31" t="s">
        <v>84</v>
      </c>
      <c r="J381" s="31" t="s">
        <v>564</v>
      </c>
      <c r="K381" s="31" t="s">
        <v>48</v>
      </c>
    </row>
    <row r="382" customFormat="false" ht="15" hidden="false" customHeight="false" outlineLevel="0" collapsed="false">
      <c r="A382" s="31" t="s">
        <v>565</v>
      </c>
      <c r="B382" s="31" t="s">
        <v>566</v>
      </c>
      <c r="C382" s="31" t="s">
        <v>20</v>
      </c>
      <c r="D382" s="31" t="s">
        <v>78</v>
      </c>
      <c r="E382" s="31" t="n">
        <v>2</v>
      </c>
      <c r="F382" s="32" t="n">
        <v>89</v>
      </c>
      <c r="G382" s="32" t="n">
        <v>178</v>
      </c>
      <c r="H382" s="31" t="s">
        <v>160</v>
      </c>
      <c r="I382" s="31" t="s">
        <v>58</v>
      </c>
      <c r="J382" s="31"/>
      <c r="K382" s="31" t="s">
        <v>48</v>
      </c>
    </row>
    <row r="383" customFormat="false" ht="15" hidden="false" customHeight="false" outlineLevel="0" collapsed="false">
      <c r="A383" s="31" t="s">
        <v>565</v>
      </c>
      <c r="B383" s="31" t="s">
        <v>567</v>
      </c>
      <c r="C383" s="31" t="s">
        <v>44</v>
      </c>
      <c r="D383" s="31" t="s">
        <v>44</v>
      </c>
      <c r="E383" s="31" t="n">
        <v>1</v>
      </c>
      <c r="F383" s="32" t="n">
        <v>3.95</v>
      </c>
      <c r="G383" s="32" t="n">
        <v>3.95</v>
      </c>
      <c r="H383" s="31" t="s">
        <v>160</v>
      </c>
      <c r="I383" s="31" t="s">
        <v>58</v>
      </c>
      <c r="J383" s="31"/>
      <c r="K383" s="31" t="s">
        <v>48</v>
      </c>
    </row>
    <row r="384" customFormat="false" ht="15" hidden="false" customHeight="false" outlineLevel="0" collapsed="false">
      <c r="A384" s="31" t="s">
        <v>568</v>
      </c>
      <c r="B384" s="31" t="s">
        <v>569</v>
      </c>
      <c r="C384" s="31" t="s">
        <v>44</v>
      </c>
      <c r="D384" s="31" t="s">
        <v>44</v>
      </c>
      <c r="E384" s="31" t="n">
        <v>1</v>
      </c>
      <c r="F384" s="32" t="n">
        <v>5.95</v>
      </c>
      <c r="G384" s="32" t="n">
        <v>5.95</v>
      </c>
      <c r="H384" s="31" t="s">
        <v>45</v>
      </c>
      <c r="I384" s="31" t="s">
        <v>58</v>
      </c>
      <c r="J384" s="31" t="s">
        <v>570</v>
      </c>
      <c r="K384" s="31" t="s">
        <v>48</v>
      </c>
    </row>
    <row r="385" customFormat="false" ht="15" hidden="false" customHeight="false" outlineLevel="0" collapsed="false">
      <c r="A385" s="31" t="s">
        <v>568</v>
      </c>
      <c r="B385" s="31" t="s">
        <v>569</v>
      </c>
      <c r="C385" s="31" t="s">
        <v>20</v>
      </c>
      <c r="D385" s="31" t="s">
        <v>69</v>
      </c>
      <c r="E385" s="31" t="n">
        <v>1</v>
      </c>
      <c r="F385" s="32" t="n">
        <v>29</v>
      </c>
      <c r="G385" s="32" t="n">
        <v>29</v>
      </c>
      <c r="H385" s="31" t="s">
        <v>45</v>
      </c>
      <c r="I385" s="31" t="s">
        <v>58</v>
      </c>
      <c r="J385" s="31" t="s">
        <v>570</v>
      </c>
      <c r="K385" s="31" t="s">
        <v>48</v>
      </c>
    </row>
    <row r="386" customFormat="false" ht="15" hidden="false" customHeight="false" outlineLevel="0" collapsed="false">
      <c r="A386" s="31" t="s">
        <v>568</v>
      </c>
      <c r="B386" s="31" t="s">
        <v>569</v>
      </c>
      <c r="C386" s="31" t="s">
        <v>20</v>
      </c>
      <c r="D386" s="31" t="s">
        <v>52</v>
      </c>
      <c r="E386" s="31" t="n">
        <v>1</v>
      </c>
      <c r="F386" s="32" t="n">
        <v>22</v>
      </c>
      <c r="G386" s="32" t="n">
        <v>22</v>
      </c>
      <c r="H386" s="31" t="s">
        <v>45</v>
      </c>
      <c r="I386" s="31" t="s">
        <v>58</v>
      </c>
      <c r="J386" s="31" t="s">
        <v>570</v>
      </c>
      <c r="K386" s="31" t="s">
        <v>48</v>
      </c>
    </row>
    <row r="387" customFormat="false" ht="15" hidden="false" customHeight="false" outlineLevel="0" collapsed="false">
      <c r="A387" s="31" t="s">
        <v>568</v>
      </c>
      <c r="B387" s="31" t="s">
        <v>571</v>
      </c>
      <c r="C387" s="31" t="s">
        <v>20</v>
      </c>
      <c r="D387" s="31" t="s">
        <v>78</v>
      </c>
      <c r="E387" s="31" t="n">
        <v>1</v>
      </c>
      <c r="F387" s="32" t="n">
        <v>89</v>
      </c>
      <c r="G387" s="32" t="n">
        <v>89</v>
      </c>
      <c r="H387" s="31" t="s">
        <v>45</v>
      </c>
      <c r="I387" s="31" t="s">
        <v>58</v>
      </c>
      <c r="J387" s="31" t="s">
        <v>570</v>
      </c>
      <c r="K387" s="31" t="s">
        <v>202</v>
      </c>
    </row>
    <row r="388" customFormat="false" ht="15" hidden="false" customHeight="false" outlineLevel="0" collapsed="false">
      <c r="A388" s="31" t="s">
        <v>572</v>
      </c>
      <c r="B388" s="31" t="s">
        <v>573</v>
      </c>
      <c r="C388" s="31" t="s">
        <v>20</v>
      </c>
      <c r="D388" s="31" t="s">
        <v>52</v>
      </c>
      <c r="E388" s="31" t="n">
        <v>1</v>
      </c>
      <c r="F388" s="32" t="n">
        <v>22</v>
      </c>
      <c r="G388" s="32" t="n">
        <v>22</v>
      </c>
      <c r="H388" s="31" t="s">
        <v>45</v>
      </c>
      <c r="I388" s="31" t="s">
        <v>155</v>
      </c>
      <c r="J388" s="31" t="s">
        <v>574</v>
      </c>
      <c r="K388" s="31" t="s">
        <v>48</v>
      </c>
    </row>
    <row r="389" customFormat="false" ht="15" hidden="false" customHeight="false" outlineLevel="0" collapsed="false">
      <c r="A389" s="31" t="s">
        <v>575</v>
      </c>
      <c r="B389" s="31" t="s">
        <v>576</v>
      </c>
      <c r="C389" s="31" t="s">
        <v>44</v>
      </c>
      <c r="D389" s="31" t="s">
        <v>44</v>
      </c>
      <c r="E389" s="31" t="n">
        <v>1</v>
      </c>
      <c r="F389" s="32" t="n">
        <v>0</v>
      </c>
      <c r="G389" s="32" t="n">
        <v>0</v>
      </c>
      <c r="H389" s="31" t="s">
        <v>45</v>
      </c>
      <c r="I389" s="31" t="s">
        <v>58</v>
      </c>
      <c r="J389" s="31" t="s">
        <v>577</v>
      </c>
      <c r="K389" s="31" t="s">
        <v>48</v>
      </c>
    </row>
    <row r="390" customFormat="false" ht="15" hidden="false" customHeight="false" outlineLevel="0" collapsed="false">
      <c r="A390" s="31" t="s">
        <v>575</v>
      </c>
      <c r="B390" s="31" t="s">
        <v>576</v>
      </c>
      <c r="C390" s="31" t="s">
        <v>20</v>
      </c>
      <c r="D390" s="31" t="s">
        <v>69</v>
      </c>
      <c r="E390" s="31" t="n">
        <v>1</v>
      </c>
      <c r="F390" s="32" t="n">
        <v>29</v>
      </c>
      <c r="G390" s="32" t="n">
        <v>29</v>
      </c>
      <c r="H390" s="31" t="s">
        <v>45</v>
      </c>
      <c r="I390" s="31" t="s">
        <v>58</v>
      </c>
      <c r="J390" s="31" t="s">
        <v>577</v>
      </c>
      <c r="K390" s="31" t="s">
        <v>202</v>
      </c>
    </row>
    <row r="391" customFormat="false" ht="15" hidden="false" customHeight="false" outlineLevel="0" collapsed="false">
      <c r="A391" s="31" t="s">
        <v>575</v>
      </c>
      <c r="B391" s="31" t="s">
        <v>576</v>
      </c>
      <c r="C391" s="31" t="s">
        <v>20</v>
      </c>
      <c r="D391" s="31" t="s">
        <v>53</v>
      </c>
      <c r="E391" s="31" t="n">
        <v>1</v>
      </c>
      <c r="F391" s="32" t="n">
        <v>39</v>
      </c>
      <c r="G391" s="32" t="n">
        <v>39</v>
      </c>
      <c r="H391" s="31" t="s">
        <v>45</v>
      </c>
      <c r="I391" s="31" t="s">
        <v>58</v>
      </c>
      <c r="J391" s="31" t="s">
        <v>577</v>
      </c>
      <c r="K391" s="31" t="s">
        <v>48</v>
      </c>
    </row>
    <row r="392" customFormat="false" ht="15" hidden="false" customHeight="false" outlineLevel="0" collapsed="false">
      <c r="A392" s="31" t="s">
        <v>578</v>
      </c>
      <c r="B392" s="31" t="s">
        <v>579</v>
      </c>
      <c r="C392" s="31" t="s">
        <v>20</v>
      </c>
      <c r="D392" s="31" t="s">
        <v>78</v>
      </c>
      <c r="E392" s="31" t="n">
        <v>2</v>
      </c>
      <c r="F392" s="32" t="n">
        <v>89</v>
      </c>
      <c r="G392" s="32" t="n">
        <v>178</v>
      </c>
      <c r="H392" s="31" t="s">
        <v>45</v>
      </c>
      <c r="I392" s="31" t="s">
        <v>58</v>
      </c>
      <c r="J392" s="31" t="s">
        <v>580</v>
      </c>
      <c r="K392" s="31" t="s">
        <v>48</v>
      </c>
    </row>
    <row r="393" customFormat="false" ht="15" hidden="false" customHeight="false" outlineLevel="0" collapsed="false">
      <c r="A393" s="31" t="s">
        <v>578</v>
      </c>
      <c r="B393" s="31" t="s">
        <v>581</v>
      </c>
      <c r="C393" s="31" t="s">
        <v>20</v>
      </c>
      <c r="D393" s="31" t="s">
        <v>78</v>
      </c>
      <c r="E393" s="31" t="n">
        <v>2</v>
      </c>
      <c r="F393" s="32" t="n">
        <v>89</v>
      </c>
      <c r="G393" s="32" t="n">
        <v>178</v>
      </c>
      <c r="H393" s="31" t="s">
        <v>45</v>
      </c>
      <c r="I393" s="31" t="s">
        <v>58</v>
      </c>
      <c r="J393" s="31" t="s">
        <v>580</v>
      </c>
      <c r="K393" s="31" t="s">
        <v>48</v>
      </c>
    </row>
    <row r="394" customFormat="false" ht="15" hidden="false" customHeight="false" outlineLevel="0" collapsed="false">
      <c r="A394" s="31" t="s">
        <v>582</v>
      </c>
      <c r="B394" s="31" t="s">
        <v>583</v>
      </c>
      <c r="C394" s="31" t="s">
        <v>20</v>
      </c>
      <c r="D394" s="31" t="s">
        <v>69</v>
      </c>
      <c r="E394" s="31" t="n">
        <v>2</v>
      </c>
      <c r="F394" s="32" t="n">
        <v>29</v>
      </c>
      <c r="G394" s="32" t="n">
        <v>58</v>
      </c>
      <c r="H394" s="31" t="s">
        <v>45</v>
      </c>
      <c r="I394" s="31" t="s">
        <v>58</v>
      </c>
      <c r="J394" s="31" t="s">
        <v>584</v>
      </c>
      <c r="K394" s="31" t="s">
        <v>48</v>
      </c>
    </row>
    <row r="395" customFormat="false" ht="15" hidden="false" customHeight="false" outlineLevel="0" collapsed="false">
      <c r="A395" s="31" t="s">
        <v>582</v>
      </c>
      <c r="B395" s="31" t="s">
        <v>583</v>
      </c>
      <c r="C395" s="31" t="s">
        <v>20</v>
      </c>
      <c r="D395" s="31" t="s">
        <v>73</v>
      </c>
      <c r="E395" s="31" t="n">
        <v>1</v>
      </c>
      <c r="F395" s="32" t="n">
        <v>69</v>
      </c>
      <c r="G395" s="32" t="n">
        <v>69</v>
      </c>
      <c r="H395" s="31" t="s">
        <v>45</v>
      </c>
      <c r="I395" s="31" t="s">
        <v>58</v>
      </c>
      <c r="J395" s="31" t="s">
        <v>584</v>
      </c>
      <c r="K395" s="31" t="s">
        <v>48</v>
      </c>
    </row>
    <row r="396" customFormat="false" ht="15" hidden="false" customHeight="false" outlineLevel="0" collapsed="false">
      <c r="A396" s="31" t="s">
        <v>585</v>
      </c>
      <c r="B396" s="31" t="s">
        <v>586</v>
      </c>
      <c r="C396" s="31" t="s">
        <v>44</v>
      </c>
      <c r="D396" s="31" t="s">
        <v>44</v>
      </c>
      <c r="E396" s="31" t="n">
        <v>1</v>
      </c>
      <c r="F396" s="32" t="n">
        <v>3.95</v>
      </c>
      <c r="G396" s="32" t="n">
        <v>3.95</v>
      </c>
      <c r="H396" s="31" t="s">
        <v>145</v>
      </c>
      <c r="I396" s="31" t="s">
        <v>58</v>
      </c>
      <c r="J396" s="31" t="s">
        <v>587</v>
      </c>
      <c r="K396" s="31" t="s">
        <v>48</v>
      </c>
    </row>
    <row r="397" customFormat="false" ht="15" hidden="false" customHeight="false" outlineLevel="0" collapsed="false">
      <c r="A397" s="31" t="s">
        <v>585</v>
      </c>
      <c r="B397" s="31" t="s">
        <v>588</v>
      </c>
      <c r="C397" s="31" t="s">
        <v>20</v>
      </c>
      <c r="D397" s="31" t="s">
        <v>87</v>
      </c>
      <c r="E397" s="31" t="n">
        <v>3</v>
      </c>
      <c r="F397" s="32" t="n">
        <v>28</v>
      </c>
      <c r="G397" s="32" t="n">
        <v>84</v>
      </c>
      <c r="H397" s="31" t="s">
        <v>145</v>
      </c>
      <c r="I397" s="31" t="s">
        <v>58</v>
      </c>
      <c r="J397" s="31" t="s">
        <v>587</v>
      </c>
      <c r="K397" s="31" t="s">
        <v>48</v>
      </c>
    </row>
    <row r="398" customFormat="false" ht="15" hidden="false" customHeight="false" outlineLevel="0" collapsed="false">
      <c r="A398" s="31" t="s">
        <v>589</v>
      </c>
      <c r="B398" s="31" t="s">
        <v>590</v>
      </c>
      <c r="C398" s="31" t="s">
        <v>20</v>
      </c>
      <c r="D398" s="31" t="s">
        <v>73</v>
      </c>
      <c r="E398" s="31" t="n">
        <v>2</v>
      </c>
      <c r="F398" s="32" t="n">
        <v>69</v>
      </c>
      <c r="G398" s="32" t="n">
        <v>138</v>
      </c>
      <c r="H398" s="31" t="s">
        <v>45</v>
      </c>
      <c r="I398" s="31" t="s">
        <v>84</v>
      </c>
      <c r="J398" s="31" t="s">
        <v>591</v>
      </c>
      <c r="K398" s="31" t="s">
        <v>48</v>
      </c>
    </row>
    <row r="399" customFormat="false" ht="15" hidden="false" customHeight="false" outlineLevel="0" collapsed="false">
      <c r="A399" s="31" t="s">
        <v>589</v>
      </c>
      <c r="B399" s="31" t="s">
        <v>590</v>
      </c>
      <c r="C399" s="31" t="s">
        <v>20</v>
      </c>
      <c r="D399" s="31" t="s">
        <v>52</v>
      </c>
      <c r="E399" s="31" t="n">
        <v>2</v>
      </c>
      <c r="F399" s="32" t="n">
        <v>22</v>
      </c>
      <c r="G399" s="32" t="n">
        <v>44</v>
      </c>
      <c r="H399" s="31" t="s">
        <v>45</v>
      </c>
      <c r="I399" s="31" t="s">
        <v>84</v>
      </c>
      <c r="J399" s="31" t="s">
        <v>591</v>
      </c>
      <c r="K399" s="31" t="s">
        <v>202</v>
      </c>
    </row>
    <row r="400" customFormat="false" ht="15" hidden="false" customHeight="false" outlineLevel="0" collapsed="false">
      <c r="A400" s="31" t="s">
        <v>589</v>
      </c>
      <c r="B400" s="31" t="s">
        <v>590</v>
      </c>
      <c r="C400" s="31" t="s">
        <v>44</v>
      </c>
      <c r="D400" s="31" t="s">
        <v>44</v>
      </c>
      <c r="E400" s="31" t="n">
        <v>1</v>
      </c>
      <c r="F400" s="32" t="n">
        <v>0</v>
      </c>
      <c r="G400" s="32" t="n">
        <v>0</v>
      </c>
      <c r="H400" s="31" t="s">
        <v>45</v>
      </c>
      <c r="I400" s="31" t="s">
        <v>84</v>
      </c>
      <c r="J400" s="31" t="s">
        <v>591</v>
      </c>
      <c r="K400" s="31" t="s">
        <v>48</v>
      </c>
    </row>
    <row r="401" customFormat="false" ht="15" hidden="false" customHeight="false" outlineLevel="0" collapsed="false">
      <c r="A401" s="31" t="s">
        <v>592</v>
      </c>
      <c r="B401" s="31" t="s">
        <v>593</v>
      </c>
      <c r="C401" s="31" t="s">
        <v>20</v>
      </c>
      <c r="D401" s="31" t="s">
        <v>66</v>
      </c>
      <c r="E401" s="31" t="n">
        <v>2</v>
      </c>
      <c r="F401" s="32" t="n">
        <v>32</v>
      </c>
      <c r="G401" s="32" t="n">
        <v>64</v>
      </c>
      <c r="H401" s="31" t="s">
        <v>57</v>
      </c>
      <c r="I401" s="31" t="s">
        <v>58</v>
      </c>
      <c r="J401" s="31" t="s">
        <v>594</v>
      </c>
      <c r="K401" s="31" t="s">
        <v>48</v>
      </c>
    </row>
    <row r="402" customFormat="false" ht="15" hidden="false" customHeight="false" outlineLevel="0" collapsed="false">
      <c r="A402" s="31" t="s">
        <v>592</v>
      </c>
      <c r="B402" s="31" t="s">
        <v>595</v>
      </c>
      <c r="C402" s="31" t="s">
        <v>44</v>
      </c>
      <c r="D402" s="31" t="s">
        <v>44</v>
      </c>
      <c r="E402" s="31" t="n">
        <v>1</v>
      </c>
      <c r="F402" s="32" t="n">
        <v>3.95</v>
      </c>
      <c r="G402" s="32" t="n">
        <v>3.95</v>
      </c>
      <c r="H402" s="31" t="s">
        <v>57</v>
      </c>
      <c r="I402" s="31" t="s">
        <v>58</v>
      </c>
      <c r="J402" s="31" t="s">
        <v>594</v>
      </c>
      <c r="K402" s="31" t="s">
        <v>48</v>
      </c>
    </row>
    <row r="403" customFormat="false" ht="15" hidden="false" customHeight="false" outlineLevel="0" collapsed="false">
      <c r="A403" s="31" t="s">
        <v>596</v>
      </c>
      <c r="B403" s="31" t="s">
        <v>597</v>
      </c>
      <c r="C403" s="31" t="s">
        <v>20</v>
      </c>
      <c r="D403" s="31" t="s">
        <v>123</v>
      </c>
      <c r="E403" s="31" t="n">
        <v>1</v>
      </c>
      <c r="F403" s="32" t="n">
        <v>75</v>
      </c>
      <c r="G403" s="32" t="n">
        <v>75</v>
      </c>
      <c r="H403" s="31" t="s">
        <v>45</v>
      </c>
      <c r="I403" s="31" t="s">
        <v>58</v>
      </c>
      <c r="J403" s="31" t="s">
        <v>598</v>
      </c>
      <c r="K403" s="31" t="s">
        <v>48</v>
      </c>
    </row>
    <row r="404" customFormat="false" ht="15" hidden="false" customHeight="false" outlineLevel="0" collapsed="false">
      <c r="A404" s="31" t="s">
        <v>596</v>
      </c>
      <c r="B404" s="31" t="s">
        <v>597</v>
      </c>
      <c r="C404" s="31" t="s">
        <v>50</v>
      </c>
      <c r="D404" s="31" t="s">
        <v>51</v>
      </c>
      <c r="E404" s="31" t="n">
        <v>1</v>
      </c>
      <c r="F404" s="32" t="n">
        <v>-10</v>
      </c>
      <c r="G404" s="32" t="n">
        <v>-10</v>
      </c>
      <c r="H404" s="31" t="s">
        <v>45</v>
      </c>
      <c r="I404" s="31" t="s">
        <v>58</v>
      </c>
      <c r="J404" s="31" t="s">
        <v>598</v>
      </c>
      <c r="K404" s="31" t="s">
        <v>48</v>
      </c>
    </row>
    <row r="405" customFormat="false" ht="15" hidden="false" customHeight="false" outlineLevel="0" collapsed="false">
      <c r="A405" s="31" t="s">
        <v>596</v>
      </c>
      <c r="B405" s="31" t="s">
        <v>597</v>
      </c>
      <c r="C405" s="31" t="s">
        <v>20</v>
      </c>
      <c r="D405" s="31" t="s">
        <v>73</v>
      </c>
      <c r="E405" s="31" t="n">
        <v>2</v>
      </c>
      <c r="F405" s="32" t="n">
        <v>69</v>
      </c>
      <c r="G405" s="32" t="n">
        <v>138</v>
      </c>
      <c r="H405" s="31" t="s">
        <v>45</v>
      </c>
      <c r="I405" s="31" t="s">
        <v>58</v>
      </c>
      <c r="J405" s="31" t="s">
        <v>598</v>
      </c>
      <c r="K405" s="31" t="s">
        <v>48</v>
      </c>
    </row>
    <row r="406" customFormat="false" ht="15" hidden="false" customHeight="false" outlineLevel="0" collapsed="false">
      <c r="A406" s="31" t="s">
        <v>599</v>
      </c>
      <c r="B406" s="31" t="s">
        <v>600</v>
      </c>
      <c r="C406" s="31" t="s">
        <v>44</v>
      </c>
      <c r="D406" s="31" t="s">
        <v>44</v>
      </c>
      <c r="E406" s="31" t="n">
        <v>1</v>
      </c>
      <c r="F406" s="32" t="n">
        <v>5.95</v>
      </c>
      <c r="G406" s="32" t="n">
        <v>5.95</v>
      </c>
      <c r="H406" s="31" t="s">
        <v>145</v>
      </c>
      <c r="I406" s="31" t="s">
        <v>46</v>
      </c>
      <c r="J406" s="31" t="s">
        <v>601</v>
      </c>
      <c r="K406" s="31" t="s">
        <v>48</v>
      </c>
    </row>
    <row r="407" customFormat="false" ht="15" hidden="false" customHeight="false" outlineLevel="0" collapsed="false">
      <c r="A407" s="31" t="s">
        <v>599</v>
      </c>
      <c r="B407" s="31" t="s">
        <v>602</v>
      </c>
      <c r="C407" s="31" t="s">
        <v>20</v>
      </c>
      <c r="D407" s="31" t="s">
        <v>78</v>
      </c>
      <c r="E407" s="31" t="n">
        <v>2</v>
      </c>
      <c r="F407" s="32" t="n">
        <v>89</v>
      </c>
      <c r="G407" s="32" t="n">
        <v>178</v>
      </c>
      <c r="H407" s="31" t="s">
        <v>145</v>
      </c>
      <c r="I407" s="31" t="s">
        <v>46</v>
      </c>
      <c r="J407" s="31" t="s">
        <v>601</v>
      </c>
      <c r="K407" s="31" t="s">
        <v>48</v>
      </c>
    </row>
    <row r="408" customFormat="false" ht="15" hidden="false" customHeight="false" outlineLevel="0" collapsed="false">
      <c r="A408" s="31" t="s">
        <v>603</v>
      </c>
      <c r="B408" s="31" t="s">
        <v>604</v>
      </c>
      <c r="C408" s="31" t="s">
        <v>20</v>
      </c>
      <c r="D408" s="31" t="s">
        <v>52</v>
      </c>
      <c r="E408" s="31" t="n">
        <v>2</v>
      </c>
      <c r="F408" s="32" t="n">
        <v>22</v>
      </c>
      <c r="G408" s="32" t="n">
        <v>44</v>
      </c>
      <c r="H408" s="31" t="s">
        <v>145</v>
      </c>
      <c r="I408" s="31" t="s">
        <v>58</v>
      </c>
      <c r="J408" s="31" t="s">
        <v>422</v>
      </c>
      <c r="K408" s="31" t="s">
        <v>48</v>
      </c>
    </row>
    <row r="409" customFormat="false" ht="15" hidden="false" customHeight="false" outlineLevel="0" collapsed="false">
      <c r="A409" s="31" t="s">
        <v>603</v>
      </c>
      <c r="B409" s="31" t="s">
        <v>604</v>
      </c>
      <c r="C409" s="31" t="s">
        <v>20</v>
      </c>
      <c r="D409" s="31" t="s">
        <v>73</v>
      </c>
      <c r="E409" s="31" t="n">
        <v>1</v>
      </c>
      <c r="F409" s="32" t="n">
        <v>69</v>
      </c>
      <c r="G409" s="32" t="n">
        <v>69</v>
      </c>
      <c r="H409" s="31" t="s">
        <v>145</v>
      </c>
      <c r="I409" s="31" t="s">
        <v>58</v>
      </c>
      <c r="J409" s="31" t="s">
        <v>422</v>
      </c>
      <c r="K409" s="31" t="s">
        <v>48</v>
      </c>
    </row>
    <row r="410" customFormat="false" ht="15" hidden="false" customHeight="false" outlineLevel="0" collapsed="false">
      <c r="A410" s="31" t="s">
        <v>603</v>
      </c>
      <c r="B410" s="31" t="s">
        <v>604</v>
      </c>
      <c r="C410" s="31" t="s">
        <v>44</v>
      </c>
      <c r="D410" s="31" t="s">
        <v>44</v>
      </c>
      <c r="E410" s="31" t="n">
        <v>1</v>
      </c>
      <c r="F410" s="32" t="n">
        <v>5.95</v>
      </c>
      <c r="G410" s="32" t="n">
        <v>5.95</v>
      </c>
      <c r="H410" s="31" t="s">
        <v>145</v>
      </c>
      <c r="I410" s="31" t="s">
        <v>58</v>
      </c>
      <c r="J410" s="31" t="s">
        <v>422</v>
      </c>
      <c r="K410" s="31" t="s">
        <v>48</v>
      </c>
    </row>
    <row r="411" customFormat="false" ht="15" hidden="false" customHeight="false" outlineLevel="0" collapsed="false">
      <c r="A411" s="31" t="s">
        <v>605</v>
      </c>
      <c r="B411" s="31" t="s">
        <v>606</v>
      </c>
      <c r="C411" s="31" t="s">
        <v>20</v>
      </c>
      <c r="D411" s="31" t="s">
        <v>87</v>
      </c>
      <c r="E411" s="31" t="n">
        <v>2</v>
      </c>
      <c r="F411" s="32" t="n">
        <v>35</v>
      </c>
      <c r="G411" s="32" t="n">
        <v>70</v>
      </c>
      <c r="H411" s="31" t="s">
        <v>45</v>
      </c>
      <c r="I411" s="31" t="s">
        <v>58</v>
      </c>
      <c r="J411" s="31" t="s">
        <v>607</v>
      </c>
      <c r="K411" s="31" t="s">
        <v>48</v>
      </c>
    </row>
    <row r="412" customFormat="false" ht="15" hidden="false" customHeight="false" outlineLevel="0" collapsed="false">
      <c r="A412" s="31" t="s">
        <v>605</v>
      </c>
      <c r="B412" s="31" t="s">
        <v>608</v>
      </c>
      <c r="C412" s="31" t="s">
        <v>44</v>
      </c>
      <c r="D412" s="31" t="s">
        <v>44</v>
      </c>
      <c r="E412" s="31" t="n">
        <v>1</v>
      </c>
      <c r="F412" s="32" t="n">
        <v>3.95</v>
      </c>
      <c r="G412" s="32" t="n">
        <v>3.95</v>
      </c>
      <c r="H412" s="31" t="s">
        <v>45</v>
      </c>
      <c r="I412" s="31" t="s">
        <v>58</v>
      </c>
      <c r="J412" s="31" t="s">
        <v>607</v>
      </c>
      <c r="K412" s="31" t="s">
        <v>48</v>
      </c>
    </row>
    <row r="413" customFormat="false" ht="15" hidden="false" customHeight="false" outlineLevel="0" collapsed="false">
      <c r="A413" s="31" t="s">
        <v>605</v>
      </c>
      <c r="B413" s="31" t="s">
        <v>606</v>
      </c>
      <c r="C413" s="31" t="s">
        <v>20</v>
      </c>
      <c r="D413" s="31" t="s">
        <v>52</v>
      </c>
      <c r="E413" s="31" t="n">
        <v>1</v>
      </c>
      <c r="F413" s="32" t="n">
        <v>22</v>
      </c>
      <c r="G413" s="32" t="n">
        <v>22</v>
      </c>
      <c r="H413" s="31" t="s">
        <v>45</v>
      </c>
      <c r="I413" s="31" t="s">
        <v>58</v>
      </c>
      <c r="J413" s="31" t="s">
        <v>607</v>
      </c>
      <c r="K413" s="31" t="s">
        <v>48</v>
      </c>
    </row>
    <row r="414" customFormat="false" ht="15" hidden="false" customHeight="false" outlineLevel="0" collapsed="false">
      <c r="A414" s="31" t="s">
        <v>609</v>
      </c>
      <c r="B414" s="31" t="s">
        <v>610</v>
      </c>
      <c r="C414" s="31" t="s">
        <v>20</v>
      </c>
      <c r="D414" s="31" t="s">
        <v>140</v>
      </c>
      <c r="E414" s="31" t="n">
        <v>1</v>
      </c>
      <c r="F414" s="32" t="n">
        <v>26</v>
      </c>
      <c r="G414" s="32" t="n">
        <v>26</v>
      </c>
      <c r="H414" s="31" t="s">
        <v>45</v>
      </c>
      <c r="I414" s="31" t="s">
        <v>84</v>
      </c>
      <c r="J414" s="31" t="s">
        <v>611</v>
      </c>
      <c r="K414" s="31" t="s">
        <v>48</v>
      </c>
    </row>
    <row r="415" customFormat="false" ht="15" hidden="false" customHeight="false" outlineLevel="0" collapsed="false">
      <c r="A415" s="31" t="s">
        <v>609</v>
      </c>
      <c r="B415" s="31" t="s">
        <v>610</v>
      </c>
      <c r="C415" s="31" t="s">
        <v>44</v>
      </c>
      <c r="D415" s="31" t="s">
        <v>44</v>
      </c>
      <c r="E415" s="31" t="n">
        <v>1</v>
      </c>
      <c r="F415" s="32" t="n">
        <v>0</v>
      </c>
      <c r="G415" s="32" t="n">
        <v>0</v>
      </c>
      <c r="H415" s="31" t="s">
        <v>45</v>
      </c>
      <c r="I415" s="31" t="s">
        <v>84</v>
      </c>
      <c r="J415" s="31" t="s">
        <v>611</v>
      </c>
      <c r="K415" s="31" t="s">
        <v>48</v>
      </c>
    </row>
    <row r="416" customFormat="false" ht="15" hidden="false" customHeight="false" outlineLevel="0" collapsed="false">
      <c r="A416" s="31" t="s">
        <v>609</v>
      </c>
      <c r="B416" s="31" t="s">
        <v>610</v>
      </c>
      <c r="C416" s="31" t="s">
        <v>20</v>
      </c>
      <c r="D416" s="31" t="s">
        <v>53</v>
      </c>
      <c r="E416" s="31" t="n">
        <v>1</v>
      </c>
      <c r="F416" s="32" t="n">
        <v>39</v>
      </c>
      <c r="G416" s="32" t="n">
        <v>39</v>
      </c>
      <c r="H416" s="31" t="s">
        <v>45</v>
      </c>
      <c r="I416" s="31" t="s">
        <v>84</v>
      </c>
      <c r="J416" s="31" t="s">
        <v>611</v>
      </c>
      <c r="K416" s="31" t="s">
        <v>48</v>
      </c>
    </row>
    <row r="417" customFormat="false" ht="15" hidden="false" customHeight="false" outlineLevel="0" collapsed="false">
      <c r="A417" s="31" t="s">
        <v>609</v>
      </c>
      <c r="B417" s="31" t="s">
        <v>612</v>
      </c>
      <c r="C417" s="31" t="s">
        <v>20</v>
      </c>
      <c r="D417" s="31" t="s">
        <v>69</v>
      </c>
      <c r="E417" s="31" t="n">
        <v>3</v>
      </c>
      <c r="F417" s="32" t="n">
        <v>29</v>
      </c>
      <c r="G417" s="32" t="n">
        <v>87</v>
      </c>
      <c r="H417" s="31" t="s">
        <v>45</v>
      </c>
      <c r="I417" s="31" t="s">
        <v>84</v>
      </c>
      <c r="J417" s="31" t="s">
        <v>611</v>
      </c>
      <c r="K417" s="31" t="s">
        <v>48</v>
      </c>
    </row>
    <row r="418" customFormat="false" ht="15" hidden="false" customHeight="false" outlineLevel="0" collapsed="false">
      <c r="A418" s="31" t="s">
        <v>613</v>
      </c>
      <c r="B418" s="31" t="s">
        <v>614</v>
      </c>
      <c r="C418" s="31" t="s">
        <v>44</v>
      </c>
      <c r="D418" s="31" t="s">
        <v>44</v>
      </c>
      <c r="E418" s="31" t="n">
        <v>1</v>
      </c>
      <c r="F418" s="32" t="n">
        <v>0</v>
      </c>
      <c r="G418" s="32" t="n">
        <v>0</v>
      </c>
      <c r="H418" s="31" t="s">
        <v>184</v>
      </c>
      <c r="I418" s="31" t="s">
        <v>58</v>
      </c>
      <c r="J418" s="31" t="s">
        <v>615</v>
      </c>
      <c r="K418" s="31" t="s">
        <v>48</v>
      </c>
    </row>
    <row r="419" customFormat="false" ht="15" hidden="false" customHeight="false" outlineLevel="0" collapsed="false">
      <c r="A419" s="31" t="s">
        <v>613</v>
      </c>
      <c r="B419" s="31" t="s">
        <v>614</v>
      </c>
      <c r="C419" s="31" t="s">
        <v>20</v>
      </c>
      <c r="D419" s="31" t="s">
        <v>78</v>
      </c>
      <c r="E419" s="31" t="n">
        <v>1</v>
      </c>
      <c r="F419" s="32" t="n">
        <v>89</v>
      </c>
      <c r="G419" s="32" t="n">
        <v>89</v>
      </c>
      <c r="H419" s="31" t="s">
        <v>184</v>
      </c>
      <c r="I419" s="31" t="s">
        <v>58</v>
      </c>
      <c r="J419" s="31" t="s">
        <v>615</v>
      </c>
      <c r="K419" s="31" t="s">
        <v>48</v>
      </c>
    </row>
    <row r="420" customFormat="false" ht="15" hidden="false" customHeight="false" outlineLevel="0" collapsed="false">
      <c r="A420" s="31" t="s">
        <v>616</v>
      </c>
      <c r="B420" s="31" t="s">
        <v>617</v>
      </c>
      <c r="C420" s="31" t="s">
        <v>20</v>
      </c>
      <c r="D420" s="31" t="s">
        <v>73</v>
      </c>
      <c r="E420" s="31" t="n">
        <v>1</v>
      </c>
      <c r="F420" s="32" t="n">
        <v>69</v>
      </c>
      <c r="G420" s="32" t="n">
        <v>69</v>
      </c>
      <c r="H420" s="31" t="s">
        <v>45</v>
      </c>
      <c r="I420" s="31" t="s">
        <v>58</v>
      </c>
      <c r="J420" s="31" t="s">
        <v>618</v>
      </c>
      <c r="K420" s="31" t="s">
        <v>48</v>
      </c>
    </row>
    <row r="421" customFormat="false" ht="15" hidden="false" customHeight="false" outlineLevel="0" collapsed="false">
      <c r="A421" s="31" t="s">
        <v>616</v>
      </c>
      <c r="B421" s="31" t="s">
        <v>617</v>
      </c>
      <c r="C421" s="31" t="s">
        <v>44</v>
      </c>
      <c r="D421" s="31" t="s">
        <v>44</v>
      </c>
      <c r="E421" s="31" t="n">
        <v>1</v>
      </c>
      <c r="F421" s="32" t="n">
        <v>4.95</v>
      </c>
      <c r="G421" s="32" t="n">
        <v>4.95</v>
      </c>
      <c r="H421" s="31" t="s">
        <v>45</v>
      </c>
      <c r="I421" s="31" t="s">
        <v>58</v>
      </c>
      <c r="J421" s="31" t="s">
        <v>618</v>
      </c>
      <c r="K421" s="31" t="s">
        <v>48</v>
      </c>
    </row>
    <row r="422" customFormat="false" ht="15" hidden="false" customHeight="false" outlineLevel="0" collapsed="false">
      <c r="A422" s="31" t="s">
        <v>619</v>
      </c>
      <c r="B422" s="31" t="s">
        <v>620</v>
      </c>
      <c r="C422" s="31" t="s">
        <v>20</v>
      </c>
      <c r="D422" s="31" t="s">
        <v>140</v>
      </c>
      <c r="E422" s="31" t="n">
        <v>2</v>
      </c>
      <c r="F422" s="32" t="n">
        <v>23.4</v>
      </c>
      <c r="G422" s="32" t="n">
        <v>46.8</v>
      </c>
      <c r="H422" s="31" t="s">
        <v>45</v>
      </c>
      <c r="I422" s="31" t="s">
        <v>58</v>
      </c>
      <c r="J422" s="31" t="s">
        <v>621</v>
      </c>
      <c r="K422" s="31" t="s">
        <v>48</v>
      </c>
    </row>
    <row r="423" customFormat="false" ht="15" hidden="false" customHeight="false" outlineLevel="0" collapsed="false">
      <c r="A423" s="31" t="s">
        <v>619</v>
      </c>
      <c r="B423" s="31" t="s">
        <v>622</v>
      </c>
      <c r="C423" s="31" t="s">
        <v>20</v>
      </c>
      <c r="D423" s="31" t="s">
        <v>73</v>
      </c>
      <c r="E423" s="31" t="n">
        <v>1</v>
      </c>
      <c r="F423" s="32" t="n">
        <v>69</v>
      </c>
      <c r="G423" s="32" t="n">
        <v>69</v>
      </c>
      <c r="H423" s="31" t="s">
        <v>45</v>
      </c>
      <c r="I423" s="31" t="s">
        <v>58</v>
      </c>
      <c r="J423" s="31" t="s">
        <v>621</v>
      </c>
      <c r="K423" s="31" t="s">
        <v>48</v>
      </c>
    </row>
    <row r="424" customFormat="false" ht="15" hidden="false" customHeight="false" outlineLevel="0" collapsed="false">
      <c r="A424" s="31" t="s">
        <v>623</v>
      </c>
      <c r="B424" s="31" t="s">
        <v>624</v>
      </c>
      <c r="C424" s="31" t="s">
        <v>44</v>
      </c>
      <c r="D424" s="31" t="s">
        <v>44</v>
      </c>
      <c r="E424" s="31" t="n">
        <v>1</v>
      </c>
      <c r="F424" s="32" t="n">
        <v>5.95</v>
      </c>
      <c r="G424" s="32" t="n">
        <v>5.95</v>
      </c>
      <c r="H424" s="31" t="s">
        <v>45</v>
      </c>
      <c r="I424" s="31" t="s">
        <v>58</v>
      </c>
      <c r="J424" s="31" t="s">
        <v>625</v>
      </c>
      <c r="K424" s="31" t="s">
        <v>48</v>
      </c>
    </row>
    <row r="425" customFormat="false" ht="15" hidden="false" customHeight="false" outlineLevel="0" collapsed="false">
      <c r="A425" s="31" t="s">
        <v>623</v>
      </c>
      <c r="B425" s="31" t="s">
        <v>624</v>
      </c>
      <c r="C425" s="31" t="s">
        <v>20</v>
      </c>
      <c r="D425" s="31" t="s">
        <v>52</v>
      </c>
      <c r="E425" s="31" t="n">
        <v>1</v>
      </c>
      <c r="F425" s="32" t="n">
        <v>22</v>
      </c>
      <c r="G425" s="32" t="n">
        <v>22</v>
      </c>
      <c r="H425" s="31" t="s">
        <v>45</v>
      </c>
      <c r="I425" s="31" t="s">
        <v>58</v>
      </c>
      <c r="J425" s="31" t="s">
        <v>625</v>
      </c>
      <c r="K425" s="31" t="s">
        <v>48</v>
      </c>
    </row>
    <row r="426" customFormat="false" ht="15" hidden="false" customHeight="false" outlineLevel="0" collapsed="false">
      <c r="A426" s="31" t="s">
        <v>626</v>
      </c>
      <c r="B426" s="31" t="s">
        <v>627</v>
      </c>
      <c r="C426" s="31" t="s">
        <v>20</v>
      </c>
      <c r="D426" s="31" t="s">
        <v>73</v>
      </c>
      <c r="E426" s="31" t="n">
        <v>1</v>
      </c>
      <c r="F426" s="32" t="n">
        <v>69</v>
      </c>
      <c r="G426" s="32" t="n">
        <v>69</v>
      </c>
      <c r="H426" s="31" t="s">
        <v>160</v>
      </c>
      <c r="I426" s="31" t="s">
        <v>58</v>
      </c>
      <c r="J426" s="31" t="s">
        <v>628</v>
      </c>
      <c r="K426" s="31" t="s">
        <v>48</v>
      </c>
    </row>
    <row r="427" customFormat="false" ht="15" hidden="false" customHeight="false" outlineLevel="0" collapsed="false">
      <c r="A427" s="31" t="s">
        <v>626</v>
      </c>
      <c r="B427" s="31" t="s">
        <v>629</v>
      </c>
      <c r="C427" s="31" t="s">
        <v>44</v>
      </c>
      <c r="D427" s="31" t="s">
        <v>44</v>
      </c>
      <c r="E427" s="31" t="n">
        <v>1</v>
      </c>
      <c r="F427" s="32" t="n">
        <v>5.95</v>
      </c>
      <c r="G427" s="32" t="n">
        <v>5.95</v>
      </c>
      <c r="H427" s="31" t="s">
        <v>160</v>
      </c>
      <c r="I427" s="31" t="s">
        <v>58</v>
      </c>
      <c r="J427" s="31" t="s">
        <v>628</v>
      </c>
      <c r="K427" s="31" t="s">
        <v>48</v>
      </c>
    </row>
    <row r="428" customFormat="false" ht="15" hidden="false" customHeight="false" outlineLevel="0" collapsed="false">
      <c r="A428" s="31" t="s">
        <v>630</v>
      </c>
      <c r="B428" s="31" t="s">
        <v>631</v>
      </c>
      <c r="C428" s="31" t="s">
        <v>44</v>
      </c>
      <c r="D428" s="31" t="s">
        <v>44</v>
      </c>
      <c r="E428" s="31" t="n">
        <v>1</v>
      </c>
      <c r="F428" s="32" t="n">
        <v>3.95</v>
      </c>
      <c r="G428" s="32" t="n">
        <v>3.95</v>
      </c>
      <c r="H428" s="31" t="s">
        <v>45</v>
      </c>
      <c r="I428" s="31" t="s">
        <v>58</v>
      </c>
      <c r="J428" s="31" t="s">
        <v>632</v>
      </c>
      <c r="K428" s="31" t="s">
        <v>48</v>
      </c>
    </row>
    <row r="429" customFormat="false" ht="15" hidden="false" customHeight="false" outlineLevel="0" collapsed="false">
      <c r="A429" s="31" t="s">
        <v>630</v>
      </c>
      <c r="B429" s="31" t="s">
        <v>631</v>
      </c>
      <c r="C429" s="31" t="s">
        <v>20</v>
      </c>
      <c r="D429" s="31" t="s">
        <v>78</v>
      </c>
      <c r="E429" s="31" t="n">
        <v>1</v>
      </c>
      <c r="F429" s="32" t="n">
        <v>89</v>
      </c>
      <c r="G429" s="32" t="n">
        <v>89</v>
      </c>
      <c r="H429" s="31" t="s">
        <v>45</v>
      </c>
      <c r="I429" s="31" t="s">
        <v>58</v>
      </c>
      <c r="J429" s="31" t="s">
        <v>632</v>
      </c>
      <c r="K429" s="31" t="s">
        <v>48</v>
      </c>
    </row>
    <row r="430" customFormat="false" ht="15" hidden="false" customHeight="false" outlineLevel="0" collapsed="false">
      <c r="A430" s="31" t="s">
        <v>630</v>
      </c>
      <c r="B430" s="31" t="s">
        <v>631</v>
      </c>
      <c r="C430" s="31" t="s">
        <v>20</v>
      </c>
      <c r="D430" s="31" t="s">
        <v>73</v>
      </c>
      <c r="E430" s="31" t="n">
        <v>3</v>
      </c>
      <c r="F430" s="32" t="n">
        <v>69</v>
      </c>
      <c r="G430" s="32" t="n">
        <v>207</v>
      </c>
      <c r="H430" s="31" t="s">
        <v>45</v>
      </c>
      <c r="I430" s="31" t="s">
        <v>58</v>
      </c>
      <c r="J430" s="31" t="s">
        <v>632</v>
      </c>
      <c r="K430" s="31" t="s">
        <v>48</v>
      </c>
    </row>
    <row r="431" customFormat="false" ht="15" hidden="false" customHeight="false" outlineLevel="0" collapsed="false">
      <c r="A431" s="31" t="s">
        <v>633</v>
      </c>
      <c r="B431" s="31" t="s">
        <v>634</v>
      </c>
      <c r="C431" s="31" t="s">
        <v>20</v>
      </c>
      <c r="D431" s="31" t="s">
        <v>56</v>
      </c>
      <c r="E431" s="31" t="n">
        <v>1</v>
      </c>
      <c r="F431" s="32" t="n">
        <v>45</v>
      </c>
      <c r="G431" s="32" t="n">
        <v>45</v>
      </c>
      <c r="H431" s="31" t="s">
        <v>45</v>
      </c>
      <c r="I431" s="31" t="s">
        <v>58</v>
      </c>
      <c r="J431" s="31" t="s">
        <v>635</v>
      </c>
      <c r="K431" s="31" t="s">
        <v>48</v>
      </c>
    </row>
    <row r="432" customFormat="false" ht="15" hidden="false" customHeight="false" outlineLevel="0" collapsed="false">
      <c r="A432" s="31" t="s">
        <v>633</v>
      </c>
      <c r="B432" s="31" t="s">
        <v>636</v>
      </c>
      <c r="C432" s="31" t="s">
        <v>20</v>
      </c>
      <c r="D432" s="31" t="s">
        <v>73</v>
      </c>
      <c r="E432" s="31" t="n">
        <v>1</v>
      </c>
      <c r="F432" s="32" t="n">
        <v>69</v>
      </c>
      <c r="G432" s="32" t="n">
        <v>69</v>
      </c>
      <c r="H432" s="31" t="s">
        <v>45</v>
      </c>
      <c r="I432" s="31" t="s">
        <v>58</v>
      </c>
      <c r="J432" s="31" t="s">
        <v>635</v>
      </c>
      <c r="K432" s="31" t="s">
        <v>48</v>
      </c>
    </row>
    <row r="433" customFormat="false" ht="15" hidden="false" customHeight="false" outlineLevel="0" collapsed="false">
      <c r="A433" s="31" t="s">
        <v>637</v>
      </c>
      <c r="B433" s="31" t="s">
        <v>638</v>
      </c>
      <c r="C433" s="31" t="s">
        <v>20</v>
      </c>
      <c r="D433" s="31" t="s">
        <v>56</v>
      </c>
      <c r="E433" s="31" t="n">
        <v>2</v>
      </c>
      <c r="F433" s="32" t="n">
        <v>45</v>
      </c>
      <c r="G433" s="32" t="n">
        <v>90</v>
      </c>
      <c r="H433" s="31" t="s">
        <v>160</v>
      </c>
      <c r="I433" s="31" t="s">
        <v>58</v>
      </c>
      <c r="J433" s="31" t="s">
        <v>639</v>
      </c>
      <c r="K433" s="31" t="s">
        <v>48</v>
      </c>
    </row>
    <row r="434" customFormat="false" ht="15" hidden="false" customHeight="false" outlineLevel="0" collapsed="false">
      <c r="A434" s="31" t="s">
        <v>637</v>
      </c>
      <c r="B434" s="31" t="s">
        <v>638</v>
      </c>
      <c r="C434" s="31" t="s">
        <v>44</v>
      </c>
      <c r="D434" s="31" t="s">
        <v>44</v>
      </c>
      <c r="E434" s="31" t="n">
        <v>1</v>
      </c>
      <c r="F434" s="32" t="n">
        <v>4.95</v>
      </c>
      <c r="G434" s="32" t="n">
        <v>4.95</v>
      </c>
      <c r="H434" s="31" t="s">
        <v>160</v>
      </c>
      <c r="I434" s="31" t="s">
        <v>58</v>
      </c>
      <c r="J434" s="31" t="s">
        <v>639</v>
      </c>
      <c r="K434" s="31" t="s">
        <v>48</v>
      </c>
    </row>
    <row r="435" customFormat="false" ht="15" hidden="false" customHeight="false" outlineLevel="0" collapsed="false">
      <c r="A435" s="31" t="s">
        <v>640</v>
      </c>
      <c r="B435" s="31" t="s">
        <v>641</v>
      </c>
      <c r="C435" s="31" t="s">
        <v>44</v>
      </c>
      <c r="D435" s="31" t="s">
        <v>44</v>
      </c>
      <c r="E435" s="31" t="n">
        <v>1</v>
      </c>
      <c r="F435" s="32" t="n">
        <v>5.95</v>
      </c>
      <c r="G435" s="32" t="n">
        <v>5.95</v>
      </c>
      <c r="H435" s="31" t="s">
        <v>184</v>
      </c>
      <c r="I435" s="31" t="s">
        <v>121</v>
      </c>
      <c r="J435" s="31" t="s">
        <v>642</v>
      </c>
      <c r="K435" s="31" t="s">
        <v>48</v>
      </c>
    </row>
    <row r="436" customFormat="false" ht="15" hidden="false" customHeight="false" outlineLevel="0" collapsed="false">
      <c r="A436" s="31" t="s">
        <v>640</v>
      </c>
      <c r="B436" s="31" t="s">
        <v>641</v>
      </c>
      <c r="C436" s="31" t="s">
        <v>20</v>
      </c>
      <c r="D436" s="31" t="s">
        <v>53</v>
      </c>
      <c r="E436" s="31" t="n">
        <v>2</v>
      </c>
      <c r="F436" s="32" t="n">
        <v>39</v>
      </c>
      <c r="G436" s="32" t="n">
        <v>78</v>
      </c>
      <c r="H436" s="31" t="s">
        <v>184</v>
      </c>
      <c r="I436" s="31" t="s">
        <v>121</v>
      </c>
      <c r="J436" s="31" t="s">
        <v>642</v>
      </c>
      <c r="K436" s="31" t="s">
        <v>48</v>
      </c>
    </row>
    <row r="437" customFormat="false" ht="15" hidden="false" customHeight="false" outlineLevel="0" collapsed="false">
      <c r="A437" s="31" t="s">
        <v>640</v>
      </c>
      <c r="B437" s="31" t="s">
        <v>643</v>
      </c>
      <c r="C437" s="31" t="s">
        <v>20</v>
      </c>
      <c r="D437" s="31" t="s">
        <v>69</v>
      </c>
      <c r="E437" s="31" t="n">
        <v>1</v>
      </c>
      <c r="F437" s="32" t="n">
        <v>29</v>
      </c>
      <c r="G437" s="32" t="n">
        <v>29</v>
      </c>
      <c r="H437" s="31" t="s">
        <v>184</v>
      </c>
      <c r="I437" s="31" t="s">
        <v>121</v>
      </c>
      <c r="J437" s="31" t="s">
        <v>642</v>
      </c>
      <c r="K437" s="31" t="s">
        <v>48</v>
      </c>
    </row>
    <row r="438" customFormat="false" ht="15" hidden="false" customHeight="false" outlineLevel="0" collapsed="false">
      <c r="A438" s="31" t="s">
        <v>644</v>
      </c>
      <c r="B438" s="31" t="s">
        <v>645</v>
      </c>
      <c r="C438" s="31" t="s">
        <v>44</v>
      </c>
      <c r="D438" s="31" t="s">
        <v>44</v>
      </c>
      <c r="E438" s="31" t="n">
        <v>1</v>
      </c>
      <c r="F438" s="32" t="n">
        <v>0</v>
      </c>
      <c r="G438" s="32" t="n">
        <v>0</v>
      </c>
      <c r="H438" s="31" t="s">
        <v>57</v>
      </c>
      <c r="I438" s="31" t="s">
        <v>58</v>
      </c>
      <c r="J438" s="31" t="s">
        <v>646</v>
      </c>
      <c r="K438" s="31" t="s">
        <v>48</v>
      </c>
    </row>
    <row r="439" customFormat="false" ht="15" hidden="false" customHeight="false" outlineLevel="0" collapsed="false">
      <c r="A439" s="31" t="s">
        <v>644</v>
      </c>
      <c r="B439" s="31" t="s">
        <v>645</v>
      </c>
      <c r="C439" s="31" t="s">
        <v>20</v>
      </c>
      <c r="D439" s="31" t="s">
        <v>78</v>
      </c>
      <c r="E439" s="31" t="n">
        <v>1</v>
      </c>
      <c r="F439" s="32" t="n">
        <v>89</v>
      </c>
      <c r="G439" s="32" t="n">
        <v>89</v>
      </c>
      <c r="H439" s="31" t="s">
        <v>57</v>
      </c>
      <c r="I439" s="31" t="s">
        <v>58</v>
      </c>
      <c r="J439" s="31" t="s">
        <v>646</v>
      </c>
      <c r="K439" s="31" t="s">
        <v>48</v>
      </c>
    </row>
    <row r="440" customFormat="false" ht="15" hidden="false" customHeight="false" outlineLevel="0" collapsed="false">
      <c r="A440" s="31" t="s">
        <v>644</v>
      </c>
      <c r="B440" s="31" t="s">
        <v>645</v>
      </c>
      <c r="C440" s="31" t="s">
        <v>20</v>
      </c>
      <c r="D440" s="31" t="s">
        <v>73</v>
      </c>
      <c r="E440" s="31" t="n">
        <v>2</v>
      </c>
      <c r="F440" s="32" t="n">
        <v>69</v>
      </c>
      <c r="G440" s="32" t="n">
        <v>138</v>
      </c>
      <c r="H440" s="31" t="s">
        <v>57</v>
      </c>
      <c r="I440" s="31" t="s">
        <v>58</v>
      </c>
      <c r="J440" s="31" t="s">
        <v>646</v>
      </c>
      <c r="K440" s="31" t="s">
        <v>48</v>
      </c>
    </row>
    <row r="441" customFormat="false" ht="15" hidden="false" customHeight="false" outlineLevel="0" collapsed="false">
      <c r="A441" s="31" t="s">
        <v>647</v>
      </c>
      <c r="B441" s="31" t="s">
        <v>648</v>
      </c>
      <c r="C441" s="31" t="s">
        <v>20</v>
      </c>
      <c r="D441" s="31" t="s">
        <v>78</v>
      </c>
      <c r="E441" s="31" t="n">
        <v>1</v>
      </c>
      <c r="F441" s="32" t="n">
        <v>89</v>
      </c>
      <c r="G441" s="32" t="n">
        <v>89</v>
      </c>
      <c r="H441" s="31" t="s">
        <v>45</v>
      </c>
      <c r="I441" s="31" t="s">
        <v>58</v>
      </c>
      <c r="J441" s="31" t="s">
        <v>649</v>
      </c>
      <c r="K441" s="31" t="s">
        <v>48</v>
      </c>
    </row>
    <row r="442" customFormat="false" ht="15" hidden="false" customHeight="false" outlineLevel="0" collapsed="false">
      <c r="A442" s="31" t="s">
        <v>650</v>
      </c>
      <c r="B442" s="31" t="s">
        <v>651</v>
      </c>
      <c r="C442" s="31" t="s">
        <v>44</v>
      </c>
      <c r="D442" s="31" t="s">
        <v>44</v>
      </c>
      <c r="E442" s="31" t="n">
        <v>1</v>
      </c>
      <c r="F442" s="32" t="n">
        <v>4.95</v>
      </c>
      <c r="G442" s="32" t="n">
        <v>4.95</v>
      </c>
      <c r="H442" s="31" t="s">
        <v>45</v>
      </c>
      <c r="I442" s="31" t="s">
        <v>58</v>
      </c>
      <c r="J442" s="31" t="s">
        <v>652</v>
      </c>
      <c r="K442" s="31" t="s">
        <v>48</v>
      </c>
    </row>
    <row r="443" customFormat="false" ht="15" hidden="false" customHeight="false" outlineLevel="0" collapsed="false">
      <c r="A443" s="31" t="s">
        <v>650</v>
      </c>
      <c r="B443" s="31" t="s">
        <v>653</v>
      </c>
      <c r="C443" s="31" t="s">
        <v>20</v>
      </c>
      <c r="D443" s="31" t="s">
        <v>78</v>
      </c>
      <c r="E443" s="31" t="n">
        <v>1</v>
      </c>
      <c r="F443" s="32" t="n">
        <v>89</v>
      </c>
      <c r="G443" s="32" t="n">
        <v>89</v>
      </c>
      <c r="H443" s="31" t="s">
        <v>45</v>
      </c>
      <c r="I443" s="31" t="s">
        <v>58</v>
      </c>
      <c r="J443" s="31" t="s">
        <v>652</v>
      </c>
      <c r="K443" s="31" t="s">
        <v>48</v>
      </c>
    </row>
    <row r="444" customFormat="false" ht="15" hidden="false" customHeight="false" outlineLevel="0" collapsed="false">
      <c r="A444" s="31" t="s">
        <v>650</v>
      </c>
      <c r="B444" s="31" t="s">
        <v>653</v>
      </c>
      <c r="C444" s="31" t="s">
        <v>20</v>
      </c>
      <c r="D444" s="31" t="s">
        <v>63</v>
      </c>
      <c r="E444" s="31" t="n">
        <v>1</v>
      </c>
      <c r="F444" s="32" t="n">
        <v>12.6</v>
      </c>
      <c r="G444" s="32" t="n">
        <v>12.6</v>
      </c>
      <c r="H444" s="31" t="s">
        <v>45</v>
      </c>
      <c r="I444" s="31" t="s">
        <v>58</v>
      </c>
      <c r="J444" s="31" t="s">
        <v>652</v>
      </c>
      <c r="K444" s="31" t="s">
        <v>48</v>
      </c>
    </row>
    <row r="445" customFormat="false" ht="15" hidden="false" customHeight="false" outlineLevel="0" collapsed="false">
      <c r="A445" s="31" t="s">
        <v>654</v>
      </c>
      <c r="B445" s="31" t="s">
        <v>655</v>
      </c>
      <c r="C445" s="31" t="s">
        <v>44</v>
      </c>
      <c r="D445" s="31" t="s">
        <v>44</v>
      </c>
      <c r="E445" s="31" t="n">
        <v>1</v>
      </c>
      <c r="F445" s="32" t="n">
        <v>5.95</v>
      </c>
      <c r="G445" s="32" t="n">
        <v>5.95</v>
      </c>
      <c r="H445" s="31" t="s">
        <v>57</v>
      </c>
      <c r="I445" s="31" t="s">
        <v>84</v>
      </c>
      <c r="J445" s="31" t="s">
        <v>656</v>
      </c>
      <c r="K445" s="31" t="s">
        <v>48</v>
      </c>
    </row>
    <row r="446" customFormat="false" ht="15" hidden="false" customHeight="false" outlineLevel="0" collapsed="false">
      <c r="A446" s="31" t="s">
        <v>654</v>
      </c>
      <c r="B446" s="31" t="s">
        <v>655</v>
      </c>
      <c r="C446" s="31" t="s">
        <v>20</v>
      </c>
      <c r="D446" s="31" t="s">
        <v>73</v>
      </c>
      <c r="E446" s="31" t="n">
        <v>1</v>
      </c>
      <c r="F446" s="32" t="n">
        <v>69</v>
      </c>
      <c r="G446" s="32" t="n">
        <v>69</v>
      </c>
      <c r="H446" s="31" t="s">
        <v>57</v>
      </c>
      <c r="I446" s="31" t="s">
        <v>84</v>
      </c>
      <c r="J446" s="31" t="s">
        <v>656</v>
      </c>
      <c r="K446" s="31" t="s">
        <v>48</v>
      </c>
    </row>
    <row r="447" customFormat="false" ht="15" hidden="false" customHeight="false" outlineLevel="0" collapsed="false">
      <c r="A447" s="31" t="s">
        <v>657</v>
      </c>
      <c r="B447" s="31" t="s">
        <v>658</v>
      </c>
      <c r="C447" s="31" t="s">
        <v>44</v>
      </c>
      <c r="D447" s="31" t="s">
        <v>44</v>
      </c>
      <c r="E447" s="31" t="n">
        <v>1</v>
      </c>
      <c r="F447" s="32" t="n">
        <v>0</v>
      </c>
      <c r="G447" s="32" t="n">
        <v>0</v>
      </c>
      <c r="H447" s="31" t="s">
        <v>145</v>
      </c>
      <c r="I447" s="31" t="s">
        <v>58</v>
      </c>
      <c r="J447" s="31" t="s">
        <v>195</v>
      </c>
      <c r="K447" s="31" t="s">
        <v>48</v>
      </c>
    </row>
    <row r="448" customFormat="false" ht="15" hidden="false" customHeight="false" outlineLevel="0" collapsed="false">
      <c r="A448" s="31" t="s">
        <v>657</v>
      </c>
      <c r="B448" s="31" t="s">
        <v>659</v>
      </c>
      <c r="C448" s="31" t="s">
        <v>20</v>
      </c>
      <c r="D448" s="31" t="s">
        <v>52</v>
      </c>
      <c r="E448" s="31" t="n">
        <v>2</v>
      </c>
      <c r="F448" s="32" t="n">
        <v>22</v>
      </c>
      <c r="G448" s="32" t="n">
        <v>44</v>
      </c>
      <c r="H448" s="31" t="s">
        <v>145</v>
      </c>
      <c r="I448" s="31" t="s">
        <v>58</v>
      </c>
      <c r="J448" s="31" t="s">
        <v>195</v>
      </c>
      <c r="K448" s="31" t="s">
        <v>48</v>
      </c>
    </row>
    <row r="449" customFormat="false" ht="15" hidden="false" customHeight="false" outlineLevel="0" collapsed="false">
      <c r="A449" s="31" t="s">
        <v>657</v>
      </c>
      <c r="B449" s="31" t="s">
        <v>659</v>
      </c>
      <c r="C449" s="31" t="s">
        <v>20</v>
      </c>
      <c r="D449" s="31" t="s">
        <v>87</v>
      </c>
      <c r="E449" s="31" t="n">
        <v>1</v>
      </c>
      <c r="F449" s="32" t="n">
        <v>35</v>
      </c>
      <c r="G449" s="32" t="n">
        <v>35</v>
      </c>
      <c r="H449" s="31" t="s">
        <v>145</v>
      </c>
      <c r="I449" s="31" t="s">
        <v>58</v>
      </c>
      <c r="J449" s="31" t="s">
        <v>195</v>
      </c>
      <c r="K449" s="31" t="s">
        <v>48</v>
      </c>
    </row>
    <row r="450" customFormat="false" ht="15" hidden="false" customHeight="false" outlineLevel="0" collapsed="false">
      <c r="A450" s="31" t="s">
        <v>545</v>
      </c>
      <c r="B450" s="31" t="s">
        <v>660</v>
      </c>
      <c r="C450" s="31" t="s">
        <v>20</v>
      </c>
      <c r="D450" s="31" t="s">
        <v>56</v>
      </c>
      <c r="E450" s="31" t="n">
        <v>-1</v>
      </c>
      <c r="F450" s="32" t="n">
        <v>45</v>
      </c>
      <c r="G450" s="32" t="n">
        <v>-45</v>
      </c>
      <c r="H450" s="31" t="s">
        <v>45</v>
      </c>
      <c r="I450" s="31" t="s">
        <v>84</v>
      </c>
      <c r="J450" s="31"/>
      <c r="K450" s="31" t="s">
        <v>243</v>
      </c>
    </row>
    <row r="451" customFormat="false" ht="15" hidden="false" customHeight="false" outlineLevel="0" collapsed="false">
      <c r="A451" s="31" t="s">
        <v>661</v>
      </c>
      <c r="B451" s="31" t="s">
        <v>662</v>
      </c>
      <c r="C451" s="31" t="s">
        <v>20</v>
      </c>
      <c r="D451" s="31" t="s">
        <v>52</v>
      </c>
      <c r="E451" s="31" t="n">
        <v>1</v>
      </c>
      <c r="F451" s="32" t="n">
        <v>22</v>
      </c>
      <c r="G451" s="32" t="n">
        <v>22</v>
      </c>
      <c r="H451" s="31" t="s">
        <v>45</v>
      </c>
      <c r="I451" s="31" t="s">
        <v>58</v>
      </c>
      <c r="J451" s="31" t="s">
        <v>663</v>
      </c>
      <c r="K451" s="31" t="s">
        <v>48</v>
      </c>
    </row>
    <row r="452" customFormat="false" ht="15" hidden="false" customHeight="false" outlineLevel="0" collapsed="false">
      <c r="A452" s="31" t="s">
        <v>661</v>
      </c>
      <c r="B452" s="31" t="s">
        <v>664</v>
      </c>
      <c r="C452" s="31" t="s">
        <v>20</v>
      </c>
      <c r="D452" s="31" t="s">
        <v>69</v>
      </c>
      <c r="E452" s="31" t="n">
        <v>1</v>
      </c>
      <c r="F452" s="32" t="n">
        <v>29</v>
      </c>
      <c r="G452" s="32" t="n">
        <v>29</v>
      </c>
      <c r="H452" s="31" t="s">
        <v>45</v>
      </c>
      <c r="I452" s="31" t="s">
        <v>58</v>
      </c>
      <c r="J452" s="31" t="s">
        <v>663</v>
      </c>
      <c r="K452" s="31" t="s">
        <v>48</v>
      </c>
    </row>
    <row r="453" customFormat="false" ht="15" hidden="false" customHeight="false" outlineLevel="0" collapsed="false">
      <c r="A453" s="31" t="s">
        <v>661</v>
      </c>
      <c r="B453" s="31" t="s">
        <v>662</v>
      </c>
      <c r="C453" s="31" t="s">
        <v>44</v>
      </c>
      <c r="D453" s="31" t="s">
        <v>44</v>
      </c>
      <c r="E453" s="31" t="n">
        <v>1</v>
      </c>
      <c r="F453" s="32" t="n">
        <v>4.95</v>
      </c>
      <c r="G453" s="32" t="n">
        <v>4.95</v>
      </c>
      <c r="H453" s="31" t="s">
        <v>45</v>
      </c>
      <c r="I453" s="31" t="s">
        <v>58</v>
      </c>
      <c r="J453" s="31" t="s">
        <v>663</v>
      </c>
      <c r="K453" s="31" t="s">
        <v>48</v>
      </c>
    </row>
    <row r="454" customFormat="false" ht="15" hidden="false" customHeight="false" outlineLevel="0" collapsed="false">
      <c r="A454" s="31" t="s">
        <v>665</v>
      </c>
      <c r="B454" s="31" t="s">
        <v>666</v>
      </c>
      <c r="C454" s="31" t="s">
        <v>44</v>
      </c>
      <c r="D454" s="31" t="s">
        <v>44</v>
      </c>
      <c r="E454" s="31" t="n">
        <v>1</v>
      </c>
      <c r="F454" s="32" t="n">
        <v>0</v>
      </c>
      <c r="G454" s="32" t="n">
        <v>0</v>
      </c>
      <c r="H454" s="31" t="s">
        <v>45</v>
      </c>
      <c r="I454" s="31" t="s">
        <v>155</v>
      </c>
      <c r="J454" s="31" t="s">
        <v>667</v>
      </c>
      <c r="K454" s="31" t="s">
        <v>48</v>
      </c>
    </row>
    <row r="455" customFormat="false" ht="15" hidden="false" customHeight="false" outlineLevel="0" collapsed="false">
      <c r="A455" s="31" t="s">
        <v>665</v>
      </c>
      <c r="B455" s="31" t="s">
        <v>666</v>
      </c>
      <c r="C455" s="31" t="s">
        <v>20</v>
      </c>
      <c r="D455" s="31" t="s">
        <v>53</v>
      </c>
      <c r="E455" s="31" t="n">
        <v>1</v>
      </c>
      <c r="F455" s="32" t="n">
        <v>39</v>
      </c>
      <c r="G455" s="32" t="n">
        <v>39</v>
      </c>
      <c r="H455" s="31" t="s">
        <v>45</v>
      </c>
      <c r="I455" s="31" t="s">
        <v>155</v>
      </c>
      <c r="J455" s="31" t="s">
        <v>667</v>
      </c>
      <c r="K455" s="31" t="s">
        <v>48</v>
      </c>
    </row>
    <row r="456" customFormat="false" ht="15" hidden="false" customHeight="false" outlineLevel="0" collapsed="false">
      <c r="A456" s="31" t="s">
        <v>665</v>
      </c>
      <c r="B456" s="31" t="s">
        <v>666</v>
      </c>
      <c r="C456" s="31" t="s">
        <v>50</v>
      </c>
      <c r="D456" s="31" t="s">
        <v>51</v>
      </c>
      <c r="E456" s="31" t="n">
        <v>1</v>
      </c>
      <c r="F456" s="32" t="n">
        <v>-10</v>
      </c>
      <c r="G456" s="32" t="n">
        <v>-10</v>
      </c>
      <c r="H456" s="31" t="s">
        <v>45</v>
      </c>
      <c r="I456" s="31" t="s">
        <v>155</v>
      </c>
      <c r="J456" s="31" t="s">
        <v>667</v>
      </c>
      <c r="K456" s="31" t="s">
        <v>48</v>
      </c>
    </row>
    <row r="457" customFormat="false" ht="15" hidden="false" customHeight="false" outlineLevel="0" collapsed="false">
      <c r="A457" s="31" t="s">
        <v>668</v>
      </c>
      <c r="B457" s="31" t="s">
        <v>669</v>
      </c>
      <c r="C457" s="31" t="s">
        <v>20</v>
      </c>
      <c r="D457" s="31" t="s">
        <v>78</v>
      </c>
      <c r="E457" s="31" t="n">
        <v>1</v>
      </c>
      <c r="F457" s="32" t="n">
        <v>89</v>
      </c>
      <c r="G457" s="32" t="n">
        <v>89</v>
      </c>
      <c r="H457" s="31" t="s">
        <v>57</v>
      </c>
      <c r="I457" s="31" t="s">
        <v>58</v>
      </c>
      <c r="J457" s="31" t="s">
        <v>122</v>
      </c>
      <c r="K457" s="31" t="s">
        <v>202</v>
      </c>
    </row>
    <row r="458" customFormat="false" ht="15" hidden="false" customHeight="false" outlineLevel="0" collapsed="false">
      <c r="A458" s="31" t="s">
        <v>668</v>
      </c>
      <c r="B458" s="31" t="s">
        <v>670</v>
      </c>
      <c r="C458" s="31" t="s">
        <v>44</v>
      </c>
      <c r="D458" s="31" t="s">
        <v>44</v>
      </c>
      <c r="E458" s="31" t="n">
        <v>1</v>
      </c>
      <c r="F458" s="32" t="n">
        <v>5.95</v>
      </c>
      <c r="G458" s="32" t="n">
        <v>5.95</v>
      </c>
      <c r="H458" s="31" t="s">
        <v>57</v>
      </c>
      <c r="I458" s="31" t="s">
        <v>58</v>
      </c>
      <c r="J458" s="31" t="s">
        <v>122</v>
      </c>
      <c r="K458" s="31" t="s">
        <v>48</v>
      </c>
    </row>
    <row r="459" customFormat="false" ht="15" hidden="false" customHeight="false" outlineLevel="0" collapsed="false">
      <c r="A459" s="31" t="s">
        <v>671</v>
      </c>
      <c r="B459" s="31" t="s">
        <v>672</v>
      </c>
      <c r="C459" s="31" t="s">
        <v>20</v>
      </c>
      <c r="D459" s="31" t="s">
        <v>78</v>
      </c>
      <c r="E459" s="31" t="n">
        <v>1</v>
      </c>
      <c r="F459" s="32" t="n">
        <v>71.2</v>
      </c>
      <c r="G459" s="32" t="n">
        <v>71.2</v>
      </c>
      <c r="H459" s="31" t="s">
        <v>45</v>
      </c>
      <c r="I459" s="31" t="s">
        <v>58</v>
      </c>
      <c r="J459" s="31" t="s">
        <v>673</v>
      </c>
      <c r="K459" s="31" t="s">
        <v>48</v>
      </c>
    </row>
    <row r="460" customFormat="false" ht="15" hidden="false" customHeight="false" outlineLevel="0" collapsed="false">
      <c r="A460" s="31" t="s">
        <v>671</v>
      </c>
      <c r="B460" s="31" t="s">
        <v>672</v>
      </c>
      <c r="C460" s="31" t="s">
        <v>44</v>
      </c>
      <c r="D460" s="31" t="s">
        <v>44</v>
      </c>
      <c r="E460" s="31" t="n">
        <v>1</v>
      </c>
      <c r="F460" s="32" t="n">
        <v>0</v>
      </c>
      <c r="G460" s="32" t="n">
        <v>0</v>
      </c>
      <c r="H460" s="31" t="s">
        <v>45</v>
      </c>
      <c r="I460" s="31" t="s">
        <v>58</v>
      </c>
      <c r="J460" s="31" t="s">
        <v>673</v>
      </c>
      <c r="K460" s="31" t="s">
        <v>48</v>
      </c>
    </row>
    <row r="461" customFormat="false" ht="15" hidden="false" customHeight="false" outlineLevel="0" collapsed="false">
      <c r="A461" s="31" t="s">
        <v>674</v>
      </c>
      <c r="B461" s="31" t="s">
        <v>675</v>
      </c>
      <c r="C461" s="31" t="s">
        <v>20</v>
      </c>
      <c r="D461" s="31" t="s">
        <v>56</v>
      </c>
      <c r="E461" s="31" t="n">
        <v>1</v>
      </c>
      <c r="F461" s="32" t="n">
        <v>45</v>
      </c>
      <c r="G461" s="32" t="n">
        <v>45</v>
      </c>
      <c r="H461" s="31" t="s">
        <v>57</v>
      </c>
      <c r="I461" s="31" t="s">
        <v>58</v>
      </c>
      <c r="J461" s="31"/>
      <c r="K461" s="31" t="s">
        <v>48</v>
      </c>
    </row>
    <row r="462" customFormat="false" ht="15" hidden="false" customHeight="false" outlineLevel="0" collapsed="false">
      <c r="A462" s="31" t="s">
        <v>676</v>
      </c>
      <c r="B462" s="31" t="s">
        <v>677</v>
      </c>
      <c r="C462" s="31" t="s">
        <v>20</v>
      </c>
      <c r="D462" s="31" t="s">
        <v>66</v>
      </c>
      <c r="E462" s="31" t="n">
        <v>1</v>
      </c>
      <c r="F462" s="32" t="n">
        <v>32</v>
      </c>
      <c r="G462" s="32" t="n">
        <v>32</v>
      </c>
      <c r="H462" s="31" t="s">
        <v>45</v>
      </c>
      <c r="I462" s="31" t="s">
        <v>58</v>
      </c>
      <c r="J462" s="31"/>
      <c r="K462" s="31" t="s">
        <v>48</v>
      </c>
    </row>
    <row r="463" customFormat="false" ht="15" hidden="false" customHeight="false" outlineLevel="0" collapsed="false">
      <c r="A463" s="31" t="s">
        <v>676</v>
      </c>
      <c r="B463" s="31" t="s">
        <v>678</v>
      </c>
      <c r="C463" s="31" t="s">
        <v>44</v>
      </c>
      <c r="D463" s="31" t="s">
        <v>44</v>
      </c>
      <c r="E463" s="31" t="n">
        <v>1</v>
      </c>
      <c r="F463" s="32" t="n">
        <v>3.95</v>
      </c>
      <c r="G463" s="32" t="n">
        <v>3.95</v>
      </c>
      <c r="H463" s="31" t="s">
        <v>45</v>
      </c>
      <c r="I463" s="31" t="s">
        <v>58</v>
      </c>
      <c r="J463" s="31"/>
      <c r="K463" s="31" t="s">
        <v>48</v>
      </c>
    </row>
    <row r="464" customFormat="false" ht="15" hidden="false" customHeight="false" outlineLevel="0" collapsed="false">
      <c r="A464" s="31" t="s">
        <v>679</v>
      </c>
      <c r="B464" s="31" t="s">
        <v>680</v>
      </c>
      <c r="C464" s="31" t="s">
        <v>44</v>
      </c>
      <c r="D464" s="31" t="s">
        <v>44</v>
      </c>
      <c r="E464" s="31" t="n">
        <v>1</v>
      </c>
      <c r="F464" s="32" t="n">
        <v>3.95</v>
      </c>
      <c r="G464" s="32" t="n">
        <v>3.95</v>
      </c>
      <c r="H464" s="31" t="s">
        <v>57</v>
      </c>
      <c r="I464" s="31" t="s">
        <v>46</v>
      </c>
      <c r="J464" s="31" t="s">
        <v>681</v>
      </c>
      <c r="K464" s="31" t="s">
        <v>48</v>
      </c>
    </row>
    <row r="465" customFormat="false" ht="15" hidden="false" customHeight="false" outlineLevel="0" collapsed="false">
      <c r="A465" s="31" t="s">
        <v>679</v>
      </c>
      <c r="B465" s="31" t="s">
        <v>680</v>
      </c>
      <c r="C465" s="31" t="s">
        <v>20</v>
      </c>
      <c r="D465" s="31" t="s">
        <v>53</v>
      </c>
      <c r="E465" s="31" t="n">
        <v>2</v>
      </c>
      <c r="F465" s="32" t="n">
        <v>39</v>
      </c>
      <c r="G465" s="32" t="n">
        <v>78</v>
      </c>
      <c r="H465" s="31" t="s">
        <v>57</v>
      </c>
      <c r="I465" s="31" t="s">
        <v>46</v>
      </c>
      <c r="J465" s="31" t="s">
        <v>681</v>
      </c>
      <c r="K465" s="31" t="s">
        <v>48</v>
      </c>
    </row>
    <row r="466" customFormat="false" ht="15" hidden="false" customHeight="false" outlineLevel="0" collapsed="false">
      <c r="A466" s="31" t="s">
        <v>682</v>
      </c>
      <c r="B466" s="31" t="s">
        <v>683</v>
      </c>
      <c r="C466" s="31" t="s">
        <v>44</v>
      </c>
      <c r="D466" s="31" t="s">
        <v>44</v>
      </c>
      <c r="E466" s="31" t="n">
        <v>1</v>
      </c>
      <c r="F466" s="32" t="n">
        <v>0</v>
      </c>
      <c r="G466" s="32" t="n">
        <v>0</v>
      </c>
      <c r="H466" s="31" t="s">
        <v>57</v>
      </c>
      <c r="I466" s="31" t="s">
        <v>155</v>
      </c>
      <c r="J466" s="31" t="s">
        <v>684</v>
      </c>
      <c r="K466" s="31" t="s">
        <v>48</v>
      </c>
    </row>
    <row r="467" customFormat="false" ht="15" hidden="false" customHeight="false" outlineLevel="0" collapsed="false">
      <c r="A467" s="31" t="s">
        <v>682</v>
      </c>
      <c r="B467" s="31" t="s">
        <v>685</v>
      </c>
      <c r="C467" s="31" t="s">
        <v>20</v>
      </c>
      <c r="D467" s="31" t="s">
        <v>78</v>
      </c>
      <c r="E467" s="31" t="n">
        <v>1</v>
      </c>
      <c r="F467" s="32" t="n">
        <v>89</v>
      </c>
      <c r="G467" s="32" t="n">
        <v>89</v>
      </c>
      <c r="H467" s="31" t="s">
        <v>57</v>
      </c>
      <c r="I467" s="31" t="s">
        <v>155</v>
      </c>
      <c r="J467" s="31" t="s">
        <v>684</v>
      </c>
      <c r="K467" s="31" t="s">
        <v>48</v>
      </c>
    </row>
    <row r="468" customFormat="false" ht="15" hidden="false" customHeight="false" outlineLevel="0" collapsed="false">
      <c r="A468" s="31" t="s">
        <v>682</v>
      </c>
      <c r="B468" s="31" t="s">
        <v>683</v>
      </c>
      <c r="C468" s="31" t="s">
        <v>20</v>
      </c>
      <c r="D468" s="31" t="s">
        <v>87</v>
      </c>
      <c r="E468" s="31" t="n">
        <v>2</v>
      </c>
      <c r="F468" s="32" t="n">
        <v>35</v>
      </c>
      <c r="G468" s="32" t="n">
        <v>70</v>
      </c>
      <c r="H468" s="31" t="s">
        <v>57</v>
      </c>
      <c r="I468" s="31" t="s">
        <v>155</v>
      </c>
      <c r="J468" s="31" t="s">
        <v>684</v>
      </c>
      <c r="K468" s="31" t="s">
        <v>48</v>
      </c>
    </row>
    <row r="469" customFormat="false" ht="15" hidden="false" customHeight="false" outlineLevel="0" collapsed="false">
      <c r="A469" s="31" t="s">
        <v>686</v>
      </c>
      <c r="B469" s="31" t="s">
        <v>687</v>
      </c>
      <c r="C469" s="31" t="s">
        <v>20</v>
      </c>
      <c r="D469" s="31" t="s">
        <v>56</v>
      </c>
      <c r="E469" s="31" t="n">
        <v>1</v>
      </c>
      <c r="F469" s="32" t="n">
        <v>36</v>
      </c>
      <c r="G469" s="32" t="n">
        <v>36</v>
      </c>
      <c r="H469" s="31" t="s">
        <v>45</v>
      </c>
      <c r="I469" s="31" t="s">
        <v>46</v>
      </c>
      <c r="J469" s="31" t="s">
        <v>688</v>
      </c>
      <c r="K469" s="31" t="s">
        <v>48</v>
      </c>
    </row>
    <row r="470" customFormat="false" ht="15" hidden="false" customHeight="false" outlineLevel="0" collapsed="false">
      <c r="A470" s="31" t="s">
        <v>686</v>
      </c>
      <c r="B470" s="31" t="s">
        <v>687</v>
      </c>
      <c r="C470" s="31" t="s">
        <v>20</v>
      </c>
      <c r="D470" s="31" t="s">
        <v>69</v>
      </c>
      <c r="E470" s="31" t="n">
        <v>1</v>
      </c>
      <c r="F470" s="32" t="n">
        <v>29</v>
      </c>
      <c r="G470" s="32" t="n">
        <v>29</v>
      </c>
      <c r="H470" s="31" t="s">
        <v>45</v>
      </c>
      <c r="I470" s="31" t="s">
        <v>46</v>
      </c>
      <c r="J470" s="31" t="s">
        <v>688</v>
      </c>
      <c r="K470" s="31" t="s">
        <v>48</v>
      </c>
    </row>
    <row r="471" customFormat="false" ht="15" hidden="false" customHeight="false" outlineLevel="0" collapsed="false">
      <c r="A471" s="31" t="s">
        <v>686</v>
      </c>
      <c r="B471" s="31" t="s">
        <v>687</v>
      </c>
      <c r="C471" s="31" t="s">
        <v>44</v>
      </c>
      <c r="D471" s="31" t="s">
        <v>44</v>
      </c>
      <c r="E471" s="31" t="n">
        <v>1</v>
      </c>
      <c r="F471" s="32" t="n">
        <v>3.95</v>
      </c>
      <c r="G471" s="32" t="n">
        <v>3.95</v>
      </c>
      <c r="H471" s="31" t="s">
        <v>45</v>
      </c>
      <c r="I471" s="31" t="s">
        <v>46</v>
      </c>
      <c r="J471" s="31" t="s">
        <v>688</v>
      </c>
      <c r="K471" s="31" t="s">
        <v>48</v>
      </c>
    </row>
    <row r="472" customFormat="false" ht="15" hidden="false" customHeight="false" outlineLevel="0" collapsed="false">
      <c r="A472" s="31" t="s">
        <v>689</v>
      </c>
      <c r="B472" s="31" t="s">
        <v>690</v>
      </c>
      <c r="C472" s="31" t="s">
        <v>20</v>
      </c>
      <c r="D472" s="31" t="s">
        <v>52</v>
      </c>
      <c r="E472" s="31" t="n">
        <v>1</v>
      </c>
      <c r="F472" s="32" t="n">
        <v>22</v>
      </c>
      <c r="G472" s="32" t="n">
        <v>22</v>
      </c>
      <c r="H472" s="31" t="s">
        <v>57</v>
      </c>
      <c r="I472" s="31" t="s">
        <v>58</v>
      </c>
      <c r="J472" s="31" t="s">
        <v>691</v>
      </c>
      <c r="K472" s="31" t="s">
        <v>48</v>
      </c>
    </row>
    <row r="473" customFormat="false" ht="15" hidden="false" customHeight="false" outlineLevel="0" collapsed="false">
      <c r="A473" s="31" t="s">
        <v>689</v>
      </c>
      <c r="B473" s="31" t="s">
        <v>692</v>
      </c>
      <c r="C473" s="31" t="s">
        <v>20</v>
      </c>
      <c r="D473" s="31" t="s">
        <v>56</v>
      </c>
      <c r="E473" s="31" t="n">
        <v>2</v>
      </c>
      <c r="F473" s="32" t="n">
        <v>45</v>
      </c>
      <c r="G473" s="32" t="n">
        <v>90</v>
      </c>
      <c r="H473" s="31" t="s">
        <v>57</v>
      </c>
      <c r="I473" s="31" t="s">
        <v>58</v>
      </c>
      <c r="J473" s="31" t="s">
        <v>691</v>
      </c>
      <c r="K473" s="31" t="s">
        <v>48</v>
      </c>
    </row>
    <row r="474" customFormat="false" ht="15" hidden="false" customHeight="false" outlineLevel="0" collapsed="false">
      <c r="A474" s="31" t="s">
        <v>693</v>
      </c>
      <c r="B474" s="31" t="s">
        <v>694</v>
      </c>
      <c r="C474" s="31" t="s">
        <v>20</v>
      </c>
      <c r="D474" s="31" t="s">
        <v>123</v>
      </c>
      <c r="E474" s="31" t="n">
        <v>3</v>
      </c>
      <c r="F474" s="32" t="n">
        <v>75</v>
      </c>
      <c r="G474" s="32" t="n">
        <v>225</v>
      </c>
      <c r="H474" s="31" t="s">
        <v>45</v>
      </c>
      <c r="I474" s="31" t="s">
        <v>58</v>
      </c>
      <c r="J474" s="31" t="s">
        <v>695</v>
      </c>
      <c r="K474" s="31" t="s">
        <v>48</v>
      </c>
    </row>
    <row r="475" customFormat="false" ht="15" hidden="false" customHeight="false" outlineLevel="0" collapsed="false">
      <c r="A475" s="31" t="s">
        <v>693</v>
      </c>
      <c r="B475" s="31" t="s">
        <v>694</v>
      </c>
      <c r="C475" s="31" t="s">
        <v>20</v>
      </c>
      <c r="D475" s="31" t="s">
        <v>53</v>
      </c>
      <c r="E475" s="31" t="n">
        <v>2</v>
      </c>
      <c r="F475" s="32" t="n">
        <v>39</v>
      </c>
      <c r="G475" s="32" t="n">
        <v>78</v>
      </c>
      <c r="H475" s="31" t="s">
        <v>45</v>
      </c>
      <c r="I475" s="31" t="s">
        <v>58</v>
      </c>
      <c r="J475" s="31" t="s">
        <v>695</v>
      </c>
      <c r="K475" s="31" t="s">
        <v>48</v>
      </c>
    </row>
    <row r="476" customFormat="false" ht="15" hidden="false" customHeight="false" outlineLevel="0" collapsed="false">
      <c r="A476" s="31" t="s">
        <v>693</v>
      </c>
      <c r="B476" s="31" t="s">
        <v>694</v>
      </c>
      <c r="C476" s="31" t="s">
        <v>20</v>
      </c>
      <c r="D476" s="31" t="s">
        <v>78</v>
      </c>
      <c r="E476" s="31" t="n">
        <v>1</v>
      </c>
      <c r="F476" s="32" t="n">
        <v>89</v>
      </c>
      <c r="G476" s="32" t="n">
        <v>89</v>
      </c>
      <c r="H476" s="31" t="s">
        <v>45</v>
      </c>
      <c r="I476" s="31" t="s">
        <v>58</v>
      </c>
      <c r="J476" s="31" t="s">
        <v>695</v>
      </c>
      <c r="K476" s="31" t="s">
        <v>48</v>
      </c>
    </row>
    <row r="477" customFormat="false" ht="15" hidden="false" customHeight="false" outlineLevel="0" collapsed="false">
      <c r="A477" s="31" t="s">
        <v>578</v>
      </c>
      <c r="B477" s="31" t="s">
        <v>696</v>
      </c>
      <c r="C477" s="31" t="s">
        <v>20</v>
      </c>
      <c r="D477" s="31" t="s">
        <v>78</v>
      </c>
      <c r="E477" s="31" t="n">
        <v>-2</v>
      </c>
      <c r="F477" s="32" t="n">
        <v>89</v>
      </c>
      <c r="G477" s="32" t="n">
        <v>-178</v>
      </c>
      <c r="H477" s="31" t="s">
        <v>45</v>
      </c>
      <c r="I477" s="31" t="s">
        <v>58</v>
      </c>
      <c r="J477" s="31" t="s">
        <v>580</v>
      </c>
      <c r="K477" s="31" t="s">
        <v>243</v>
      </c>
    </row>
    <row r="478" customFormat="false" ht="15" hidden="false" customHeight="false" outlineLevel="0" collapsed="false">
      <c r="A478" s="31" t="s">
        <v>697</v>
      </c>
      <c r="B478" s="31" t="s">
        <v>698</v>
      </c>
      <c r="C478" s="31" t="s">
        <v>44</v>
      </c>
      <c r="D478" s="31" t="s">
        <v>44</v>
      </c>
      <c r="E478" s="31" t="n">
        <v>1</v>
      </c>
      <c r="F478" s="32" t="n">
        <v>4.95</v>
      </c>
      <c r="G478" s="32" t="n">
        <v>4.95</v>
      </c>
      <c r="H478" s="31" t="s">
        <v>57</v>
      </c>
      <c r="I478" s="31" t="s">
        <v>155</v>
      </c>
      <c r="J478" s="31" t="s">
        <v>699</v>
      </c>
      <c r="K478" s="31" t="s">
        <v>48</v>
      </c>
    </row>
    <row r="479" customFormat="false" ht="15" hidden="false" customHeight="false" outlineLevel="0" collapsed="false">
      <c r="A479" s="31" t="s">
        <v>697</v>
      </c>
      <c r="B479" s="31" t="s">
        <v>698</v>
      </c>
      <c r="C479" s="31" t="s">
        <v>20</v>
      </c>
      <c r="D479" s="31" t="s">
        <v>87</v>
      </c>
      <c r="E479" s="31" t="n">
        <v>1</v>
      </c>
      <c r="F479" s="32" t="n">
        <v>35</v>
      </c>
      <c r="G479" s="32" t="n">
        <v>35</v>
      </c>
      <c r="H479" s="31" t="s">
        <v>57</v>
      </c>
      <c r="I479" s="31" t="s">
        <v>155</v>
      </c>
      <c r="J479" s="31" t="s">
        <v>699</v>
      </c>
      <c r="K479" s="31" t="s">
        <v>48</v>
      </c>
    </row>
    <row r="480" customFormat="false" ht="15" hidden="false" customHeight="false" outlineLevel="0" collapsed="false">
      <c r="A480" s="31" t="s">
        <v>697</v>
      </c>
      <c r="B480" s="31" t="s">
        <v>698</v>
      </c>
      <c r="C480" s="31" t="s">
        <v>20</v>
      </c>
      <c r="D480" s="31" t="s">
        <v>78</v>
      </c>
      <c r="E480" s="31" t="n">
        <v>2</v>
      </c>
      <c r="F480" s="32" t="n">
        <v>89</v>
      </c>
      <c r="G480" s="32" t="n">
        <v>178</v>
      </c>
      <c r="H480" s="31" t="s">
        <v>57</v>
      </c>
      <c r="I480" s="31" t="s">
        <v>155</v>
      </c>
      <c r="J480" s="31" t="s">
        <v>699</v>
      </c>
      <c r="K480" s="31" t="s">
        <v>48</v>
      </c>
    </row>
    <row r="481" customFormat="false" ht="15" hidden="false" customHeight="false" outlineLevel="0" collapsed="false">
      <c r="A481" s="31" t="s">
        <v>700</v>
      </c>
      <c r="B481" s="31" t="s">
        <v>701</v>
      </c>
      <c r="C481" s="31" t="s">
        <v>20</v>
      </c>
      <c r="D481" s="31" t="s">
        <v>78</v>
      </c>
      <c r="E481" s="31" t="n">
        <v>1</v>
      </c>
      <c r="F481" s="32" t="n">
        <v>89</v>
      </c>
      <c r="G481" s="32" t="n">
        <v>89</v>
      </c>
      <c r="H481" s="31" t="s">
        <v>57</v>
      </c>
      <c r="I481" s="31" t="s">
        <v>58</v>
      </c>
      <c r="J481" s="31" t="s">
        <v>702</v>
      </c>
      <c r="K481" s="31" t="s">
        <v>48</v>
      </c>
    </row>
    <row r="482" customFormat="false" ht="15" hidden="false" customHeight="false" outlineLevel="0" collapsed="false">
      <c r="A482" s="31" t="s">
        <v>700</v>
      </c>
      <c r="B482" s="31" t="s">
        <v>703</v>
      </c>
      <c r="C482" s="31" t="s">
        <v>44</v>
      </c>
      <c r="D482" s="31" t="s">
        <v>44</v>
      </c>
      <c r="E482" s="31" t="n">
        <v>1</v>
      </c>
      <c r="F482" s="32" t="n">
        <v>5.95</v>
      </c>
      <c r="G482" s="32" t="n">
        <v>5.95</v>
      </c>
      <c r="H482" s="31" t="s">
        <v>57</v>
      </c>
      <c r="I482" s="31" t="s">
        <v>58</v>
      </c>
      <c r="J482" s="31" t="s">
        <v>702</v>
      </c>
      <c r="K482" s="31" t="s">
        <v>48</v>
      </c>
    </row>
    <row r="483" customFormat="false" ht="15" hidden="false" customHeight="false" outlineLevel="0" collapsed="false">
      <c r="A483" s="31" t="s">
        <v>704</v>
      </c>
      <c r="B483" s="31" t="s">
        <v>705</v>
      </c>
      <c r="C483" s="31" t="s">
        <v>20</v>
      </c>
      <c r="D483" s="31" t="s">
        <v>69</v>
      </c>
      <c r="E483" s="31" t="n">
        <v>1</v>
      </c>
      <c r="F483" s="32" t="n">
        <v>29</v>
      </c>
      <c r="G483" s="32" t="n">
        <v>29</v>
      </c>
      <c r="H483" s="31" t="s">
        <v>45</v>
      </c>
      <c r="I483" s="31" t="s">
        <v>58</v>
      </c>
      <c r="J483" s="31" t="s">
        <v>455</v>
      </c>
      <c r="K483" s="31" t="s">
        <v>48</v>
      </c>
    </row>
    <row r="484" customFormat="false" ht="15" hidden="false" customHeight="false" outlineLevel="0" collapsed="false">
      <c r="A484" s="31" t="s">
        <v>704</v>
      </c>
      <c r="B484" s="31" t="s">
        <v>705</v>
      </c>
      <c r="C484" s="31" t="s">
        <v>44</v>
      </c>
      <c r="D484" s="31" t="s">
        <v>44</v>
      </c>
      <c r="E484" s="31" t="n">
        <v>1</v>
      </c>
      <c r="F484" s="32" t="n">
        <v>5.95</v>
      </c>
      <c r="G484" s="32" t="n">
        <v>5.95</v>
      </c>
      <c r="H484" s="31" t="s">
        <v>45</v>
      </c>
      <c r="I484" s="31" t="s">
        <v>58</v>
      </c>
      <c r="J484" s="31" t="s">
        <v>455</v>
      </c>
      <c r="K484" s="31" t="s">
        <v>48</v>
      </c>
    </row>
    <row r="485" customFormat="false" ht="15" hidden="false" customHeight="false" outlineLevel="0" collapsed="false">
      <c r="A485" s="31" t="s">
        <v>704</v>
      </c>
      <c r="B485" s="31" t="s">
        <v>705</v>
      </c>
      <c r="C485" s="31" t="s">
        <v>20</v>
      </c>
      <c r="D485" s="31" t="s">
        <v>123</v>
      </c>
      <c r="E485" s="31" t="n">
        <v>1</v>
      </c>
      <c r="F485" s="32" t="n">
        <v>75</v>
      </c>
      <c r="G485" s="32" t="n">
        <v>75</v>
      </c>
      <c r="H485" s="31" t="s">
        <v>45</v>
      </c>
      <c r="I485" s="31" t="s">
        <v>58</v>
      </c>
      <c r="J485" s="31" t="s">
        <v>455</v>
      </c>
      <c r="K485" s="31" t="s">
        <v>48</v>
      </c>
    </row>
    <row r="486" customFormat="false" ht="15" hidden="false" customHeight="false" outlineLevel="0" collapsed="false">
      <c r="A486" s="31" t="s">
        <v>706</v>
      </c>
      <c r="B486" s="31" t="s">
        <v>707</v>
      </c>
      <c r="C486" s="31" t="s">
        <v>20</v>
      </c>
      <c r="D486" s="31" t="s">
        <v>78</v>
      </c>
      <c r="E486" s="31" t="n">
        <v>2</v>
      </c>
      <c r="F486" s="32" t="n">
        <v>89</v>
      </c>
      <c r="G486" s="32" t="n">
        <v>178</v>
      </c>
      <c r="H486" s="31" t="s">
        <v>57</v>
      </c>
      <c r="I486" s="31" t="s">
        <v>58</v>
      </c>
      <c r="J486" s="31" t="s">
        <v>708</v>
      </c>
      <c r="K486" s="31" t="s">
        <v>48</v>
      </c>
    </row>
    <row r="487" customFormat="false" ht="15" hidden="false" customHeight="false" outlineLevel="0" collapsed="false">
      <c r="A487" s="31" t="s">
        <v>706</v>
      </c>
      <c r="B487" s="31" t="s">
        <v>709</v>
      </c>
      <c r="C487" s="31" t="s">
        <v>44</v>
      </c>
      <c r="D487" s="31" t="s">
        <v>44</v>
      </c>
      <c r="E487" s="31" t="n">
        <v>1</v>
      </c>
      <c r="F487" s="32" t="n">
        <v>0</v>
      </c>
      <c r="G487" s="32" t="n">
        <v>0</v>
      </c>
      <c r="H487" s="31" t="s">
        <v>57</v>
      </c>
      <c r="I487" s="31" t="s">
        <v>58</v>
      </c>
      <c r="J487" s="31" t="s">
        <v>708</v>
      </c>
      <c r="K487" s="31" t="s">
        <v>48</v>
      </c>
    </row>
    <row r="488" customFormat="false" ht="15" hidden="false" customHeight="false" outlineLevel="0" collapsed="false">
      <c r="A488" s="31" t="s">
        <v>710</v>
      </c>
      <c r="B488" s="31" t="s">
        <v>711</v>
      </c>
      <c r="C488" s="31" t="s">
        <v>44</v>
      </c>
      <c r="D488" s="31" t="s">
        <v>44</v>
      </c>
      <c r="E488" s="31" t="n">
        <v>1</v>
      </c>
      <c r="F488" s="32" t="n">
        <v>5.95</v>
      </c>
      <c r="G488" s="32" t="n">
        <v>5.95</v>
      </c>
      <c r="H488" s="31" t="s">
        <v>45</v>
      </c>
      <c r="I488" s="31" t="s">
        <v>58</v>
      </c>
      <c r="J488" s="31" t="s">
        <v>712</v>
      </c>
      <c r="K488" s="31" t="s">
        <v>48</v>
      </c>
    </row>
    <row r="489" customFormat="false" ht="15" hidden="false" customHeight="false" outlineLevel="0" collapsed="false">
      <c r="A489" s="31" t="s">
        <v>710</v>
      </c>
      <c r="B489" s="31" t="s">
        <v>711</v>
      </c>
      <c r="C489" s="31" t="s">
        <v>20</v>
      </c>
      <c r="D489" s="31" t="s">
        <v>69</v>
      </c>
      <c r="E489" s="31" t="n">
        <v>1</v>
      </c>
      <c r="F489" s="32" t="n">
        <v>29</v>
      </c>
      <c r="G489" s="32" t="n">
        <v>29</v>
      </c>
      <c r="H489" s="31" t="s">
        <v>45</v>
      </c>
      <c r="I489" s="31" t="s">
        <v>58</v>
      </c>
      <c r="J489" s="31" t="s">
        <v>712</v>
      </c>
      <c r="K489" s="31" t="s">
        <v>48</v>
      </c>
    </row>
    <row r="490" customFormat="false" ht="15" hidden="false" customHeight="false" outlineLevel="0" collapsed="false">
      <c r="A490" s="31" t="s">
        <v>713</v>
      </c>
      <c r="B490" s="31" t="s">
        <v>714</v>
      </c>
      <c r="C490" s="31" t="s">
        <v>50</v>
      </c>
      <c r="D490" s="31" t="s">
        <v>51</v>
      </c>
      <c r="E490" s="31" t="n">
        <v>1</v>
      </c>
      <c r="F490" s="32" t="n">
        <v>-15</v>
      </c>
      <c r="G490" s="32" t="n">
        <v>-15</v>
      </c>
      <c r="H490" s="31" t="s">
        <v>45</v>
      </c>
      <c r="I490" s="31" t="s">
        <v>46</v>
      </c>
      <c r="J490" s="31" t="s">
        <v>100</v>
      </c>
      <c r="K490" s="31" t="s">
        <v>48</v>
      </c>
    </row>
    <row r="491" customFormat="false" ht="15" hidden="false" customHeight="false" outlineLevel="0" collapsed="false">
      <c r="A491" s="31" t="s">
        <v>713</v>
      </c>
      <c r="B491" s="31" t="s">
        <v>714</v>
      </c>
      <c r="C491" s="31" t="s">
        <v>20</v>
      </c>
      <c r="D491" s="31" t="s">
        <v>56</v>
      </c>
      <c r="E491" s="31" t="n">
        <v>2</v>
      </c>
      <c r="F491" s="32" t="n">
        <v>45</v>
      </c>
      <c r="G491" s="32" t="n">
        <v>90</v>
      </c>
      <c r="H491" s="31" t="s">
        <v>45</v>
      </c>
      <c r="I491" s="31" t="s">
        <v>46</v>
      </c>
      <c r="J491" s="31" t="s">
        <v>100</v>
      </c>
      <c r="K491" s="31" t="s">
        <v>48</v>
      </c>
    </row>
    <row r="492" customFormat="false" ht="15" hidden="false" customHeight="false" outlineLevel="0" collapsed="false">
      <c r="A492" s="31" t="s">
        <v>713</v>
      </c>
      <c r="B492" s="31" t="s">
        <v>715</v>
      </c>
      <c r="C492" s="31" t="s">
        <v>44</v>
      </c>
      <c r="D492" s="31" t="s">
        <v>44</v>
      </c>
      <c r="E492" s="31" t="n">
        <v>1</v>
      </c>
      <c r="F492" s="32" t="n">
        <v>4.95</v>
      </c>
      <c r="G492" s="32" t="n">
        <v>4.95</v>
      </c>
      <c r="H492" s="31" t="s">
        <v>45</v>
      </c>
      <c r="I492" s="31" t="s">
        <v>46</v>
      </c>
      <c r="J492" s="31" t="s">
        <v>100</v>
      </c>
      <c r="K492" s="31" t="s">
        <v>48</v>
      </c>
    </row>
    <row r="493" customFormat="false" ht="15" hidden="false" customHeight="false" outlineLevel="0" collapsed="false">
      <c r="A493" s="31" t="s">
        <v>716</v>
      </c>
      <c r="B493" s="31" t="s">
        <v>717</v>
      </c>
      <c r="C493" s="31" t="s">
        <v>20</v>
      </c>
      <c r="D493" s="31" t="s">
        <v>53</v>
      </c>
      <c r="E493" s="31" t="n">
        <v>1</v>
      </c>
      <c r="F493" s="32" t="n">
        <v>39</v>
      </c>
      <c r="G493" s="32" t="n">
        <v>39</v>
      </c>
      <c r="H493" s="31" t="s">
        <v>45</v>
      </c>
      <c r="I493" s="31" t="s">
        <v>58</v>
      </c>
      <c r="J493" s="31" t="s">
        <v>570</v>
      </c>
      <c r="K493" s="31" t="s">
        <v>48</v>
      </c>
    </row>
    <row r="494" customFormat="false" ht="15" hidden="false" customHeight="false" outlineLevel="0" collapsed="false">
      <c r="A494" s="31" t="s">
        <v>718</v>
      </c>
      <c r="B494" s="31" t="s">
        <v>719</v>
      </c>
      <c r="C494" s="31" t="s">
        <v>20</v>
      </c>
      <c r="D494" s="31" t="s">
        <v>87</v>
      </c>
      <c r="E494" s="31" t="n">
        <v>1</v>
      </c>
      <c r="F494" s="32" t="n">
        <v>29.75</v>
      </c>
      <c r="G494" s="32" t="n">
        <v>29.75</v>
      </c>
      <c r="H494" s="31" t="s">
        <v>45</v>
      </c>
      <c r="I494" s="31" t="s">
        <v>58</v>
      </c>
      <c r="J494" s="31" t="s">
        <v>720</v>
      </c>
      <c r="K494" s="31" t="s">
        <v>48</v>
      </c>
    </row>
    <row r="495" customFormat="false" ht="15" hidden="false" customHeight="false" outlineLevel="0" collapsed="false">
      <c r="A495" s="31" t="s">
        <v>718</v>
      </c>
      <c r="B495" s="31" t="s">
        <v>719</v>
      </c>
      <c r="C495" s="31" t="s">
        <v>44</v>
      </c>
      <c r="D495" s="31" t="s">
        <v>44</v>
      </c>
      <c r="E495" s="31" t="n">
        <v>1</v>
      </c>
      <c r="F495" s="32" t="n">
        <v>5.95</v>
      </c>
      <c r="G495" s="32" t="n">
        <v>5.95</v>
      </c>
      <c r="H495" s="31" t="s">
        <v>45</v>
      </c>
      <c r="I495" s="31" t="s">
        <v>58</v>
      </c>
      <c r="J495" s="31" t="s">
        <v>720</v>
      </c>
      <c r="K495" s="31" t="s">
        <v>48</v>
      </c>
    </row>
    <row r="496" customFormat="false" ht="15" hidden="false" customHeight="false" outlineLevel="0" collapsed="false">
      <c r="A496" s="31" t="s">
        <v>718</v>
      </c>
      <c r="B496" s="31" t="s">
        <v>719</v>
      </c>
      <c r="C496" s="31" t="s">
        <v>20</v>
      </c>
      <c r="D496" s="31" t="s">
        <v>78</v>
      </c>
      <c r="E496" s="31" t="n">
        <v>1</v>
      </c>
      <c r="F496" s="32" t="n">
        <v>89</v>
      </c>
      <c r="G496" s="32" t="n">
        <v>89</v>
      </c>
      <c r="H496" s="31" t="s">
        <v>45</v>
      </c>
      <c r="I496" s="31" t="s">
        <v>58</v>
      </c>
      <c r="J496" s="31" t="s">
        <v>720</v>
      </c>
      <c r="K496" s="31" t="s">
        <v>48</v>
      </c>
    </row>
    <row r="497" customFormat="false" ht="15" hidden="false" customHeight="false" outlineLevel="0" collapsed="false">
      <c r="A497" s="31" t="s">
        <v>721</v>
      </c>
      <c r="B497" s="31" t="s">
        <v>722</v>
      </c>
      <c r="C497" s="31" t="s">
        <v>20</v>
      </c>
      <c r="D497" s="31" t="s">
        <v>66</v>
      </c>
      <c r="E497" s="31" t="n">
        <v>1</v>
      </c>
      <c r="F497" s="32" t="n">
        <v>32</v>
      </c>
      <c r="G497" s="32" t="n">
        <v>32</v>
      </c>
      <c r="H497" s="31" t="s">
        <v>45</v>
      </c>
      <c r="I497" s="31" t="s">
        <v>58</v>
      </c>
      <c r="J497" s="31" t="s">
        <v>723</v>
      </c>
      <c r="K497" s="31" t="s">
        <v>48</v>
      </c>
    </row>
    <row r="498" customFormat="false" ht="15" hidden="false" customHeight="false" outlineLevel="0" collapsed="false">
      <c r="A498" s="31" t="s">
        <v>721</v>
      </c>
      <c r="B498" s="31" t="s">
        <v>724</v>
      </c>
      <c r="C498" s="31" t="s">
        <v>20</v>
      </c>
      <c r="D498" s="31" t="s">
        <v>56</v>
      </c>
      <c r="E498" s="31" t="n">
        <v>1</v>
      </c>
      <c r="F498" s="32" t="n">
        <v>45</v>
      </c>
      <c r="G498" s="32" t="n">
        <v>45</v>
      </c>
      <c r="H498" s="31" t="s">
        <v>45</v>
      </c>
      <c r="I498" s="31" t="s">
        <v>58</v>
      </c>
      <c r="J498" s="31" t="s">
        <v>723</v>
      </c>
      <c r="K498" s="31" t="s">
        <v>48</v>
      </c>
    </row>
    <row r="499" customFormat="false" ht="15" hidden="false" customHeight="false" outlineLevel="0" collapsed="false">
      <c r="A499" s="31" t="s">
        <v>725</v>
      </c>
      <c r="B499" s="31" t="s">
        <v>726</v>
      </c>
      <c r="C499" s="31" t="s">
        <v>20</v>
      </c>
      <c r="D499" s="31" t="s">
        <v>78</v>
      </c>
      <c r="E499" s="31" t="n">
        <v>2</v>
      </c>
      <c r="F499" s="32" t="n">
        <v>89</v>
      </c>
      <c r="G499" s="32" t="n">
        <v>178</v>
      </c>
      <c r="H499" s="31" t="s">
        <v>45</v>
      </c>
      <c r="I499" s="31" t="s">
        <v>58</v>
      </c>
      <c r="J499" s="31" t="s">
        <v>727</v>
      </c>
      <c r="K499" s="31" t="s">
        <v>48</v>
      </c>
    </row>
    <row r="500" customFormat="false" ht="15" hidden="false" customHeight="false" outlineLevel="0" collapsed="false">
      <c r="A500" s="31" t="s">
        <v>728</v>
      </c>
      <c r="B500" s="31" t="s">
        <v>729</v>
      </c>
      <c r="C500" s="31" t="s">
        <v>20</v>
      </c>
      <c r="D500" s="31" t="s">
        <v>123</v>
      </c>
      <c r="E500" s="31" t="n">
        <v>1</v>
      </c>
      <c r="F500" s="32" t="n">
        <v>75</v>
      </c>
      <c r="G500" s="32" t="n">
        <v>75</v>
      </c>
      <c r="H500" s="31" t="s">
        <v>45</v>
      </c>
      <c r="I500" s="31" t="s">
        <v>58</v>
      </c>
      <c r="J500" s="31" t="s">
        <v>730</v>
      </c>
      <c r="K500" s="31" t="s">
        <v>48</v>
      </c>
    </row>
    <row r="501" customFormat="false" ht="15" hidden="false" customHeight="false" outlineLevel="0" collapsed="false">
      <c r="A501" s="31" t="s">
        <v>728</v>
      </c>
      <c r="B501" s="31" t="s">
        <v>729</v>
      </c>
      <c r="C501" s="31" t="s">
        <v>44</v>
      </c>
      <c r="D501" s="31" t="s">
        <v>44</v>
      </c>
      <c r="E501" s="31" t="n">
        <v>1</v>
      </c>
      <c r="F501" s="32" t="n">
        <v>4.95</v>
      </c>
      <c r="G501" s="32" t="n">
        <v>4.95</v>
      </c>
      <c r="H501" s="31" t="s">
        <v>45</v>
      </c>
      <c r="I501" s="31" t="s">
        <v>58</v>
      </c>
      <c r="J501" s="31" t="s">
        <v>730</v>
      </c>
      <c r="K501" s="31" t="s">
        <v>48</v>
      </c>
    </row>
    <row r="502" customFormat="false" ht="15" hidden="false" customHeight="false" outlineLevel="0" collapsed="false">
      <c r="A502" s="31" t="s">
        <v>728</v>
      </c>
      <c r="B502" s="31" t="s">
        <v>731</v>
      </c>
      <c r="C502" s="31" t="s">
        <v>44</v>
      </c>
      <c r="D502" s="31" t="s">
        <v>44</v>
      </c>
      <c r="E502" s="31" t="n">
        <v>1</v>
      </c>
      <c r="F502" s="32" t="n">
        <v>4.95</v>
      </c>
      <c r="G502" s="32" t="n">
        <v>4.95</v>
      </c>
      <c r="H502" s="31" t="s">
        <v>45</v>
      </c>
      <c r="I502" s="31" t="s">
        <v>58</v>
      </c>
      <c r="J502" s="31" t="s">
        <v>730</v>
      </c>
      <c r="K502" s="31" t="s">
        <v>48</v>
      </c>
    </row>
    <row r="503" customFormat="false" ht="15" hidden="false" customHeight="false" outlineLevel="0" collapsed="false">
      <c r="A503" s="31" t="s">
        <v>732</v>
      </c>
      <c r="B503" s="31" t="s">
        <v>733</v>
      </c>
      <c r="C503" s="31" t="s">
        <v>44</v>
      </c>
      <c r="D503" s="31" t="s">
        <v>44</v>
      </c>
      <c r="E503" s="31" t="n">
        <v>1</v>
      </c>
      <c r="F503" s="32" t="n">
        <v>5.95</v>
      </c>
      <c r="G503" s="32" t="n">
        <v>5.95</v>
      </c>
      <c r="H503" s="31" t="s">
        <v>45</v>
      </c>
      <c r="I503" s="31" t="s">
        <v>58</v>
      </c>
      <c r="J503" s="31" t="s">
        <v>429</v>
      </c>
      <c r="K503" s="31" t="s">
        <v>48</v>
      </c>
    </row>
    <row r="504" customFormat="false" ht="15" hidden="false" customHeight="false" outlineLevel="0" collapsed="false">
      <c r="A504" s="31" t="s">
        <v>732</v>
      </c>
      <c r="B504" s="31" t="s">
        <v>733</v>
      </c>
      <c r="C504" s="31" t="s">
        <v>20</v>
      </c>
      <c r="D504" s="31" t="s">
        <v>123</v>
      </c>
      <c r="E504" s="31" t="n">
        <v>1</v>
      </c>
      <c r="F504" s="32" t="n">
        <v>75</v>
      </c>
      <c r="G504" s="32" t="n">
        <v>75</v>
      </c>
      <c r="H504" s="31" t="s">
        <v>45</v>
      </c>
      <c r="I504" s="31" t="s">
        <v>58</v>
      </c>
      <c r="J504" s="31" t="s">
        <v>429</v>
      </c>
      <c r="K504" s="31" t="s">
        <v>48</v>
      </c>
    </row>
    <row r="505" customFormat="false" ht="15" hidden="false" customHeight="false" outlineLevel="0" collapsed="false">
      <c r="A505" s="31" t="s">
        <v>734</v>
      </c>
      <c r="B505" s="31" t="s">
        <v>735</v>
      </c>
      <c r="C505" s="31" t="s">
        <v>20</v>
      </c>
      <c r="D505" s="31" t="s">
        <v>66</v>
      </c>
      <c r="E505" s="31" t="n">
        <v>1</v>
      </c>
      <c r="F505" s="32" t="n">
        <v>32</v>
      </c>
      <c r="G505" s="32" t="n">
        <v>32</v>
      </c>
      <c r="H505" s="31" t="s">
        <v>57</v>
      </c>
      <c r="I505" s="31" t="s">
        <v>58</v>
      </c>
      <c r="J505" s="31" t="s">
        <v>708</v>
      </c>
      <c r="K505" s="31" t="s">
        <v>48</v>
      </c>
    </row>
    <row r="506" customFormat="false" ht="15" hidden="false" customHeight="false" outlineLevel="0" collapsed="false">
      <c r="A506" s="31" t="s">
        <v>734</v>
      </c>
      <c r="B506" s="31" t="s">
        <v>735</v>
      </c>
      <c r="C506" s="31" t="s">
        <v>20</v>
      </c>
      <c r="D506" s="31" t="s">
        <v>87</v>
      </c>
      <c r="E506" s="31" t="n">
        <v>1</v>
      </c>
      <c r="F506" s="32" t="n">
        <v>35</v>
      </c>
      <c r="G506" s="32" t="n">
        <v>35</v>
      </c>
      <c r="H506" s="31" t="s">
        <v>57</v>
      </c>
      <c r="I506" s="31" t="s">
        <v>58</v>
      </c>
      <c r="J506" s="31" t="s">
        <v>708</v>
      </c>
      <c r="K506" s="31" t="s">
        <v>48</v>
      </c>
    </row>
    <row r="507" customFormat="false" ht="15" hidden="false" customHeight="false" outlineLevel="0" collapsed="false">
      <c r="A507" s="31" t="s">
        <v>734</v>
      </c>
      <c r="B507" s="31" t="s">
        <v>736</v>
      </c>
      <c r="C507" s="31" t="s">
        <v>44</v>
      </c>
      <c r="D507" s="31" t="s">
        <v>44</v>
      </c>
      <c r="E507" s="31" t="n">
        <v>1</v>
      </c>
      <c r="F507" s="32" t="n">
        <v>0</v>
      </c>
      <c r="G507" s="32" t="n">
        <v>0</v>
      </c>
      <c r="H507" s="31" t="s">
        <v>57</v>
      </c>
      <c r="I507" s="31" t="s">
        <v>58</v>
      </c>
      <c r="J507" s="31" t="s">
        <v>708</v>
      </c>
      <c r="K507" s="31" t="s">
        <v>48</v>
      </c>
    </row>
    <row r="508" customFormat="false" ht="15" hidden="false" customHeight="false" outlineLevel="0" collapsed="false">
      <c r="A508" s="31" t="s">
        <v>737</v>
      </c>
      <c r="B508" s="31" t="s">
        <v>738</v>
      </c>
      <c r="C508" s="31" t="s">
        <v>44</v>
      </c>
      <c r="D508" s="31" t="s">
        <v>44</v>
      </c>
      <c r="E508" s="31" t="n">
        <v>1</v>
      </c>
      <c r="F508" s="32" t="n">
        <v>5.95</v>
      </c>
      <c r="G508" s="32" t="n">
        <v>5.95</v>
      </c>
      <c r="H508" s="31" t="s">
        <v>160</v>
      </c>
      <c r="I508" s="31" t="s">
        <v>58</v>
      </c>
      <c r="J508" s="31" t="s">
        <v>739</v>
      </c>
      <c r="K508" s="31" t="s">
        <v>48</v>
      </c>
    </row>
    <row r="509" customFormat="false" ht="15" hidden="false" customHeight="false" outlineLevel="0" collapsed="false">
      <c r="A509" s="31" t="s">
        <v>737</v>
      </c>
      <c r="B509" s="31" t="s">
        <v>738</v>
      </c>
      <c r="C509" s="31" t="s">
        <v>20</v>
      </c>
      <c r="D509" s="31" t="s">
        <v>56</v>
      </c>
      <c r="E509" s="31" t="n">
        <v>1</v>
      </c>
      <c r="F509" s="32" t="n">
        <v>45</v>
      </c>
      <c r="G509" s="32" t="n">
        <v>45</v>
      </c>
      <c r="H509" s="31" t="s">
        <v>160</v>
      </c>
      <c r="I509" s="31" t="s">
        <v>58</v>
      </c>
      <c r="J509" s="31" t="s">
        <v>739</v>
      </c>
      <c r="K509" s="31" t="s">
        <v>202</v>
      </c>
    </row>
    <row r="510" customFormat="false" ht="15" hidden="false" customHeight="false" outlineLevel="0" collapsed="false">
      <c r="A510" s="31" t="s">
        <v>737</v>
      </c>
      <c r="B510" s="31" t="s">
        <v>738</v>
      </c>
      <c r="C510" s="31" t="s">
        <v>20</v>
      </c>
      <c r="D510" s="31" t="s">
        <v>140</v>
      </c>
      <c r="E510" s="31" t="n">
        <v>2</v>
      </c>
      <c r="F510" s="32" t="n">
        <v>26</v>
      </c>
      <c r="G510" s="32" t="n">
        <v>52</v>
      </c>
      <c r="H510" s="31" t="s">
        <v>160</v>
      </c>
      <c r="I510" s="31" t="s">
        <v>58</v>
      </c>
      <c r="J510" s="31" t="s">
        <v>739</v>
      </c>
      <c r="K510" s="31" t="s">
        <v>48</v>
      </c>
    </row>
    <row r="511" customFormat="false" ht="15" hidden="false" customHeight="false" outlineLevel="0" collapsed="false">
      <c r="A511" s="31" t="s">
        <v>740</v>
      </c>
      <c r="B511" s="31" t="s">
        <v>741</v>
      </c>
      <c r="C511" s="31" t="s">
        <v>44</v>
      </c>
      <c r="D511" s="31" t="s">
        <v>44</v>
      </c>
      <c r="E511" s="31" t="n">
        <v>1</v>
      </c>
      <c r="F511" s="32" t="n">
        <v>3.95</v>
      </c>
      <c r="G511" s="32" t="n">
        <v>3.95</v>
      </c>
      <c r="H511" s="31" t="s">
        <v>57</v>
      </c>
      <c r="I511" s="31" t="s">
        <v>155</v>
      </c>
      <c r="J511" s="31" t="s">
        <v>422</v>
      </c>
      <c r="K511" s="31" t="s">
        <v>48</v>
      </c>
    </row>
    <row r="512" customFormat="false" ht="15" hidden="false" customHeight="false" outlineLevel="0" collapsed="false">
      <c r="A512" s="31" t="s">
        <v>740</v>
      </c>
      <c r="B512" s="31" t="s">
        <v>742</v>
      </c>
      <c r="C512" s="31" t="s">
        <v>20</v>
      </c>
      <c r="D512" s="31" t="s">
        <v>52</v>
      </c>
      <c r="E512" s="31" t="n">
        <v>1</v>
      </c>
      <c r="F512" s="32" t="n">
        <v>19.8</v>
      </c>
      <c r="G512" s="32" t="n">
        <v>19.8</v>
      </c>
      <c r="H512" s="31" t="s">
        <v>57</v>
      </c>
      <c r="I512" s="31" t="s">
        <v>155</v>
      </c>
      <c r="J512" s="31" t="s">
        <v>422</v>
      </c>
      <c r="K512" s="31" t="s">
        <v>48</v>
      </c>
    </row>
    <row r="513" customFormat="false" ht="15" hidden="false" customHeight="false" outlineLevel="0" collapsed="false">
      <c r="A513" s="31" t="s">
        <v>740</v>
      </c>
      <c r="B513" s="31" t="s">
        <v>741</v>
      </c>
      <c r="C513" s="31" t="s">
        <v>20</v>
      </c>
      <c r="D513" s="31" t="s">
        <v>53</v>
      </c>
      <c r="E513" s="31" t="n">
        <v>1</v>
      </c>
      <c r="F513" s="32" t="n">
        <v>39</v>
      </c>
      <c r="G513" s="32" t="n">
        <v>39</v>
      </c>
      <c r="H513" s="31" t="s">
        <v>57</v>
      </c>
      <c r="I513" s="31" t="s">
        <v>155</v>
      </c>
      <c r="J513" s="31" t="s">
        <v>422</v>
      </c>
      <c r="K513" s="31" t="s">
        <v>48</v>
      </c>
    </row>
    <row r="514" customFormat="false" ht="15" hidden="false" customHeight="false" outlineLevel="0" collapsed="false">
      <c r="A514" s="31" t="s">
        <v>743</v>
      </c>
      <c r="B514" s="31" t="s">
        <v>744</v>
      </c>
      <c r="C514" s="31" t="s">
        <v>44</v>
      </c>
      <c r="D514" s="31" t="s">
        <v>44</v>
      </c>
      <c r="E514" s="31" t="n">
        <v>1</v>
      </c>
      <c r="F514" s="32" t="n">
        <v>3.95</v>
      </c>
      <c r="G514" s="32" t="n">
        <v>3.95</v>
      </c>
      <c r="H514" s="31" t="s">
        <v>57</v>
      </c>
      <c r="I514" s="31" t="s">
        <v>104</v>
      </c>
      <c r="J514" s="31" t="s">
        <v>745</v>
      </c>
      <c r="K514" s="31" t="s">
        <v>48</v>
      </c>
    </row>
    <row r="515" customFormat="false" ht="15" hidden="false" customHeight="false" outlineLevel="0" collapsed="false">
      <c r="A515" s="31" t="s">
        <v>743</v>
      </c>
      <c r="B515" s="31" t="s">
        <v>744</v>
      </c>
      <c r="C515" s="31" t="s">
        <v>20</v>
      </c>
      <c r="D515" s="31" t="s">
        <v>78</v>
      </c>
      <c r="E515" s="31" t="n">
        <v>1</v>
      </c>
      <c r="F515" s="32" t="n">
        <v>71.2</v>
      </c>
      <c r="G515" s="32" t="n">
        <v>71.2</v>
      </c>
      <c r="H515" s="31" t="s">
        <v>57</v>
      </c>
      <c r="I515" s="31" t="s">
        <v>104</v>
      </c>
      <c r="J515" s="31" t="s">
        <v>745</v>
      </c>
      <c r="K515" s="31" t="s">
        <v>48</v>
      </c>
    </row>
    <row r="516" customFormat="false" ht="15" hidden="false" customHeight="false" outlineLevel="0" collapsed="false">
      <c r="A516" s="31" t="s">
        <v>743</v>
      </c>
      <c r="B516" s="31" t="s">
        <v>744</v>
      </c>
      <c r="C516" s="31" t="s">
        <v>20</v>
      </c>
      <c r="D516" s="31" t="s">
        <v>52</v>
      </c>
      <c r="E516" s="31" t="n">
        <v>1</v>
      </c>
      <c r="F516" s="32" t="n">
        <v>22</v>
      </c>
      <c r="G516" s="32" t="n">
        <v>22</v>
      </c>
      <c r="H516" s="31" t="s">
        <v>57</v>
      </c>
      <c r="I516" s="31" t="s">
        <v>104</v>
      </c>
      <c r="J516" s="31" t="s">
        <v>745</v>
      </c>
      <c r="K516" s="31" t="s">
        <v>48</v>
      </c>
    </row>
    <row r="517" customFormat="false" ht="15" hidden="false" customHeight="false" outlineLevel="0" collapsed="false">
      <c r="A517" s="31" t="s">
        <v>746</v>
      </c>
      <c r="B517" s="31" t="s">
        <v>747</v>
      </c>
      <c r="C517" s="31" t="s">
        <v>20</v>
      </c>
      <c r="D517" s="31" t="s">
        <v>73</v>
      </c>
      <c r="E517" s="31" t="n">
        <v>1</v>
      </c>
      <c r="F517" s="32" t="n">
        <v>69</v>
      </c>
      <c r="G517" s="32" t="n">
        <v>69</v>
      </c>
      <c r="H517" s="31" t="s">
        <v>45</v>
      </c>
      <c r="I517" s="31" t="s">
        <v>121</v>
      </c>
      <c r="J517" s="31" t="s">
        <v>748</v>
      </c>
      <c r="K517" s="31" t="s">
        <v>48</v>
      </c>
    </row>
    <row r="518" customFormat="false" ht="15" hidden="false" customHeight="false" outlineLevel="0" collapsed="false">
      <c r="A518" s="31" t="s">
        <v>749</v>
      </c>
      <c r="B518" s="31" t="s">
        <v>750</v>
      </c>
      <c r="C518" s="31" t="s">
        <v>20</v>
      </c>
      <c r="D518" s="31" t="s">
        <v>66</v>
      </c>
      <c r="E518" s="31" t="n">
        <v>1</v>
      </c>
      <c r="F518" s="32" t="n">
        <v>32</v>
      </c>
      <c r="G518" s="32" t="n">
        <v>32</v>
      </c>
      <c r="H518" s="31" t="s">
        <v>45</v>
      </c>
      <c r="I518" s="31" t="s">
        <v>58</v>
      </c>
      <c r="J518" s="31" t="s">
        <v>751</v>
      </c>
      <c r="K518" s="31" t="s">
        <v>48</v>
      </c>
    </row>
    <row r="519" customFormat="false" ht="15" hidden="false" customHeight="false" outlineLevel="0" collapsed="false">
      <c r="A519" s="31" t="s">
        <v>749</v>
      </c>
      <c r="B519" s="31" t="s">
        <v>750</v>
      </c>
      <c r="C519" s="31" t="s">
        <v>20</v>
      </c>
      <c r="D519" s="31" t="s">
        <v>78</v>
      </c>
      <c r="E519" s="31" t="n">
        <v>1</v>
      </c>
      <c r="F519" s="32" t="n">
        <v>80.1</v>
      </c>
      <c r="G519" s="32" t="n">
        <v>80.1</v>
      </c>
      <c r="H519" s="31" t="s">
        <v>45</v>
      </c>
      <c r="I519" s="31" t="s">
        <v>58</v>
      </c>
      <c r="J519" s="31" t="s">
        <v>751</v>
      </c>
      <c r="K519" s="31" t="s">
        <v>48</v>
      </c>
    </row>
    <row r="520" customFormat="false" ht="15" hidden="false" customHeight="false" outlineLevel="0" collapsed="false">
      <c r="A520" s="31" t="s">
        <v>749</v>
      </c>
      <c r="B520" s="31" t="s">
        <v>750</v>
      </c>
      <c r="C520" s="31" t="s">
        <v>50</v>
      </c>
      <c r="D520" s="31" t="s">
        <v>51</v>
      </c>
      <c r="E520" s="31" t="n">
        <v>1</v>
      </c>
      <c r="F520" s="32" t="n">
        <v>-5</v>
      </c>
      <c r="G520" s="32" t="n">
        <v>-5</v>
      </c>
      <c r="H520" s="31" t="s">
        <v>45</v>
      </c>
      <c r="I520" s="31" t="s">
        <v>58</v>
      </c>
      <c r="J520" s="31" t="s">
        <v>751</v>
      </c>
      <c r="K520" s="31" t="s">
        <v>48</v>
      </c>
    </row>
    <row r="521" customFormat="false" ht="15" hidden="false" customHeight="false" outlineLevel="0" collapsed="false">
      <c r="A521" s="31" t="s">
        <v>749</v>
      </c>
      <c r="B521" s="31" t="s">
        <v>750</v>
      </c>
      <c r="C521" s="31" t="s">
        <v>20</v>
      </c>
      <c r="D521" s="31" t="s">
        <v>56</v>
      </c>
      <c r="E521" s="31" t="n">
        <v>2</v>
      </c>
      <c r="F521" s="32" t="n">
        <v>45</v>
      </c>
      <c r="G521" s="32" t="n">
        <v>90</v>
      </c>
      <c r="H521" s="31" t="s">
        <v>45</v>
      </c>
      <c r="I521" s="31" t="s">
        <v>58</v>
      </c>
      <c r="J521" s="31" t="s">
        <v>751</v>
      </c>
      <c r="K521" s="31" t="s">
        <v>48</v>
      </c>
    </row>
    <row r="522" customFormat="false" ht="15" hidden="false" customHeight="false" outlineLevel="0" collapsed="false">
      <c r="A522" s="31" t="s">
        <v>752</v>
      </c>
      <c r="B522" s="31" t="s">
        <v>753</v>
      </c>
      <c r="C522" s="31" t="s">
        <v>44</v>
      </c>
      <c r="D522" s="31" t="s">
        <v>44</v>
      </c>
      <c r="E522" s="31" t="n">
        <v>1</v>
      </c>
      <c r="F522" s="32" t="n">
        <v>4.95</v>
      </c>
      <c r="G522" s="32" t="n">
        <v>4.95</v>
      </c>
      <c r="H522" s="31" t="s">
        <v>45</v>
      </c>
      <c r="I522" s="31" t="s">
        <v>58</v>
      </c>
      <c r="J522" s="31" t="s">
        <v>754</v>
      </c>
      <c r="K522" s="31" t="s">
        <v>48</v>
      </c>
    </row>
    <row r="523" customFormat="false" ht="15" hidden="false" customHeight="false" outlineLevel="0" collapsed="false">
      <c r="A523" s="31" t="s">
        <v>752</v>
      </c>
      <c r="B523" s="31" t="s">
        <v>755</v>
      </c>
      <c r="C523" s="31" t="s">
        <v>20</v>
      </c>
      <c r="D523" s="31" t="s">
        <v>53</v>
      </c>
      <c r="E523" s="31" t="n">
        <v>2</v>
      </c>
      <c r="F523" s="32" t="n">
        <v>39</v>
      </c>
      <c r="G523" s="32" t="n">
        <v>78</v>
      </c>
      <c r="H523" s="31" t="s">
        <v>45</v>
      </c>
      <c r="I523" s="31" t="s">
        <v>58</v>
      </c>
      <c r="J523" s="31" t="s">
        <v>754</v>
      </c>
      <c r="K523" s="31" t="s">
        <v>48</v>
      </c>
    </row>
    <row r="524" customFormat="false" ht="15" hidden="false" customHeight="false" outlineLevel="0" collapsed="false">
      <c r="A524" s="31" t="s">
        <v>752</v>
      </c>
      <c r="B524" s="31" t="s">
        <v>755</v>
      </c>
      <c r="C524" s="31" t="s">
        <v>20</v>
      </c>
      <c r="D524" s="31" t="s">
        <v>69</v>
      </c>
      <c r="E524" s="31" t="n">
        <v>1</v>
      </c>
      <c r="F524" s="32" t="n">
        <v>29</v>
      </c>
      <c r="G524" s="32" t="n">
        <v>29</v>
      </c>
      <c r="H524" s="31" t="s">
        <v>45</v>
      </c>
      <c r="I524" s="31" t="s">
        <v>58</v>
      </c>
      <c r="J524" s="31" t="s">
        <v>754</v>
      </c>
      <c r="K524" s="31" t="s">
        <v>48</v>
      </c>
    </row>
    <row r="525" customFormat="false" ht="15" hidden="false" customHeight="false" outlineLevel="0" collapsed="false">
      <c r="A525" s="31" t="s">
        <v>756</v>
      </c>
      <c r="B525" s="31" t="s">
        <v>757</v>
      </c>
      <c r="C525" s="31" t="s">
        <v>44</v>
      </c>
      <c r="D525" s="31" t="s">
        <v>44</v>
      </c>
      <c r="E525" s="31" t="n">
        <v>1</v>
      </c>
      <c r="F525" s="32" t="n">
        <v>5.95</v>
      </c>
      <c r="G525" s="32" t="n">
        <v>5.95</v>
      </c>
      <c r="H525" s="31" t="s">
        <v>45</v>
      </c>
      <c r="I525" s="31" t="s">
        <v>58</v>
      </c>
      <c r="J525" s="31"/>
      <c r="K525" s="31" t="s">
        <v>48</v>
      </c>
    </row>
    <row r="526" customFormat="false" ht="15" hidden="false" customHeight="false" outlineLevel="0" collapsed="false">
      <c r="A526" s="31" t="s">
        <v>756</v>
      </c>
      <c r="B526" s="31" t="s">
        <v>757</v>
      </c>
      <c r="C526" s="31" t="s">
        <v>20</v>
      </c>
      <c r="D526" s="31" t="s">
        <v>52</v>
      </c>
      <c r="E526" s="31" t="n">
        <v>2</v>
      </c>
      <c r="F526" s="32" t="n">
        <v>22</v>
      </c>
      <c r="G526" s="32" t="n">
        <v>44</v>
      </c>
      <c r="H526" s="31" t="s">
        <v>45</v>
      </c>
      <c r="I526" s="31" t="s">
        <v>58</v>
      </c>
      <c r="J526" s="31"/>
      <c r="K526" s="31" t="s">
        <v>48</v>
      </c>
    </row>
    <row r="527" customFormat="false" ht="15" hidden="false" customHeight="false" outlineLevel="0" collapsed="false">
      <c r="A527" s="31" t="s">
        <v>756</v>
      </c>
      <c r="B527" s="31" t="s">
        <v>758</v>
      </c>
      <c r="C527" s="31" t="s">
        <v>20</v>
      </c>
      <c r="D527" s="31" t="s">
        <v>73</v>
      </c>
      <c r="E527" s="31" t="n">
        <v>1</v>
      </c>
      <c r="F527" s="32" t="n">
        <v>69</v>
      </c>
      <c r="G527" s="32" t="n">
        <v>69</v>
      </c>
      <c r="H527" s="31" t="s">
        <v>45</v>
      </c>
      <c r="I527" s="31" t="s">
        <v>58</v>
      </c>
      <c r="J527" s="31"/>
      <c r="K527" s="31" t="s">
        <v>48</v>
      </c>
    </row>
    <row r="528" customFormat="false" ht="15" hidden="false" customHeight="false" outlineLevel="0" collapsed="false">
      <c r="A528" s="31" t="s">
        <v>759</v>
      </c>
      <c r="B528" s="31" t="s">
        <v>760</v>
      </c>
      <c r="C528" s="31" t="s">
        <v>44</v>
      </c>
      <c r="D528" s="31" t="s">
        <v>44</v>
      </c>
      <c r="E528" s="31" t="n">
        <v>1</v>
      </c>
      <c r="F528" s="32" t="n">
        <v>3.95</v>
      </c>
      <c r="G528" s="32" t="n">
        <v>3.95</v>
      </c>
      <c r="H528" s="31" t="s">
        <v>45</v>
      </c>
      <c r="I528" s="31" t="s">
        <v>121</v>
      </c>
      <c r="J528" s="31" t="s">
        <v>761</v>
      </c>
      <c r="K528" s="31" t="s">
        <v>48</v>
      </c>
    </row>
    <row r="529" customFormat="false" ht="15" hidden="false" customHeight="false" outlineLevel="0" collapsed="false">
      <c r="A529" s="31" t="s">
        <v>759</v>
      </c>
      <c r="B529" s="31" t="s">
        <v>760</v>
      </c>
      <c r="C529" s="31" t="s">
        <v>20</v>
      </c>
      <c r="D529" s="31" t="s">
        <v>53</v>
      </c>
      <c r="E529" s="31" t="n">
        <v>2</v>
      </c>
      <c r="F529" s="32" t="n">
        <v>39</v>
      </c>
      <c r="G529" s="32" t="n">
        <v>78</v>
      </c>
      <c r="H529" s="31" t="s">
        <v>45</v>
      </c>
      <c r="I529" s="31" t="s">
        <v>121</v>
      </c>
      <c r="J529" s="31" t="s">
        <v>761</v>
      </c>
      <c r="K529" s="31" t="s">
        <v>48</v>
      </c>
    </row>
    <row r="530" customFormat="false" ht="15" hidden="false" customHeight="false" outlineLevel="0" collapsed="false">
      <c r="A530" s="31" t="s">
        <v>661</v>
      </c>
      <c r="B530" s="31" t="s">
        <v>762</v>
      </c>
      <c r="C530" s="31" t="s">
        <v>20</v>
      </c>
      <c r="D530" s="31" t="s">
        <v>69</v>
      </c>
      <c r="E530" s="31" t="n">
        <v>-1</v>
      </c>
      <c r="F530" s="32" t="n">
        <v>29</v>
      </c>
      <c r="G530" s="32" t="n">
        <v>-29</v>
      </c>
      <c r="H530" s="31" t="s">
        <v>45</v>
      </c>
      <c r="I530" s="31" t="s">
        <v>58</v>
      </c>
      <c r="J530" s="31" t="s">
        <v>663</v>
      </c>
      <c r="K530" s="31" t="s">
        <v>243</v>
      </c>
    </row>
    <row r="531" customFormat="false" ht="15" hidden="false" customHeight="false" outlineLevel="0" collapsed="false">
      <c r="A531" s="31" t="s">
        <v>763</v>
      </c>
      <c r="B531" s="31" t="s">
        <v>764</v>
      </c>
      <c r="C531" s="31" t="s">
        <v>20</v>
      </c>
      <c r="D531" s="31" t="s">
        <v>123</v>
      </c>
      <c r="E531" s="31" t="n">
        <v>1</v>
      </c>
      <c r="F531" s="32" t="n">
        <v>60</v>
      </c>
      <c r="G531" s="32" t="n">
        <v>60</v>
      </c>
      <c r="H531" s="31" t="s">
        <v>45</v>
      </c>
      <c r="I531" s="31" t="s">
        <v>58</v>
      </c>
      <c r="J531" s="31" t="s">
        <v>534</v>
      </c>
      <c r="K531" s="31" t="s">
        <v>48</v>
      </c>
    </row>
    <row r="532" customFormat="false" ht="15" hidden="false" customHeight="false" outlineLevel="0" collapsed="false">
      <c r="A532" s="31" t="s">
        <v>763</v>
      </c>
      <c r="B532" s="31" t="s">
        <v>765</v>
      </c>
      <c r="C532" s="31" t="s">
        <v>44</v>
      </c>
      <c r="D532" s="31" t="s">
        <v>44</v>
      </c>
      <c r="E532" s="31" t="n">
        <v>1</v>
      </c>
      <c r="F532" s="32" t="n">
        <v>0</v>
      </c>
      <c r="G532" s="32" t="n">
        <v>0</v>
      </c>
      <c r="H532" s="31" t="s">
        <v>45</v>
      </c>
      <c r="I532" s="31" t="s">
        <v>58</v>
      </c>
      <c r="J532" s="31" t="s">
        <v>534</v>
      </c>
      <c r="K532" s="31" t="s">
        <v>48</v>
      </c>
    </row>
    <row r="533" customFormat="false" ht="15" hidden="false" customHeight="false" outlineLevel="0" collapsed="false">
      <c r="A533" s="31" t="s">
        <v>766</v>
      </c>
      <c r="B533" s="31" t="s">
        <v>767</v>
      </c>
      <c r="C533" s="31" t="s">
        <v>20</v>
      </c>
      <c r="D533" s="31" t="s">
        <v>73</v>
      </c>
      <c r="E533" s="31" t="n">
        <v>1</v>
      </c>
      <c r="F533" s="32" t="n">
        <v>69</v>
      </c>
      <c r="G533" s="32" t="n">
        <v>69</v>
      </c>
      <c r="H533" s="31" t="s">
        <v>57</v>
      </c>
      <c r="I533" s="31" t="s">
        <v>58</v>
      </c>
      <c r="J533" s="31" t="s">
        <v>345</v>
      </c>
      <c r="K533" s="31" t="s">
        <v>48</v>
      </c>
    </row>
    <row r="534" customFormat="false" ht="15" hidden="false" customHeight="false" outlineLevel="0" collapsed="false">
      <c r="A534" s="31" t="s">
        <v>766</v>
      </c>
      <c r="B534" s="31" t="s">
        <v>767</v>
      </c>
      <c r="C534" s="31" t="s">
        <v>20</v>
      </c>
      <c r="D534" s="31" t="s">
        <v>87</v>
      </c>
      <c r="E534" s="31" t="n">
        <v>1</v>
      </c>
      <c r="F534" s="32" t="n">
        <v>35</v>
      </c>
      <c r="G534" s="32" t="n">
        <v>35</v>
      </c>
      <c r="H534" s="31" t="s">
        <v>57</v>
      </c>
      <c r="I534" s="31" t="s">
        <v>58</v>
      </c>
      <c r="J534" s="31" t="s">
        <v>345</v>
      </c>
      <c r="K534" s="31" t="s">
        <v>48</v>
      </c>
    </row>
    <row r="535" customFormat="false" ht="15" hidden="false" customHeight="false" outlineLevel="0" collapsed="false">
      <c r="A535" s="31" t="s">
        <v>768</v>
      </c>
      <c r="B535" s="31" t="s">
        <v>769</v>
      </c>
      <c r="C535" s="31" t="s">
        <v>20</v>
      </c>
      <c r="D535" s="31" t="s">
        <v>78</v>
      </c>
      <c r="E535" s="31" t="n">
        <v>1</v>
      </c>
      <c r="F535" s="32" t="n">
        <v>89</v>
      </c>
      <c r="G535" s="32" t="n">
        <v>89</v>
      </c>
      <c r="H535" s="31" t="s">
        <v>45</v>
      </c>
      <c r="I535" s="31" t="s">
        <v>58</v>
      </c>
      <c r="J535" s="31" t="s">
        <v>770</v>
      </c>
      <c r="K535" s="31" t="s">
        <v>48</v>
      </c>
    </row>
    <row r="536" customFormat="false" ht="15" hidden="false" customHeight="false" outlineLevel="0" collapsed="false">
      <c r="A536" s="31" t="s">
        <v>768</v>
      </c>
      <c r="B536" s="31" t="s">
        <v>769</v>
      </c>
      <c r="C536" s="31" t="s">
        <v>44</v>
      </c>
      <c r="D536" s="31" t="s">
        <v>44</v>
      </c>
      <c r="E536" s="31" t="n">
        <v>1</v>
      </c>
      <c r="F536" s="32" t="n">
        <v>0</v>
      </c>
      <c r="G536" s="32" t="n">
        <v>0</v>
      </c>
      <c r="H536" s="31" t="s">
        <v>45</v>
      </c>
      <c r="I536" s="31" t="s">
        <v>58</v>
      </c>
      <c r="J536" s="31" t="s">
        <v>770</v>
      </c>
      <c r="K536" s="31" t="s">
        <v>48</v>
      </c>
    </row>
    <row r="537" customFormat="false" ht="15" hidden="false" customHeight="false" outlineLevel="0" collapsed="false">
      <c r="A537" s="31" t="s">
        <v>771</v>
      </c>
      <c r="B537" s="31" t="s">
        <v>772</v>
      </c>
      <c r="C537" s="31" t="s">
        <v>20</v>
      </c>
      <c r="D537" s="31" t="s">
        <v>53</v>
      </c>
      <c r="E537" s="31" t="n">
        <v>1</v>
      </c>
      <c r="F537" s="32" t="n">
        <v>35.1</v>
      </c>
      <c r="G537" s="32" t="n">
        <v>35.1</v>
      </c>
      <c r="H537" s="31" t="s">
        <v>45</v>
      </c>
      <c r="I537" s="31" t="s">
        <v>58</v>
      </c>
      <c r="J537" s="31" t="s">
        <v>773</v>
      </c>
      <c r="K537" s="31" t="s">
        <v>48</v>
      </c>
    </row>
    <row r="538" customFormat="false" ht="15" hidden="false" customHeight="false" outlineLevel="0" collapsed="false">
      <c r="A538" s="31" t="s">
        <v>774</v>
      </c>
      <c r="B538" s="31" t="s">
        <v>775</v>
      </c>
      <c r="C538" s="31" t="s">
        <v>20</v>
      </c>
      <c r="D538" s="31" t="s">
        <v>53</v>
      </c>
      <c r="E538" s="31" t="n">
        <v>1</v>
      </c>
      <c r="F538" s="32" t="n">
        <v>39</v>
      </c>
      <c r="G538" s="32" t="n">
        <v>39</v>
      </c>
      <c r="H538" s="31" t="s">
        <v>145</v>
      </c>
      <c r="I538" s="31" t="s">
        <v>58</v>
      </c>
      <c r="J538" s="31" t="s">
        <v>776</v>
      </c>
      <c r="K538" s="31" t="s">
        <v>48</v>
      </c>
    </row>
    <row r="539" customFormat="false" ht="15" hidden="false" customHeight="false" outlineLevel="0" collapsed="false">
      <c r="A539" s="31" t="s">
        <v>774</v>
      </c>
      <c r="B539" s="31" t="s">
        <v>775</v>
      </c>
      <c r="C539" s="31" t="s">
        <v>20</v>
      </c>
      <c r="D539" s="31" t="s">
        <v>69</v>
      </c>
      <c r="E539" s="31" t="n">
        <v>1</v>
      </c>
      <c r="F539" s="32" t="n">
        <v>29</v>
      </c>
      <c r="G539" s="32" t="n">
        <v>29</v>
      </c>
      <c r="H539" s="31" t="s">
        <v>145</v>
      </c>
      <c r="I539" s="31" t="s">
        <v>58</v>
      </c>
      <c r="J539" s="31" t="s">
        <v>776</v>
      </c>
      <c r="K539" s="31" t="s">
        <v>48</v>
      </c>
    </row>
    <row r="540" customFormat="false" ht="15" hidden="false" customHeight="false" outlineLevel="0" collapsed="false">
      <c r="A540" s="31" t="s">
        <v>774</v>
      </c>
      <c r="B540" s="31" t="s">
        <v>775</v>
      </c>
      <c r="C540" s="31" t="s">
        <v>20</v>
      </c>
      <c r="D540" s="31" t="s">
        <v>63</v>
      </c>
      <c r="E540" s="31" t="n">
        <v>1</v>
      </c>
      <c r="F540" s="32" t="n">
        <v>14</v>
      </c>
      <c r="G540" s="32" t="n">
        <v>14</v>
      </c>
      <c r="H540" s="31" t="s">
        <v>145</v>
      </c>
      <c r="I540" s="31" t="s">
        <v>58</v>
      </c>
      <c r="J540" s="31" t="s">
        <v>776</v>
      </c>
      <c r="K540" s="31" t="s">
        <v>48</v>
      </c>
    </row>
    <row r="541" customFormat="false" ht="15" hidden="false" customHeight="false" outlineLevel="0" collapsed="false">
      <c r="A541" s="31" t="s">
        <v>774</v>
      </c>
      <c r="B541" s="31" t="s">
        <v>775</v>
      </c>
      <c r="C541" s="31" t="s">
        <v>44</v>
      </c>
      <c r="D541" s="31" t="s">
        <v>44</v>
      </c>
      <c r="E541" s="31" t="n">
        <v>1</v>
      </c>
      <c r="F541" s="32" t="n">
        <v>3.95</v>
      </c>
      <c r="G541" s="32" t="n">
        <v>3.95</v>
      </c>
      <c r="H541" s="31" t="s">
        <v>145</v>
      </c>
      <c r="I541" s="31" t="s">
        <v>58</v>
      </c>
      <c r="J541" s="31" t="s">
        <v>776</v>
      </c>
      <c r="K541" s="31" t="s">
        <v>48</v>
      </c>
    </row>
    <row r="542" customFormat="false" ht="15" hidden="false" customHeight="false" outlineLevel="0" collapsed="false">
      <c r="A542" s="31" t="s">
        <v>774</v>
      </c>
      <c r="B542" s="31" t="s">
        <v>777</v>
      </c>
      <c r="C542" s="31" t="s">
        <v>50</v>
      </c>
      <c r="D542" s="31" t="s">
        <v>51</v>
      </c>
      <c r="E542" s="31" t="n">
        <v>1</v>
      </c>
      <c r="F542" s="32" t="n">
        <v>-5</v>
      </c>
      <c r="G542" s="32" t="n">
        <v>-5</v>
      </c>
      <c r="H542" s="31" t="s">
        <v>145</v>
      </c>
      <c r="I542" s="31" t="s">
        <v>58</v>
      </c>
      <c r="J542" s="31" t="s">
        <v>776</v>
      </c>
      <c r="K542" s="31" t="s">
        <v>48</v>
      </c>
    </row>
    <row r="543" customFormat="false" ht="15" hidden="false" customHeight="false" outlineLevel="0" collapsed="false">
      <c r="A543" s="31" t="s">
        <v>778</v>
      </c>
      <c r="B543" s="31" t="s">
        <v>779</v>
      </c>
      <c r="C543" s="31" t="s">
        <v>20</v>
      </c>
      <c r="D543" s="31" t="s">
        <v>140</v>
      </c>
      <c r="E543" s="31" t="n">
        <v>1</v>
      </c>
      <c r="F543" s="32" t="n">
        <v>26</v>
      </c>
      <c r="G543" s="32" t="n">
        <v>26</v>
      </c>
      <c r="H543" s="31" t="s">
        <v>45</v>
      </c>
      <c r="I543" s="31" t="s">
        <v>58</v>
      </c>
      <c r="J543" s="31" t="s">
        <v>208</v>
      </c>
      <c r="K543" s="31" t="s">
        <v>48</v>
      </c>
    </row>
    <row r="544" customFormat="false" ht="15" hidden="false" customHeight="false" outlineLevel="0" collapsed="false">
      <c r="A544" s="31" t="s">
        <v>778</v>
      </c>
      <c r="B544" s="31" t="s">
        <v>779</v>
      </c>
      <c r="C544" s="31" t="s">
        <v>20</v>
      </c>
      <c r="D544" s="31" t="s">
        <v>52</v>
      </c>
      <c r="E544" s="31" t="n">
        <v>1</v>
      </c>
      <c r="F544" s="32" t="n">
        <v>22</v>
      </c>
      <c r="G544" s="32" t="n">
        <v>22</v>
      </c>
      <c r="H544" s="31" t="s">
        <v>45</v>
      </c>
      <c r="I544" s="31" t="s">
        <v>58</v>
      </c>
      <c r="J544" s="31" t="s">
        <v>208</v>
      </c>
      <c r="K544" s="31" t="s">
        <v>48</v>
      </c>
    </row>
    <row r="545" customFormat="false" ht="15" hidden="false" customHeight="false" outlineLevel="0" collapsed="false">
      <c r="A545" s="31" t="s">
        <v>778</v>
      </c>
      <c r="B545" s="31" t="s">
        <v>779</v>
      </c>
      <c r="C545" s="31" t="s">
        <v>20</v>
      </c>
      <c r="D545" s="31" t="s">
        <v>53</v>
      </c>
      <c r="E545" s="31" t="n">
        <v>1</v>
      </c>
      <c r="F545" s="32" t="n">
        <v>39</v>
      </c>
      <c r="G545" s="32" t="n">
        <v>39</v>
      </c>
      <c r="H545" s="31" t="s">
        <v>45</v>
      </c>
      <c r="I545" s="31" t="s">
        <v>58</v>
      </c>
      <c r="J545" s="31" t="s">
        <v>208</v>
      </c>
      <c r="K545" s="31" t="s">
        <v>48</v>
      </c>
    </row>
    <row r="546" customFormat="false" ht="15" hidden="false" customHeight="false" outlineLevel="0" collapsed="false">
      <c r="A546" s="31" t="s">
        <v>780</v>
      </c>
      <c r="B546" s="31" t="s">
        <v>781</v>
      </c>
      <c r="C546" s="31" t="s">
        <v>20</v>
      </c>
      <c r="D546" s="31" t="s">
        <v>78</v>
      </c>
      <c r="E546" s="31" t="n">
        <v>1</v>
      </c>
      <c r="F546" s="32" t="n">
        <v>89</v>
      </c>
      <c r="G546" s="32" t="n">
        <v>89</v>
      </c>
      <c r="H546" s="31" t="s">
        <v>57</v>
      </c>
      <c r="I546" s="31" t="s">
        <v>58</v>
      </c>
      <c r="J546" s="31" t="s">
        <v>782</v>
      </c>
      <c r="K546" s="31" t="s">
        <v>48</v>
      </c>
    </row>
    <row r="547" customFormat="false" ht="15" hidden="false" customHeight="false" outlineLevel="0" collapsed="false">
      <c r="A547" s="31" t="s">
        <v>780</v>
      </c>
      <c r="B547" s="31" t="s">
        <v>783</v>
      </c>
      <c r="C547" s="31" t="s">
        <v>20</v>
      </c>
      <c r="D547" s="31" t="s">
        <v>69</v>
      </c>
      <c r="E547" s="31" t="n">
        <v>1</v>
      </c>
      <c r="F547" s="32" t="n">
        <v>29</v>
      </c>
      <c r="G547" s="32" t="n">
        <v>29</v>
      </c>
      <c r="H547" s="31" t="s">
        <v>57</v>
      </c>
      <c r="I547" s="31" t="s">
        <v>58</v>
      </c>
      <c r="J547" s="31" t="s">
        <v>782</v>
      </c>
      <c r="K547" s="31" t="s">
        <v>48</v>
      </c>
    </row>
    <row r="548" customFormat="false" ht="15" hidden="false" customHeight="false" outlineLevel="0" collapsed="false">
      <c r="A548" s="31" t="s">
        <v>780</v>
      </c>
      <c r="B548" s="31" t="s">
        <v>781</v>
      </c>
      <c r="C548" s="31" t="s">
        <v>44</v>
      </c>
      <c r="D548" s="31" t="s">
        <v>44</v>
      </c>
      <c r="E548" s="31" t="n">
        <v>1</v>
      </c>
      <c r="F548" s="32" t="n">
        <v>5.95</v>
      </c>
      <c r="G548" s="32" t="n">
        <v>5.95</v>
      </c>
      <c r="H548" s="31" t="s">
        <v>57</v>
      </c>
      <c r="I548" s="31" t="s">
        <v>58</v>
      </c>
      <c r="J548" s="31" t="s">
        <v>782</v>
      </c>
      <c r="K548" s="31" t="s">
        <v>48</v>
      </c>
    </row>
    <row r="549" customFormat="false" ht="15" hidden="false" customHeight="false" outlineLevel="0" collapsed="false">
      <c r="A549" s="31" t="s">
        <v>784</v>
      </c>
      <c r="B549" s="31" t="s">
        <v>785</v>
      </c>
      <c r="C549" s="31" t="s">
        <v>44</v>
      </c>
      <c r="D549" s="31" t="s">
        <v>44</v>
      </c>
      <c r="E549" s="31" t="n">
        <v>1</v>
      </c>
      <c r="F549" s="32" t="n">
        <v>3.95</v>
      </c>
      <c r="G549" s="32" t="n">
        <v>3.95</v>
      </c>
      <c r="H549" s="31" t="s">
        <v>184</v>
      </c>
      <c r="I549" s="31" t="s">
        <v>58</v>
      </c>
      <c r="J549" s="31" t="s">
        <v>786</v>
      </c>
      <c r="K549" s="31" t="s">
        <v>48</v>
      </c>
    </row>
    <row r="550" customFormat="false" ht="15" hidden="false" customHeight="false" outlineLevel="0" collapsed="false">
      <c r="A550" s="31" t="s">
        <v>784</v>
      </c>
      <c r="B550" s="31" t="s">
        <v>785</v>
      </c>
      <c r="C550" s="31" t="s">
        <v>20</v>
      </c>
      <c r="D550" s="31" t="s">
        <v>63</v>
      </c>
      <c r="E550" s="31" t="n">
        <v>1</v>
      </c>
      <c r="F550" s="32" t="n">
        <v>14</v>
      </c>
      <c r="G550" s="32" t="n">
        <v>14</v>
      </c>
      <c r="H550" s="31" t="s">
        <v>184</v>
      </c>
      <c r="I550" s="31" t="s">
        <v>58</v>
      </c>
      <c r="J550" s="31" t="s">
        <v>786</v>
      </c>
      <c r="K550" s="31" t="s">
        <v>48</v>
      </c>
    </row>
    <row r="551" customFormat="false" ht="15" hidden="false" customHeight="false" outlineLevel="0" collapsed="false">
      <c r="A551" s="31" t="s">
        <v>787</v>
      </c>
      <c r="B551" s="31" t="s">
        <v>788</v>
      </c>
      <c r="C551" s="31" t="s">
        <v>20</v>
      </c>
      <c r="D551" s="31" t="s">
        <v>66</v>
      </c>
      <c r="E551" s="31" t="n">
        <v>2</v>
      </c>
      <c r="F551" s="32" t="n">
        <v>32</v>
      </c>
      <c r="G551" s="32" t="n">
        <v>64</v>
      </c>
      <c r="H551" s="31" t="s">
        <v>45</v>
      </c>
      <c r="I551" s="31" t="s">
        <v>104</v>
      </c>
      <c r="J551" s="31" t="s">
        <v>789</v>
      </c>
      <c r="K551" s="31" t="s">
        <v>48</v>
      </c>
    </row>
    <row r="552" customFormat="false" ht="15" hidden="false" customHeight="false" outlineLevel="0" collapsed="false">
      <c r="A552" s="31" t="s">
        <v>787</v>
      </c>
      <c r="B552" s="31" t="s">
        <v>790</v>
      </c>
      <c r="C552" s="31" t="s">
        <v>20</v>
      </c>
      <c r="D552" s="31" t="s">
        <v>73</v>
      </c>
      <c r="E552" s="31" t="n">
        <v>1</v>
      </c>
      <c r="F552" s="32" t="n">
        <v>69</v>
      </c>
      <c r="G552" s="32" t="n">
        <v>69</v>
      </c>
      <c r="H552" s="31" t="s">
        <v>45</v>
      </c>
      <c r="I552" s="31" t="s">
        <v>104</v>
      </c>
      <c r="J552" s="31" t="s">
        <v>789</v>
      </c>
      <c r="K552" s="31" t="s">
        <v>48</v>
      </c>
    </row>
    <row r="553" customFormat="false" ht="15" hidden="false" customHeight="false" outlineLevel="0" collapsed="false">
      <c r="A553" s="31" t="s">
        <v>787</v>
      </c>
      <c r="B553" s="31" t="s">
        <v>788</v>
      </c>
      <c r="C553" s="31" t="s">
        <v>20</v>
      </c>
      <c r="D553" s="31" t="s">
        <v>52</v>
      </c>
      <c r="E553" s="31" t="n">
        <v>1</v>
      </c>
      <c r="F553" s="32" t="n">
        <v>19.8</v>
      </c>
      <c r="G553" s="32" t="n">
        <v>19.8</v>
      </c>
      <c r="H553" s="31" t="s">
        <v>45</v>
      </c>
      <c r="I553" s="31" t="s">
        <v>104</v>
      </c>
      <c r="J553" s="31" t="s">
        <v>789</v>
      </c>
      <c r="K553" s="31" t="s">
        <v>48</v>
      </c>
    </row>
    <row r="554" customFormat="false" ht="15" hidden="false" customHeight="false" outlineLevel="0" collapsed="false">
      <c r="A554" s="31" t="s">
        <v>787</v>
      </c>
      <c r="B554" s="31" t="s">
        <v>788</v>
      </c>
      <c r="C554" s="31" t="s">
        <v>44</v>
      </c>
      <c r="D554" s="31" t="s">
        <v>44</v>
      </c>
      <c r="E554" s="31" t="n">
        <v>1</v>
      </c>
      <c r="F554" s="32" t="n">
        <v>4.95</v>
      </c>
      <c r="G554" s="32" t="n">
        <v>4.95</v>
      </c>
      <c r="H554" s="31" t="s">
        <v>45</v>
      </c>
      <c r="I554" s="31" t="s">
        <v>104</v>
      </c>
      <c r="J554" s="31" t="s">
        <v>789</v>
      </c>
      <c r="K554" s="31" t="s">
        <v>48</v>
      </c>
    </row>
    <row r="555" customFormat="false" ht="15" hidden="false" customHeight="false" outlineLevel="0" collapsed="false">
      <c r="A555" s="31" t="s">
        <v>791</v>
      </c>
      <c r="B555" s="31" t="s">
        <v>792</v>
      </c>
      <c r="C555" s="31" t="s">
        <v>44</v>
      </c>
      <c r="D555" s="31" t="s">
        <v>44</v>
      </c>
      <c r="E555" s="31" t="n">
        <v>1</v>
      </c>
      <c r="F555" s="32" t="n">
        <v>3.95</v>
      </c>
      <c r="G555" s="32" t="n">
        <v>3.95</v>
      </c>
      <c r="H555" s="31" t="s">
        <v>45</v>
      </c>
      <c r="I555" s="31" t="s">
        <v>104</v>
      </c>
      <c r="J555" s="31" t="s">
        <v>793</v>
      </c>
      <c r="K555" s="31" t="s">
        <v>48</v>
      </c>
    </row>
    <row r="556" customFormat="false" ht="15" hidden="false" customHeight="false" outlineLevel="0" collapsed="false">
      <c r="A556" s="31" t="s">
        <v>791</v>
      </c>
      <c r="B556" s="31" t="s">
        <v>792</v>
      </c>
      <c r="C556" s="31" t="s">
        <v>20</v>
      </c>
      <c r="D556" s="31" t="s">
        <v>66</v>
      </c>
      <c r="E556" s="31" t="n">
        <v>1</v>
      </c>
      <c r="F556" s="32" t="n">
        <v>32</v>
      </c>
      <c r="G556" s="32" t="n">
        <v>32</v>
      </c>
      <c r="H556" s="31" t="s">
        <v>45</v>
      </c>
      <c r="I556" s="31" t="s">
        <v>104</v>
      </c>
      <c r="J556" s="31" t="s">
        <v>793</v>
      </c>
      <c r="K556" s="31" t="s">
        <v>48</v>
      </c>
    </row>
    <row r="557" customFormat="false" ht="15" hidden="false" customHeight="false" outlineLevel="0" collapsed="false">
      <c r="A557" s="31" t="s">
        <v>794</v>
      </c>
      <c r="B557" s="31" t="s">
        <v>795</v>
      </c>
      <c r="C557" s="31" t="s">
        <v>20</v>
      </c>
      <c r="D557" s="31" t="s">
        <v>69</v>
      </c>
      <c r="E557" s="31" t="n">
        <v>1</v>
      </c>
      <c r="F557" s="32" t="n">
        <v>29</v>
      </c>
      <c r="G557" s="32" t="n">
        <v>29</v>
      </c>
      <c r="H557" s="31" t="s">
        <v>45</v>
      </c>
      <c r="I557" s="31" t="s">
        <v>104</v>
      </c>
      <c r="J557" s="31" t="s">
        <v>225</v>
      </c>
      <c r="K557" s="31" t="s">
        <v>48</v>
      </c>
    </row>
    <row r="558" customFormat="false" ht="15" hidden="false" customHeight="false" outlineLevel="0" collapsed="false">
      <c r="A558" s="31" t="s">
        <v>794</v>
      </c>
      <c r="B558" s="31" t="s">
        <v>796</v>
      </c>
      <c r="C558" s="31" t="s">
        <v>44</v>
      </c>
      <c r="D558" s="31" t="s">
        <v>44</v>
      </c>
      <c r="E558" s="31" t="n">
        <v>1</v>
      </c>
      <c r="F558" s="32" t="n">
        <v>4.95</v>
      </c>
      <c r="G558" s="32" t="n">
        <v>4.95</v>
      </c>
      <c r="H558" s="31" t="s">
        <v>45</v>
      </c>
      <c r="I558" s="31" t="s">
        <v>104</v>
      </c>
      <c r="J558" s="31" t="s">
        <v>225</v>
      </c>
      <c r="K558" s="31" t="s">
        <v>48</v>
      </c>
    </row>
    <row r="559" customFormat="false" ht="15" hidden="false" customHeight="false" outlineLevel="0" collapsed="false">
      <c r="A559" s="31" t="s">
        <v>797</v>
      </c>
      <c r="B559" s="31" t="s">
        <v>798</v>
      </c>
      <c r="C559" s="31" t="s">
        <v>44</v>
      </c>
      <c r="D559" s="31" t="s">
        <v>44</v>
      </c>
      <c r="E559" s="31" t="n">
        <v>1</v>
      </c>
      <c r="F559" s="32" t="n">
        <v>3.95</v>
      </c>
      <c r="G559" s="32" t="n">
        <v>3.95</v>
      </c>
      <c r="H559" s="31" t="s">
        <v>45</v>
      </c>
      <c r="I559" s="31" t="s">
        <v>58</v>
      </c>
      <c r="J559" s="31"/>
      <c r="K559" s="31" t="s">
        <v>48</v>
      </c>
    </row>
    <row r="560" customFormat="false" ht="15" hidden="false" customHeight="false" outlineLevel="0" collapsed="false">
      <c r="A560" s="31" t="s">
        <v>797</v>
      </c>
      <c r="B560" s="31" t="s">
        <v>798</v>
      </c>
      <c r="C560" s="31" t="s">
        <v>20</v>
      </c>
      <c r="D560" s="31" t="s">
        <v>53</v>
      </c>
      <c r="E560" s="31" t="n">
        <v>1</v>
      </c>
      <c r="F560" s="32" t="n">
        <v>39</v>
      </c>
      <c r="G560" s="32" t="n">
        <v>39</v>
      </c>
      <c r="H560" s="31" t="s">
        <v>45</v>
      </c>
      <c r="I560" s="31" t="s">
        <v>58</v>
      </c>
      <c r="J560" s="31"/>
      <c r="K560" s="31" t="s">
        <v>48</v>
      </c>
    </row>
    <row r="561" customFormat="false" ht="15" hidden="false" customHeight="false" outlineLevel="0" collapsed="false">
      <c r="A561" s="31" t="s">
        <v>797</v>
      </c>
      <c r="B561" s="31" t="s">
        <v>798</v>
      </c>
      <c r="C561" s="31" t="s">
        <v>20</v>
      </c>
      <c r="D561" s="31" t="s">
        <v>69</v>
      </c>
      <c r="E561" s="31" t="n">
        <v>2</v>
      </c>
      <c r="F561" s="32" t="n">
        <v>29</v>
      </c>
      <c r="G561" s="32" t="n">
        <v>58</v>
      </c>
      <c r="H561" s="31" t="s">
        <v>45</v>
      </c>
      <c r="I561" s="31" t="s">
        <v>58</v>
      </c>
      <c r="J561" s="31"/>
      <c r="K561" s="31" t="s">
        <v>48</v>
      </c>
    </row>
    <row r="562" customFormat="false" ht="15" hidden="false" customHeight="false" outlineLevel="0" collapsed="false">
      <c r="A562" s="31" t="s">
        <v>799</v>
      </c>
      <c r="B562" s="31" t="s">
        <v>800</v>
      </c>
      <c r="C562" s="31" t="s">
        <v>44</v>
      </c>
      <c r="D562" s="31" t="s">
        <v>44</v>
      </c>
      <c r="E562" s="31" t="n">
        <v>1</v>
      </c>
      <c r="F562" s="32" t="n">
        <v>0</v>
      </c>
      <c r="G562" s="32" t="n">
        <v>0</v>
      </c>
      <c r="H562" s="31" t="s">
        <v>45</v>
      </c>
      <c r="I562" s="31" t="s">
        <v>84</v>
      </c>
      <c r="J562" s="31" t="s">
        <v>801</v>
      </c>
      <c r="K562" s="31" t="s">
        <v>48</v>
      </c>
    </row>
    <row r="563" customFormat="false" ht="15" hidden="false" customHeight="false" outlineLevel="0" collapsed="false">
      <c r="A563" s="31" t="s">
        <v>799</v>
      </c>
      <c r="B563" s="31" t="s">
        <v>802</v>
      </c>
      <c r="C563" s="31" t="s">
        <v>20</v>
      </c>
      <c r="D563" s="31" t="s">
        <v>53</v>
      </c>
      <c r="E563" s="31" t="n">
        <v>1</v>
      </c>
      <c r="F563" s="32" t="n">
        <v>39</v>
      </c>
      <c r="G563" s="32" t="n">
        <v>39</v>
      </c>
      <c r="H563" s="31" t="s">
        <v>45</v>
      </c>
      <c r="I563" s="31" t="s">
        <v>84</v>
      </c>
      <c r="J563" s="31" t="s">
        <v>801</v>
      </c>
      <c r="K563" s="31" t="s">
        <v>48</v>
      </c>
    </row>
    <row r="564" customFormat="false" ht="15" hidden="false" customHeight="false" outlineLevel="0" collapsed="false">
      <c r="A564" s="31" t="s">
        <v>803</v>
      </c>
      <c r="B564" s="31" t="s">
        <v>804</v>
      </c>
      <c r="C564" s="31" t="s">
        <v>20</v>
      </c>
      <c r="D564" s="31" t="s">
        <v>66</v>
      </c>
      <c r="E564" s="31" t="n">
        <v>1</v>
      </c>
      <c r="F564" s="32" t="n">
        <v>32</v>
      </c>
      <c r="G564" s="32" t="n">
        <v>32</v>
      </c>
      <c r="H564" s="31" t="s">
        <v>45</v>
      </c>
      <c r="I564" s="31" t="s">
        <v>58</v>
      </c>
      <c r="J564" s="31" t="s">
        <v>805</v>
      </c>
      <c r="K564" s="31" t="s">
        <v>48</v>
      </c>
    </row>
    <row r="565" customFormat="false" ht="15" hidden="false" customHeight="false" outlineLevel="0" collapsed="false">
      <c r="A565" s="31" t="s">
        <v>806</v>
      </c>
      <c r="B565" s="31" t="s">
        <v>807</v>
      </c>
      <c r="C565" s="31" t="s">
        <v>20</v>
      </c>
      <c r="D565" s="31" t="s">
        <v>52</v>
      </c>
      <c r="E565" s="31" t="n">
        <v>1</v>
      </c>
      <c r="F565" s="32" t="n">
        <v>22</v>
      </c>
      <c r="G565" s="32" t="n">
        <v>22</v>
      </c>
      <c r="H565" s="31" t="s">
        <v>45</v>
      </c>
      <c r="I565" s="31" t="s">
        <v>58</v>
      </c>
      <c r="J565" s="31" t="s">
        <v>808</v>
      </c>
      <c r="K565" s="31" t="s">
        <v>48</v>
      </c>
    </row>
    <row r="566" customFormat="false" ht="15" hidden="false" customHeight="false" outlineLevel="0" collapsed="false">
      <c r="A566" s="31" t="s">
        <v>806</v>
      </c>
      <c r="B566" s="31" t="s">
        <v>807</v>
      </c>
      <c r="C566" s="31" t="s">
        <v>44</v>
      </c>
      <c r="D566" s="31" t="s">
        <v>44</v>
      </c>
      <c r="E566" s="31" t="n">
        <v>1</v>
      </c>
      <c r="F566" s="32" t="n">
        <v>4.95</v>
      </c>
      <c r="G566" s="32" t="n">
        <v>4.95</v>
      </c>
      <c r="H566" s="31" t="s">
        <v>45</v>
      </c>
      <c r="I566" s="31" t="s">
        <v>58</v>
      </c>
      <c r="J566" s="31" t="s">
        <v>808</v>
      </c>
      <c r="K566" s="31" t="s">
        <v>202</v>
      </c>
    </row>
    <row r="567" customFormat="false" ht="15" hidden="false" customHeight="false" outlineLevel="0" collapsed="false">
      <c r="A567" s="31" t="s">
        <v>809</v>
      </c>
      <c r="B567" s="31" t="s">
        <v>810</v>
      </c>
      <c r="C567" s="31" t="s">
        <v>44</v>
      </c>
      <c r="D567" s="31" t="s">
        <v>44</v>
      </c>
      <c r="E567" s="31" t="n">
        <v>1</v>
      </c>
      <c r="F567" s="32" t="n">
        <v>0</v>
      </c>
      <c r="G567" s="32" t="n">
        <v>0</v>
      </c>
      <c r="H567" s="31" t="s">
        <v>45</v>
      </c>
      <c r="I567" s="31" t="s">
        <v>58</v>
      </c>
      <c r="J567" s="31" t="s">
        <v>811</v>
      </c>
      <c r="K567" s="31" t="s">
        <v>48</v>
      </c>
    </row>
    <row r="568" customFormat="false" ht="15" hidden="false" customHeight="false" outlineLevel="0" collapsed="false">
      <c r="A568" s="31" t="s">
        <v>809</v>
      </c>
      <c r="B568" s="31" t="s">
        <v>812</v>
      </c>
      <c r="C568" s="31" t="s">
        <v>20</v>
      </c>
      <c r="D568" s="31" t="s">
        <v>53</v>
      </c>
      <c r="E568" s="31" t="n">
        <v>1</v>
      </c>
      <c r="F568" s="32" t="n">
        <v>39</v>
      </c>
      <c r="G568" s="32" t="n">
        <v>39</v>
      </c>
      <c r="H568" s="31" t="s">
        <v>45</v>
      </c>
      <c r="I568" s="31" t="s">
        <v>58</v>
      </c>
      <c r="J568" s="31" t="s">
        <v>811</v>
      </c>
      <c r="K568" s="31" t="s">
        <v>48</v>
      </c>
    </row>
    <row r="569" customFormat="false" ht="15" hidden="false" customHeight="false" outlineLevel="0" collapsed="false">
      <c r="A569" s="31" t="s">
        <v>809</v>
      </c>
      <c r="B569" s="31" t="s">
        <v>812</v>
      </c>
      <c r="C569" s="31" t="s">
        <v>20</v>
      </c>
      <c r="D569" s="31" t="s">
        <v>78</v>
      </c>
      <c r="E569" s="31" t="n">
        <v>4</v>
      </c>
      <c r="F569" s="32" t="n">
        <v>89</v>
      </c>
      <c r="G569" s="32" t="n">
        <v>356</v>
      </c>
      <c r="H569" s="31" t="s">
        <v>45</v>
      </c>
      <c r="I569" s="31" t="s">
        <v>58</v>
      </c>
      <c r="J569" s="31" t="s">
        <v>811</v>
      </c>
      <c r="K569" s="31" t="s">
        <v>48</v>
      </c>
    </row>
    <row r="570" customFormat="false" ht="15" hidden="false" customHeight="false" outlineLevel="0" collapsed="false">
      <c r="A570" s="31" t="s">
        <v>813</v>
      </c>
      <c r="B570" s="31" t="s">
        <v>814</v>
      </c>
      <c r="C570" s="31" t="s">
        <v>20</v>
      </c>
      <c r="D570" s="31" t="s">
        <v>73</v>
      </c>
      <c r="E570" s="31" t="n">
        <v>2</v>
      </c>
      <c r="F570" s="32" t="n">
        <v>69</v>
      </c>
      <c r="G570" s="32" t="n">
        <v>138</v>
      </c>
      <c r="H570" s="31" t="s">
        <v>45</v>
      </c>
      <c r="I570" s="31" t="s">
        <v>58</v>
      </c>
      <c r="J570" s="31" t="s">
        <v>471</v>
      </c>
      <c r="K570" s="31" t="s">
        <v>202</v>
      </c>
    </row>
    <row r="571" customFormat="false" ht="15" hidden="false" customHeight="false" outlineLevel="0" collapsed="false">
      <c r="A571" s="31" t="s">
        <v>813</v>
      </c>
      <c r="B571" s="31" t="s">
        <v>814</v>
      </c>
      <c r="C571" s="31" t="s">
        <v>20</v>
      </c>
      <c r="D571" s="31" t="s">
        <v>69</v>
      </c>
      <c r="E571" s="31" t="n">
        <v>3</v>
      </c>
      <c r="F571" s="32" t="n">
        <v>29</v>
      </c>
      <c r="G571" s="32" t="n">
        <v>87</v>
      </c>
      <c r="H571" s="31" t="s">
        <v>45</v>
      </c>
      <c r="I571" s="31" t="s">
        <v>58</v>
      </c>
      <c r="J571" s="31" t="s">
        <v>471</v>
      </c>
      <c r="K571" s="31" t="s">
        <v>48</v>
      </c>
    </row>
    <row r="572" customFormat="false" ht="15" hidden="false" customHeight="false" outlineLevel="0" collapsed="false">
      <c r="A572" s="31" t="s">
        <v>813</v>
      </c>
      <c r="B572" s="31" t="s">
        <v>815</v>
      </c>
      <c r="C572" s="31" t="s">
        <v>44</v>
      </c>
      <c r="D572" s="31" t="s">
        <v>44</v>
      </c>
      <c r="E572" s="31" t="n">
        <v>1</v>
      </c>
      <c r="F572" s="32" t="n">
        <v>3.95</v>
      </c>
      <c r="G572" s="32" t="n">
        <v>3.95</v>
      </c>
      <c r="H572" s="31" t="s">
        <v>45</v>
      </c>
      <c r="I572" s="31" t="s">
        <v>58</v>
      </c>
      <c r="J572" s="31" t="s">
        <v>471</v>
      </c>
      <c r="K572" s="31" t="s">
        <v>48</v>
      </c>
    </row>
    <row r="573" customFormat="false" ht="15" hidden="false" customHeight="false" outlineLevel="0" collapsed="false">
      <c r="A573" s="31" t="s">
        <v>816</v>
      </c>
      <c r="B573" s="31" t="s">
        <v>817</v>
      </c>
      <c r="C573" s="31" t="s">
        <v>20</v>
      </c>
      <c r="D573" s="31" t="s">
        <v>87</v>
      </c>
      <c r="E573" s="31" t="n">
        <v>1</v>
      </c>
      <c r="F573" s="32" t="n">
        <v>35</v>
      </c>
      <c r="G573" s="32" t="n">
        <v>35</v>
      </c>
      <c r="H573" s="31" t="s">
        <v>184</v>
      </c>
      <c r="I573" s="31" t="s">
        <v>58</v>
      </c>
      <c r="J573" s="31" t="s">
        <v>818</v>
      </c>
      <c r="K573" s="31" t="s">
        <v>48</v>
      </c>
    </row>
    <row r="574" customFormat="false" ht="15" hidden="false" customHeight="false" outlineLevel="0" collapsed="false">
      <c r="A574" s="31" t="s">
        <v>816</v>
      </c>
      <c r="B574" s="31" t="s">
        <v>817</v>
      </c>
      <c r="C574" s="31" t="s">
        <v>20</v>
      </c>
      <c r="D574" s="31" t="s">
        <v>69</v>
      </c>
      <c r="E574" s="31" t="n">
        <v>1</v>
      </c>
      <c r="F574" s="32" t="n">
        <v>29</v>
      </c>
      <c r="G574" s="32" t="n">
        <v>29</v>
      </c>
      <c r="H574" s="31" t="s">
        <v>184</v>
      </c>
      <c r="I574" s="31" t="s">
        <v>58</v>
      </c>
      <c r="J574" s="31" t="s">
        <v>818</v>
      </c>
      <c r="K574" s="31" t="s">
        <v>48</v>
      </c>
    </row>
    <row r="575" customFormat="false" ht="15" hidden="false" customHeight="false" outlineLevel="0" collapsed="false">
      <c r="A575" s="31" t="s">
        <v>816</v>
      </c>
      <c r="B575" s="31" t="s">
        <v>817</v>
      </c>
      <c r="C575" s="31" t="s">
        <v>20</v>
      </c>
      <c r="D575" s="31" t="s">
        <v>73</v>
      </c>
      <c r="E575" s="31" t="n">
        <v>1</v>
      </c>
      <c r="F575" s="32" t="n">
        <v>69</v>
      </c>
      <c r="G575" s="32" t="n">
        <v>69</v>
      </c>
      <c r="H575" s="31" t="s">
        <v>184</v>
      </c>
      <c r="I575" s="31" t="s">
        <v>58</v>
      </c>
      <c r="J575" s="31" t="s">
        <v>818</v>
      </c>
      <c r="K575" s="31" t="s">
        <v>48</v>
      </c>
    </row>
    <row r="576" customFormat="false" ht="15" hidden="false" customHeight="false" outlineLevel="0" collapsed="false">
      <c r="A576" s="31" t="s">
        <v>816</v>
      </c>
      <c r="B576" s="31" t="s">
        <v>817</v>
      </c>
      <c r="C576" s="31" t="s">
        <v>44</v>
      </c>
      <c r="D576" s="31" t="s">
        <v>44</v>
      </c>
      <c r="E576" s="31" t="n">
        <v>1</v>
      </c>
      <c r="F576" s="32" t="n">
        <v>3.95</v>
      </c>
      <c r="G576" s="32" t="n">
        <v>3.95</v>
      </c>
      <c r="H576" s="31" t="s">
        <v>184</v>
      </c>
      <c r="I576" s="31" t="s">
        <v>58</v>
      </c>
      <c r="J576" s="31" t="s">
        <v>818</v>
      </c>
      <c r="K576" s="31" t="s">
        <v>48</v>
      </c>
    </row>
    <row r="577" customFormat="false" ht="15" hidden="false" customHeight="false" outlineLevel="0" collapsed="false">
      <c r="A577" s="31" t="s">
        <v>819</v>
      </c>
      <c r="B577" s="31" t="s">
        <v>820</v>
      </c>
      <c r="C577" s="31" t="s">
        <v>20</v>
      </c>
      <c r="D577" s="31" t="s">
        <v>140</v>
      </c>
      <c r="E577" s="31" t="n">
        <v>1</v>
      </c>
      <c r="F577" s="32" t="n">
        <v>26</v>
      </c>
      <c r="G577" s="32" t="n">
        <v>26</v>
      </c>
      <c r="H577" s="31" t="s">
        <v>145</v>
      </c>
      <c r="I577" s="31" t="s">
        <v>58</v>
      </c>
      <c r="J577" s="31" t="s">
        <v>821</v>
      </c>
      <c r="K577" s="31" t="s">
        <v>48</v>
      </c>
    </row>
    <row r="578" customFormat="false" ht="15" hidden="false" customHeight="false" outlineLevel="0" collapsed="false">
      <c r="A578" s="31" t="s">
        <v>819</v>
      </c>
      <c r="B578" s="31" t="s">
        <v>822</v>
      </c>
      <c r="C578" s="31" t="s">
        <v>44</v>
      </c>
      <c r="D578" s="31" t="s">
        <v>44</v>
      </c>
      <c r="E578" s="31" t="n">
        <v>1</v>
      </c>
      <c r="F578" s="32" t="n">
        <v>5.95</v>
      </c>
      <c r="G578" s="32" t="n">
        <v>5.95</v>
      </c>
      <c r="H578" s="31" t="s">
        <v>145</v>
      </c>
      <c r="I578" s="31" t="s">
        <v>58</v>
      </c>
      <c r="J578" s="31" t="s">
        <v>821</v>
      </c>
      <c r="K578" s="31" t="s">
        <v>48</v>
      </c>
    </row>
    <row r="579" customFormat="false" ht="15" hidden="false" customHeight="false" outlineLevel="0" collapsed="false">
      <c r="A579" s="31" t="s">
        <v>819</v>
      </c>
      <c r="B579" s="31" t="s">
        <v>822</v>
      </c>
      <c r="C579" s="31" t="s">
        <v>20</v>
      </c>
      <c r="D579" s="31" t="s">
        <v>56</v>
      </c>
      <c r="E579" s="31" t="n">
        <v>1</v>
      </c>
      <c r="F579" s="32" t="n">
        <v>45</v>
      </c>
      <c r="G579" s="32" t="n">
        <v>45</v>
      </c>
      <c r="H579" s="31" t="s">
        <v>145</v>
      </c>
      <c r="I579" s="31" t="s">
        <v>58</v>
      </c>
      <c r="J579" s="31" t="s">
        <v>821</v>
      </c>
      <c r="K579" s="31" t="s">
        <v>48</v>
      </c>
    </row>
    <row r="580" customFormat="false" ht="15" hidden="false" customHeight="false" outlineLevel="0" collapsed="false">
      <c r="A580" s="31" t="s">
        <v>823</v>
      </c>
      <c r="B580" s="31" t="s">
        <v>824</v>
      </c>
      <c r="C580" s="31" t="s">
        <v>44</v>
      </c>
      <c r="D580" s="31" t="s">
        <v>44</v>
      </c>
      <c r="E580" s="31" t="n">
        <v>1</v>
      </c>
      <c r="F580" s="32" t="n">
        <v>3.95</v>
      </c>
      <c r="G580" s="32" t="n">
        <v>3.95</v>
      </c>
      <c r="H580" s="31" t="s">
        <v>45</v>
      </c>
      <c r="I580" s="31" t="s">
        <v>58</v>
      </c>
      <c r="J580" s="31" t="s">
        <v>825</v>
      </c>
      <c r="K580" s="31" t="s">
        <v>48</v>
      </c>
    </row>
    <row r="581" customFormat="false" ht="15" hidden="false" customHeight="false" outlineLevel="0" collapsed="false">
      <c r="A581" s="31" t="s">
        <v>823</v>
      </c>
      <c r="B581" s="31" t="s">
        <v>824</v>
      </c>
      <c r="C581" s="31" t="s">
        <v>20</v>
      </c>
      <c r="D581" s="31" t="s">
        <v>53</v>
      </c>
      <c r="E581" s="31" t="n">
        <v>1</v>
      </c>
      <c r="F581" s="32" t="n">
        <v>39</v>
      </c>
      <c r="G581" s="32" t="n">
        <v>39</v>
      </c>
      <c r="H581" s="31" t="s">
        <v>45</v>
      </c>
      <c r="I581" s="31" t="s">
        <v>58</v>
      </c>
      <c r="J581" s="31" t="s">
        <v>825</v>
      </c>
      <c r="K581" s="31" t="s">
        <v>48</v>
      </c>
    </row>
    <row r="582" customFormat="false" ht="15" hidden="false" customHeight="false" outlineLevel="0" collapsed="false">
      <c r="A582" s="31" t="s">
        <v>826</v>
      </c>
      <c r="B582" s="31" t="s">
        <v>827</v>
      </c>
      <c r="C582" s="31" t="s">
        <v>44</v>
      </c>
      <c r="D582" s="31" t="s">
        <v>44</v>
      </c>
      <c r="E582" s="31" t="n">
        <v>1</v>
      </c>
      <c r="F582" s="32" t="n">
        <v>3.95</v>
      </c>
      <c r="G582" s="32" t="n">
        <v>3.95</v>
      </c>
      <c r="H582" s="31" t="s">
        <v>57</v>
      </c>
      <c r="I582" s="31" t="s">
        <v>46</v>
      </c>
      <c r="J582" s="31" t="s">
        <v>828</v>
      </c>
      <c r="K582" s="31" t="s">
        <v>48</v>
      </c>
    </row>
    <row r="583" customFormat="false" ht="15" hidden="false" customHeight="false" outlineLevel="0" collapsed="false">
      <c r="A583" s="31" t="s">
        <v>826</v>
      </c>
      <c r="B583" s="31" t="s">
        <v>829</v>
      </c>
      <c r="C583" s="31" t="s">
        <v>20</v>
      </c>
      <c r="D583" s="31" t="s">
        <v>78</v>
      </c>
      <c r="E583" s="31" t="n">
        <v>1</v>
      </c>
      <c r="F583" s="32" t="n">
        <v>89</v>
      </c>
      <c r="G583" s="32" t="n">
        <v>89</v>
      </c>
      <c r="H583" s="31" t="s">
        <v>57</v>
      </c>
      <c r="I583" s="31" t="s">
        <v>46</v>
      </c>
      <c r="J583" s="31" t="s">
        <v>828</v>
      </c>
      <c r="K583" s="31" t="s">
        <v>48</v>
      </c>
    </row>
    <row r="584" customFormat="false" ht="15" hidden="false" customHeight="false" outlineLevel="0" collapsed="false">
      <c r="A584" s="31" t="s">
        <v>830</v>
      </c>
      <c r="B584" s="31" t="s">
        <v>831</v>
      </c>
      <c r="C584" s="31" t="s">
        <v>50</v>
      </c>
      <c r="D584" s="31" t="s">
        <v>51</v>
      </c>
      <c r="E584" s="31" t="n">
        <v>1</v>
      </c>
      <c r="F584" s="32" t="n">
        <v>-15</v>
      </c>
      <c r="G584" s="32" t="n">
        <v>-15</v>
      </c>
      <c r="H584" s="31" t="s">
        <v>45</v>
      </c>
      <c r="I584" s="31" t="s">
        <v>58</v>
      </c>
      <c r="J584" s="31" t="s">
        <v>832</v>
      </c>
      <c r="K584" s="31" t="s">
        <v>48</v>
      </c>
    </row>
    <row r="585" customFormat="false" ht="15" hidden="false" customHeight="false" outlineLevel="0" collapsed="false">
      <c r="A585" s="31" t="s">
        <v>830</v>
      </c>
      <c r="B585" s="31" t="s">
        <v>831</v>
      </c>
      <c r="C585" s="31" t="s">
        <v>44</v>
      </c>
      <c r="D585" s="31" t="s">
        <v>44</v>
      </c>
      <c r="E585" s="31" t="n">
        <v>1</v>
      </c>
      <c r="F585" s="32" t="n">
        <v>3.95</v>
      </c>
      <c r="G585" s="32" t="n">
        <v>3.95</v>
      </c>
      <c r="H585" s="31" t="s">
        <v>45</v>
      </c>
      <c r="I585" s="31" t="s">
        <v>58</v>
      </c>
      <c r="J585" s="31" t="s">
        <v>832</v>
      </c>
      <c r="K585" s="31" t="s">
        <v>48</v>
      </c>
    </row>
    <row r="586" customFormat="false" ht="15" hidden="false" customHeight="false" outlineLevel="0" collapsed="false">
      <c r="A586" s="31" t="s">
        <v>830</v>
      </c>
      <c r="B586" s="31" t="s">
        <v>831</v>
      </c>
      <c r="C586" s="31" t="s">
        <v>20</v>
      </c>
      <c r="D586" s="31" t="s">
        <v>52</v>
      </c>
      <c r="E586" s="31" t="n">
        <v>1</v>
      </c>
      <c r="F586" s="32" t="n">
        <v>22</v>
      </c>
      <c r="G586" s="32" t="n">
        <v>22</v>
      </c>
      <c r="H586" s="31" t="s">
        <v>45</v>
      </c>
      <c r="I586" s="31" t="s">
        <v>58</v>
      </c>
      <c r="J586" s="31" t="s">
        <v>832</v>
      </c>
      <c r="K586" s="31" t="s">
        <v>48</v>
      </c>
    </row>
    <row r="587" customFormat="false" ht="15" hidden="false" customHeight="false" outlineLevel="0" collapsed="false">
      <c r="A587" s="31" t="s">
        <v>833</v>
      </c>
      <c r="B587" s="31" t="s">
        <v>834</v>
      </c>
      <c r="C587" s="31" t="s">
        <v>20</v>
      </c>
      <c r="D587" s="31" t="s">
        <v>123</v>
      </c>
      <c r="E587" s="31" t="n">
        <v>2</v>
      </c>
      <c r="F587" s="32" t="n">
        <v>75</v>
      </c>
      <c r="G587" s="32" t="n">
        <v>150</v>
      </c>
      <c r="H587" s="31" t="s">
        <v>57</v>
      </c>
      <c r="I587" s="31" t="s">
        <v>58</v>
      </c>
      <c r="J587" s="31" t="s">
        <v>835</v>
      </c>
      <c r="K587" s="31" t="s">
        <v>48</v>
      </c>
    </row>
    <row r="588" customFormat="false" ht="15" hidden="false" customHeight="false" outlineLevel="0" collapsed="false">
      <c r="A588" s="31" t="s">
        <v>833</v>
      </c>
      <c r="B588" s="31" t="s">
        <v>836</v>
      </c>
      <c r="C588" s="31" t="s">
        <v>44</v>
      </c>
      <c r="D588" s="31" t="s">
        <v>44</v>
      </c>
      <c r="E588" s="31" t="n">
        <v>1</v>
      </c>
      <c r="F588" s="32" t="n">
        <v>4.95</v>
      </c>
      <c r="G588" s="32" t="n">
        <v>4.95</v>
      </c>
      <c r="H588" s="31" t="s">
        <v>57</v>
      </c>
      <c r="I588" s="31" t="s">
        <v>58</v>
      </c>
      <c r="J588" s="31" t="s">
        <v>835</v>
      </c>
      <c r="K588" s="31" t="s">
        <v>48</v>
      </c>
    </row>
    <row r="589" customFormat="false" ht="15" hidden="false" customHeight="false" outlineLevel="0" collapsed="false">
      <c r="A589" s="31" t="s">
        <v>837</v>
      </c>
      <c r="B589" s="31" t="s">
        <v>838</v>
      </c>
      <c r="C589" s="31" t="s">
        <v>20</v>
      </c>
      <c r="D589" s="31" t="s">
        <v>87</v>
      </c>
      <c r="E589" s="31" t="n">
        <v>1</v>
      </c>
      <c r="F589" s="32" t="n">
        <v>35</v>
      </c>
      <c r="G589" s="32" t="n">
        <v>35</v>
      </c>
      <c r="H589" s="31" t="s">
        <v>57</v>
      </c>
      <c r="I589" s="31" t="s">
        <v>58</v>
      </c>
      <c r="J589" s="31" t="s">
        <v>839</v>
      </c>
      <c r="K589" s="31" t="s">
        <v>48</v>
      </c>
    </row>
    <row r="590" customFormat="false" ht="15" hidden="false" customHeight="false" outlineLevel="0" collapsed="false">
      <c r="A590" s="31" t="s">
        <v>837</v>
      </c>
      <c r="B590" s="31" t="s">
        <v>838</v>
      </c>
      <c r="C590" s="31" t="s">
        <v>44</v>
      </c>
      <c r="D590" s="31" t="s">
        <v>44</v>
      </c>
      <c r="E590" s="31" t="n">
        <v>1</v>
      </c>
      <c r="F590" s="32" t="n">
        <v>4.95</v>
      </c>
      <c r="G590" s="32" t="n">
        <v>4.95</v>
      </c>
      <c r="H590" s="31" t="s">
        <v>57</v>
      </c>
      <c r="I590" s="31" t="s">
        <v>58</v>
      </c>
      <c r="J590" s="31" t="s">
        <v>839</v>
      </c>
      <c r="K590" s="31" t="s">
        <v>48</v>
      </c>
    </row>
    <row r="591" customFormat="false" ht="15" hidden="false" customHeight="false" outlineLevel="0" collapsed="false">
      <c r="A591" s="31" t="s">
        <v>837</v>
      </c>
      <c r="B591" s="31" t="s">
        <v>838</v>
      </c>
      <c r="C591" s="31" t="s">
        <v>20</v>
      </c>
      <c r="D591" s="31" t="s">
        <v>69</v>
      </c>
      <c r="E591" s="31" t="n">
        <v>1</v>
      </c>
      <c r="F591" s="32" t="n">
        <v>29</v>
      </c>
      <c r="G591" s="32" t="n">
        <v>29</v>
      </c>
      <c r="H591" s="31" t="s">
        <v>57</v>
      </c>
      <c r="I591" s="31" t="s">
        <v>58</v>
      </c>
      <c r="J591" s="31" t="s">
        <v>839</v>
      </c>
      <c r="K591" s="31" t="s">
        <v>48</v>
      </c>
    </row>
    <row r="592" customFormat="false" ht="15" hidden="false" customHeight="false" outlineLevel="0" collapsed="false">
      <c r="A592" s="31" t="s">
        <v>840</v>
      </c>
      <c r="B592" s="31" t="s">
        <v>841</v>
      </c>
      <c r="C592" s="31" t="s">
        <v>20</v>
      </c>
      <c r="D592" s="31" t="s">
        <v>53</v>
      </c>
      <c r="E592" s="31" t="n">
        <v>1</v>
      </c>
      <c r="F592" s="32" t="n">
        <v>39</v>
      </c>
      <c r="G592" s="32" t="n">
        <v>39</v>
      </c>
      <c r="H592" s="31" t="s">
        <v>45</v>
      </c>
      <c r="I592" s="31" t="s">
        <v>58</v>
      </c>
      <c r="J592" s="31"/>
      <c r="K592" s="31" t="s">
        <v>48</v>
      </c>
    </row>
    <row r="593" customFormat="false" ht="15" hidden="false" customHeight="false" outlineLevel="0" collapsed="false">
      <c r="A593" s="31" t="s">
        <v>840</v>
      </c>
      <c r="B593" s="31" t="s">
        <v>842</v>
      </c>
      <c r="C593" s="31" t="s">
        <v>44</v>
      </c>
      <c r="D593" s="31" t="s">
        <v>44</v>
      </c>
      <c r="E593" s="31" t="n">
        <v>1</v>
      </c>
      <c r="F593" s="32" t="n">
        <v>4.95</v>
      </c>
      <c r="G593" s="32" t="n">
        <v>4.95</v>
      </c>
      <c r="H593" s="31" t="s">
        <v>45</v>
      </c>
      <c r="I593" s="31" t="s">
        <v>58</v>
      </c>
      <c r="J593" s="31"/>
      <c r="K593" s="31" t="s">
        <v>48</v>
      </c>
    </row>
    <row r="594" customFormat="false" ht="15" hidden="false" customHeight="false" outlineLevel="0" collapsed="false">
      <c r="A594" s="31" t="s">
        <v>840</v>
      </c>
      <c r="B594" s="31" t="s">
        <v>842</v>
      </c>
      <c r="C594" s="31" t="s">
        <v>50</v>
      </c>
      <c r="D594" s="31" t="s">
        <v>51</v>
      </c>
      <c r="E594" s="31" t="n">
        <v>1</v>
      </c>
      <c r="F594" s="32" t="n">
        <v>-5</v>
      </c>
      <c r="G594" s="32" t="n">
        <v>-5</v>
      </c>
      <c r="H594" s="31" t="s">
        <v>45</v>
      </c>
      <c r="I594" s="31" t="s">
        <v>58</v>
      </c>
      <c r="J594" s="31"/>
      <c r="K594" s="31" t="s">
        <v>48</v>
      </c>
    </row>
    <row r="595" customFormat="false" ht="15" hidden="false" customHeight="false" outlineLevel="0" collapsed="false">
      <c r="A595" s="31" t="s">
        <v>843</v>
      </c>
      <c r="B595" s="31" t="s">
        <v>844</v>
      </c>
      <c r="C595" s="31" t="s">
        <v>20</v>
      </c>
      <c r="D595" s="31" t="s">
        <v>87</v>
      </c>
      <c r="E595" s="31" t="n">
        <v>1</v>
      </c>
      <c r="F595" s="32" t="n">
        <v>35</v>
      </c>
      <c r="G595" s="32" t="n">
        <v>35</v>
      </c>
      <c r="H595" s="31" t="s">
        <v>45</v>
      </c>
      <c r="I595" s="31" t="s">
        <v>58</v>
      </c>
      <c r="J595" s="31" t="s">
        <v>845</v>
      </c>
      <c r="K595" s="31" t="s">
        <v>48</v>
      </c>
    </row>
    <row r="596" customFormat="false" ht="15" hidden="false" customHeight="false" outlineLevel="0" collapsed="false">
      <c r="A596" s="31" t="s">
        <v>846</v>
      </c>
      <c r="B596" s="31" t="s">
        <v>847</v>
      </c>
      <c r="C596" s="31" t="s">
        <v>44</v>
      </c>
      <c r="D596" s="31" t="s">
        <v>44</v>
      </c>
      <c r="E596" s="31" t="n">
        <v>1</v>
      </c>
      <c r="F596" s="32" t="n">
        <v>4.95</v>
      </c>
      <c r="G596" s="32" t="n">
        <v>4.95</v>
      </c>
      <c r="H596" s="31" t="s">
        <v>57</v>
      </c>
      <c r="I596" s="31" t="s">
        <v>84</v>
      </c>
      <c r="J596" s="31"/>
      <c r="K596" s="31" t="s">
        <v>48</v>
      </c>
    </row>
    <row r="597" customFormat="false" ht="15" hidden="false" customHeight="false" outlineLevel="0" collapsed="false">
      <c r="A597" s="31" t="s">
        <v>846</v>
      </c>
      <c r="B597" s="31" t="s">
        <v>848</v>
      </c>
      <c r="C597" s="31" t="s">
        <v>20</v>
      </c>
      <c r="D597" s="31" t="s">
        <v>66</v>
      </c>
      <c r="E597" s="31" t="n">
        <v>1</v>
      </c>
      <c r="F597" s="32" t="n">
        <v>28.8</v>
      </c>
      <c r="G597" s="32" t="n">
        <v>28.8</v>
      </c>
      <c r="H597" s="31" t="s">
        <v>57</v>
      </c>
      <c r="I597" s="31" t="s">
        <v>84</v>
      </c>
      <c r="J597" s="31"/>
      <c r="K597" s="31" t="s">
        <v>48</v>
      </c>
    </row>
    <row r="598" customFormat="false" ht="15" hidden="false" customHeight="false" outlineLevel="0" collapsed="false">
      <c r="A598" s="31" t="s">
        <v>849</v>
      </c>
      <c r="B598" s="31" t="s">
        <v>850</v>
      </c>
      <c r="C598" s="31" t="s">
        <v>20</v>
      </c>
      <c r="D598" s="31" t="s">
        <v>78</v>
      </c>
      <c r="E598" s="31" t="n">
        <v>1</v>
      </c>
      <c r="F598" s="32" t="n">
        <v>89</v>
      </c>
      <c r="G598" s="32" t="n">
        <v>89</v>
      </c>
      <c r="H598" s="31" t="s">
        <v>45</v>
      </c>
      <c r="I598" s="31" t="s">
        <v>58</v>
      </c>
      <c r="J598" s="31" t="s">
        <v>851</v>
      </c>
      <c r="K598" s="31" t="s">
        <v>48</v>
      </c>
    </row>
    <row r="599" customFormat="false" ht="15" hidden="false" customHeight="false" outlineLevel="0" collapsed="false">
      <c r="A599" s="31" t="s">
        <v>849</v>
      </c>
      <c r="B599" s="31" t="s">
        <v>850</v>
      </c>
      <c r="C599" s="31" t="s">
        <v>44</v>
      </c>
      <c r="D599" s="31" t="s">
        <v>44</v>
      </c>
      <c r="E599" s="31" t="n">
        <v>1</v>
      </c>
      <c r="F599" s="32" t="n">
        <v>4.95</v>
      </c>
      <c r="G599" s="32" t="n">
        <v>4.95</v>
      </c>
      <c r="H599" s="31" t="s">
        <v>45</v>
      </c>
      <c r="I599" s="31" t="s">
        <v>58</v>
      </c>
      <c r="J599" s="31" t="s">
        <v>851</v>
      </c>
      <c r="K599" s="31" t="s">
        <v>48</v>
      </c>
    </row>
    <row r="600" customFormat="false" ht="15" hidden="false" customHeight="false" outlineLevel="0" collapsed="false">
      <c r="A600" s="31" t="s">
        <v>849</v>
      </c>
      <c r="B600" s="31" t="s">
        <v>850</v>
      </c>
      <c r="C600" s="31" t="s">
        <v>50</v>
      </c>
      <c r="D600" s="31" t="s">
        <v>51</v>
      </c>
      <c r="E600" s="31" t="n">
        <v>1</v>
      </c>
      <c r="F600" s="32" t="n">
        <v>-15</v>
      </c>
      <c r="G600" s="32" t="n">
        <v>-15</v>
      </c>
      <c r="H600" s="31" t="s">
        <v>45</v>
      </c>
      <c r="I600" s="31" t="s">
        <v>58</v>
      </c>
      <c r="J600" s="31" t="s">
        <v>851</v>
      </c>
      <c r="K600" s="31" t="s">
        <v>48</v>
      </c>
    </row>
    <row r="601" customFormat="false" ht="15" hidden="false" customHeight="false" outlineLevel="0" collapsed="false">
      <c r="A601" s="31" t="s">
        <v>737</v>
      </c>
      <c r="B601" s="31" t="s">
        <v>852</v>
      </c>
      <c r="C601" s="31" t="s">
        <v>20</v>
      </c>
      <c r="D601" s="31" t="s">
        <v>56</v>
      </c>
      <c r="E601" s="31" t="n">
        <v>-1</v>
      </c>
      <c r="F601" s="32" t="n">
        <v>45</v>
      </c>
      <c r="G601" s="32" t="n">
        <v>-45</v>
      </c>
      <c r="H601" s="31" t="s">
        <v>160</v>
      </c>
      <c r="I601" s="31" t="s">
        <v>58</v>
      </c>
      <c r="J601" s="31" t="s">
        <v>739</v>
      </c>
      <c r="K601" s="31" t="s">
        <v>243</v>
      </c>
    </row>
    <row r="602" customFormat="false" ht="15" hidden="false" customHeight="false" outlineLevel="0" collapsed="false">
      <c r="A602" s="31" t="s">
        <v>853</v>
      </c>
      <c r="B602" s="31" t="s">
        <v>854</v>
      </c>
      <c r="C602" s="31" t="s">
        <v>20</v>
      </c>
      <c r="D602" s="31" t="s">
        <v>73</v>
      </c>
      <c r="E602" s="31" t="n">
        <v>1</v>
      </c>
      <c r="F602" s="32" t="n">
        <v>69</v>
      </c>
      <c r="G602" s="32" t="n">
        <v>69</v>
      </c>
      <c r="H602" s="31" t="s">
        <v>57</v>
      </c>
      <c r="I602" s="31" t="s">
        <v>58</v>
      </c>
      <c r="J602" s="31" t="s">
        <v>855</v>
      </c>
      <c r="K602" s="31" t="s">
        <v>48</v>
      </c>
    </row>
    <row r="603" customFormat="false" ht="15" hidden="false" customHeight="false" outlineLevel="0" collapsed="false">
      <c r="A603" s="31" t="s">
        <v>853</v>
      </c>
      <c r="B603" s="31" t="s">
        <v>856</v>
      </c>
      <c r="C603" s="31" t="s">
        <v>44</v>
      </c>
      <c r="D603" s="31" t="s">
        <v>44</v>
      </c>
      <c r="E603" s="31" t="n">
        <v>1</v>
      </c>
      <c r="F603" s="32" t="n">
        <v>5.95</v>
      </c>
      <c r="G603" s="32" t="n">
        <v>5.95</v>
      </c>
      <c r="H603" s="31" t="s">
        <v>57</v>
      </c>
      <c r="I603" s="31" t="s">
        <v>58</v>
      </c>
      <c r="J603" s="31" t="s">
        <v>855</v>
      </c>
      <c r="K603" s="31" t="s">
        <v>48</v>
      </c>
    </row>
    <row r="604" customFormat="false" ht="15" hidden="false" customHeight="false" outlineLevel="0" collapsed="false">
      <c r="A604" s="31" t="s">
        <v>857</v>
      </c>
      <c r="B604" s="31" t="s">
        <v>858</v>
      </c>
      <c r="C604" s="31" t="s">
        <v>20</v>
      </c>
      <c r="D604" s="31" t="s">
        <v>78</v>
      </c>
      <c r="E604" s="31" t="n">
        <v>1</v>
      </c>
      <c r="F604" s="32" t="n">
        <v>89</v>
      </c>
      <c r="G604" s="32" t="n">
        <v>89</v>
      </c>
      <c r="H604" s="31" t="s">
        <v>45</v>
      </c>
      <c r="I604" s="31" t="s">
        <v>155</v>
      </c>
      <c r="J604" s="31" t="s">
        <v>859</v>
      </c>
      <c r="K604" s="31" t="s">
        <v>48</v>
      </c>
    </row>
    <row r="605" customFormat="false" ht="15" hidden="false" customHeight="false" outlineLevel="0" collapsed="false">
      <c r="A605" s="31" t="s">
        <v>857</v>
      </c>
      <c r="B605" s="31" t="s">
        <v>858</v>
      </c>
      <c r="C605" s="31" t="s">
        <v>44</v>
      </c>
      <c r="D605" s="31" t="s">
        <v>44</v>
      </c>
      <c r="E605" s="31" t="n">
        <v>1</v>
      </c>
      <c r="F605" s="32" t="n">
        <v>3.95</v>
      </c>
      <c r="G605" s="32" t="n">
        <v>3.95</v>
      </c>
      <c r="H605" s="31" t="s">
        <v>45</v>
      </c>
      <c r="I605" s="31" t="s">
        <v>155</v>
      </c>
      <c r="J605" s="31" t="s">
        <v>859</v>
      </c>
      <c r="K605" s="31" t="s">
        <v>48</v>
      </c>
    </row>
    <row r="606" customFormat="false" ht="15" hidden="false" customHeight="false" outlineLevel="0" collapsed="false">
      <c r="A606" s="31" t="s">
        <v>857</v>
      </c>
      <c r="B606" s="31" t="s">
        <v>858</v>
      </c>
      <c r="C606" s="31" t="s">
        <v>20</v>
      </c>
      <c r="D606" s="31" t="s">
        <v>69</v>
      </c>
      <c r="E606" s="31" t="n">
        <v>2</v>
      </c>
      <c r="F606" s="32" t="n">
        <v>29</v>
      </c>
      <c r="G606" s="32" t="n">
        <v>58</v>
      </c>
      <c r="H606" s="31" t="s">
        <v>45</v>
      </c>
      <c r="I606" s="31" t="s">
        <v>155</v>
      </c>
      <c r="J606" s="31" t="s">
        <v>859</v>
      </c>
      <c r="K606" s="31" t="s">
        <v>48</v>
      </c>
    </row>
    <row r="607" customFormat="false" ht="15" hidden="false" customHeight="false" outlineLevel="0" collapsed="false">
      <c r="A607" s="31" t="s">
        <v>860</v>
      </c>
      <c r="B607" s="31" t="s">
        <v>861</v>
      </c>
      <c r="C607" s="31" t="s">
        <v>20</v>
      </c>
      <c r="D607" s="31" t="s">
        <v>69</v>
      </c>
      <c r="E607" s="31" t="n">
        <v>1</v>
      </c>
      <c r="F607" s="32" t="n">
        <v>29</v>
      </c>
      <c r="G607" s="32" t="n">
        <v>29</v>
      </c>
      <c r="H607" s="31" t="s">
        <v>45</v>
      </c>
      <c r="I607" s="31" t="s">
        <v>84</v>
      </c>
      <c r="J607" s="31" t="s">
        <v>862</v>
      </c>
      <c r="K607" s="31" t="s">
        <v>48</v>
      </c>
    </row>
    <row r="608" customFormat="false" ht="15" hidden="false" customHeight="false" outlineLevel="0" collapsed="false">
      <c r="A608" s="31" t="s">
        <v>860</v>
      </c>
      <c r="B608" s="31" t="s">
        <v>863</v>
      </c>
      <c r="C608" s="31" t="s">
        <v>20</v>
      </c>
      <c r="D608" s="31" t="s">
        <v>52</v>
      </c>
      <c r="E608" s="31" t="n">
        <v>1</v>
      </c>
      <c r="F608" s="32" t="n">
        <v>22</v>
      </c>
      <c r="G608" s="32" t="n">
        <v>22</v>
      </c>
      <c r="H608" s="31" t="s">
        <v>45</v>
      </c>
      <c r="I608" s="31" t="s">
        <v>84</v>
      </c>
      <c r="J608" s="31" t="s">
        <v>862</v>
      </c>
      <c r="K608" s="31" t="s">
        <v>48</v>
      </c>
    </row>
    <row r="609" customFormat="false" ht="15" hidden="false" customHeight="false" outlineLevel="0" collapsed="false">
      <c r="A609" s="31" t="s">
        <v>860</v>
      </c>
      <c r="B609" s="31" t="s">
        <v>863</v>
      </c>
      <c r="C609" s="31" t="s">
        <v>20</v>
      </c>
      <c r="D609" s="31" t="s">
        <v>63</v>
      </c>
      <c r="E609" s="31" t="n">
        <v>2</v>
      </c>
      <c r="F609" s="32" t="n">
        <v>14</v>
      </c>
      <c r="G609" s="32" t="n">
        <v>28</v>
      </c>
      <c r="H609" s="31" t="s">
        <v>45</v>
      </c>
      <c r="I609" s="31" t="s">
        <v>84</v>
      </c>
      <c r="J609" s="31" t="s">
        <v>862</v>
      </c>
      <c r="K609" s="31" t="s">
        <v>48</v>
      </c>
    </row>
    <row r="610" customFormat="false" ht="15" hidden="false" customHeight="false" outlineLevel="0" collapsed="false">
      <c r="A610" s="31" t="s">
        <v>864</v>
      </c>
      <c r="B610" s="31" t="s">
        <v>865</v>
      </c>
      <c r="C610" s="31" t="s">
        <v>20</v>
      </c>
      <c r="D610" s="31" t="s">
        <v>53</v>
      </c>
      <c r="E610" s="31" t="n">
        <v>1</v>
      </c>
      <c r="F610" s="32" t="n">
        <v>39</v>
      </c>
      <c r="G610" s="32" t="n">
        <v>39</v>
      </c>
      <c r="H610" s="31" t="s">
        <v>145</v>
      </c>
      <c r="I610" s="31" t="s">
        <v>58</v>
      </c>
      <c r="J610" s="31" t="s">
        <v>866</v>
      </c>
      <c r="K610" s="31" t="s">
        <v>48</v>
      </c>
    </row>
    <row r="611" customFormat="false" ht="15" hidden="false" customHeight="false" outlineLevel="0" collapsed="false">
      <c r="A611" s="31" t="s">
        <v>864</v>
      </c>
      <c r="B611" s="31" t="s">
        <v>865</v>
      </c>
      <c r="C611" s="31" t="s">
        <v>44</v>
      </c>
      <c r="D611" s="31" t="s">
        <v>44</v>
      </c>
      <c r="E611" s="31" t="n">
        <v>1</v>
      </c>
      <c r="F611" s="32" t="n">
        <v>3.95</v>
      </c>
      <c r="G611" s="32" t="n">
        <v>3.95</v>
      </c>
      <c r="H611" s="31" t="s">
        <v>145</v>
      </c>
      <c r="I611" s="31" t="s">
        <v>58</v>
      </c>
      <c r="J611" s="31" t="s">
        <v>866</v>
      </c>
      <c r="K611" s="31" t="s">
        <v>48</v>
      </c>
    </row>
    <row r="612" customFormat="false" ht="15" hidden="false" customHeight="false" outlineLevel="0" collapsed="false">
      <c r="A612" s="31" t="s">
        <v>867</v>
      </c>
      <c r="B612" s="31" t="s">
        <v>868</v>
      </c>
      <c r="C612" s="31" t="s">
        <v>20</v>
      </c>
      <c r="D612" s="31" t="s">
        <v>78</v>
      </c>
      <c r="E612" s="31" t="n">
        <v>1</v>
      </c>
      <c r="F612" s="32" t="n">
        <v>89</v>
      </c>
      <c r="G612" s="32" t="n">
        <v>89</v>
      </c>
      <c r="H612" s="31" t="s">
        <v>45</v>
      </c>
      <c r="I612" s="31" t="s">
        <v>46</v>
      </c>
      <c r="J612" s="31" t="s">
        <v>869</v>
      </c>
      <c r="K612" s="31" t="s">
        <v>48</v>
      </c>
    </row>
    <row r="613" customFormat="false" ht="15" hidden="false" customHeight="false" outlineLevel="0" collapsed="false">
      <c r="A613" s="31" t="s">
        <v>867</v>
      </c>
      <c r="B613" s="31" t="s">
        <v>870</v>
      </c>
      <c r="C613" s="31" t="s">
        <v>20</v>
      </c>
      <c r="D613" s="31" t="s">
        <v>73</v>
      </c>
      <c r="E613" s="31" t="n">
        <v>1</v>
      </c>
      <c r="F613" s="32" t="n">
        <v>69</v>
      </c>
      <c r="G613" s="32" t="n">
        <v>69</v>
      </c>
      <c r="H613" s="31" t="s">
        <v>45</v>
      </c>
      <c r="I613" s="31" t="s">
        <v>46</v>
      </c>
      <c r="J613" s="31" t="s">
        <v>869</v>
      </c>
      <c r="K613" s="31" t="s">
        <v>48</v>
      </c>
    </row>
    <row r="614" customFormat="false" ht="15" hidden="false" customHeight="false" outlineLevel="0" collapsed="false">
      <c r="A614" s="31" t="s">
        <v>867</v>
      </c>
      <c r="B614" s="31" t="s">
        <v>870</v>
      </c>
      <c r="C614" s="31" t="s">
        <v>20</v>
      </c>
      <c r="D614" s="31" t="s">
        <v>69</v>
      </c>
      <c r="E614" s="31" t="n">
        <v>2</v>
      </c>
      <c r="F614" s="32" t="n">
        <v>29</v>
      </c>
      <c r="G614" s="32" t="n">
        <v>58</v>
      </c>
      <c r="H614" s="31" t="s">
        <v>45</v>
      </c>
      <c r="I614" s="31" t="s">
        <v>46</v>
      </c>
      <c r="J614" s="31" t="s">
        <v>869</v>
      </c>
      <c r="K614" s="31" t="s">
        <v>48</v>
      </c>
    </row>
    <row r="615" customFormat="false" ht="15" hidden="false" customHeight="false" outlineLevel="0" collapsed="false">
      <c r="A615" s="31" t="s">
        <v>867</v>
      </c>
      <c r="B615" s="31" t="s">
        <v>870</v>
      </c>
      <c r="C615" s="31" t="s">
        <v>44</v>
      </c>
      <c r="D615" s="31" t="s">
        <v>44</v>
      </c>
      <c r="E615" s="31" t="n">
        <v>1</v>
      </c>
      <c r="F615" s="32" t="n">
        <v>5.95</v>
      </c>
      <c r="G615" s="32" t="n">
        <v>5.95</v>
      </c>
      <c r="H615" s="31" t="s">
        <v>45</v>
      </c>
      <c r="I615" s="31" t="s">
        <v>46</v>
      </c>
      <c r="J615" s="31" t="s">
        <v>869</v>
      </c>
      <c r="K615" s="31" t="s">
        <v>48</v>
      </c>
    </row>
    <row r="616" customFormat="false" ht="15" hidden="false" customHeight="false" outlineLevel="0" collapsed="false">
      <c r="A616" s="31" t="s">
        <v>871</v>
      </c>
      <c r="B616" s="31" t="s">
        <v>872</v>
      </c>
      <c r="C616" s="31" t="s">
        <v>44</v>
      </c>
      <c r="D616" s="31" t="s">
        <v>44</v>
      </c>
      <c r="E616" s="31" t="n">
        <v>1</v>
      </c>
      <c r="F616" s="32" t="n">
        <v>3.95</v>
      </c>
      <c r="G616" s="32" t="n">
        <v>3.95</v>
      </c>
      <c r="H616" s="31" t="s">
        <v>45</v>
      </c>
      <c r="I616" s="31" t="s">
        <v>58</v>
      </c>
      <c r="J616" s="31" t="s">
        <v>873</v>
      </c>
      <c r="K616" s="31" t="s">
        <v>48</v>
      </c>
    </row>
    <row r="617" customFormat="false" ht="15" hidden="false" customHeight="false" outlineLevel="0" collapsed="false">
      <c r="A617" s="31" t="s">
        <v>871</v>
      </c>
      <c r="B617" s="31" t="s">
        <v>874</v>
      </c>
      <c r="C617" s="31" t="s">
        <v>20</v>
      </c>
      <c r="D617" s="31" t="s">
        <v>66</v>
      </c>
      <c r="E617" s="31" t="n">
        <v>1</v>
      </c>
      <c r="F617" s="32" t="n">
        <v>32</v>
      </c>
      <c r="G617" s="32" t="n">
        <v>32</v>
      </c>
      <c r="H617" s="31" t="s">
        <v>45</v>
      </c>
      <c r="I617" s="31" t="s">
        <v>58</v>
      </c>
      <c r="J617" s="31" t="s">
        <v>873</v>
      </c>
      <c r="K617" s="31" t="s">
        <v>48</v>
      </c>
    </row>
    <row r="618" customFormat="false" ht="15" hidden="false" customHeight="false" outlineLevel="0" collapsed="false">
      <c r="A618" s="31" t="s">
        <v>875</v>
      </c>
      <c r="B618" s="31" t="s">
        <v>876</v>
      </c>
      <c r="C618" s="31" t="s">
        <v>44</v>
      </c>
      <c r="D618" s="31" t="s">
        <v>44</v>
      </c>
      <c r="E618" s="31" t="n">
        <v>1</v>
      </c>
      <c r="F618" s="32" t="n">
        <v>3.95</v>
      </c>
      <c r="G618" s="32" t="n">
        <v>3.95</v>
      </c>
      <c r="H618" s="31" t="s">
        <v>45</v>
      </c>
      <c r="I618" s="31" t="s">
        <v>58</v>
      </c>
      <c r="J618" s="31" t="s">
        <v>877</v>
      </c>
      <c r="K618" s="31" t="s">
        <v>48</v>
      </c>
    </row>
    <row r="619" customFormat="false" ht="15" hidden="false" customHeight="false" outlineLevel="0" collapsed="false">
      <c r="A619" s="31" t="s">
        <v>875</v>
      </c>
      <c r="B619" s="31" t="s">
        <v>876</v>
      </c>
      <c r="C619" s="31" t="s">
        <v>20</v>
      </c>
      <c r="D619" s="31" t="s">
        <v>69</v>
      </c>
      <c r="E619" s="31" t="n">
        <v>1</v>
      </c>
      <c r="F619" s="32" t="n">
        <v>24.65</v>
      </c>
      <c r="G619" s="32" t="n">
        <v>24.65</v>
      </c>
      <c r="H619" s="31" t="s">
        <v>45</v>
      </c>
      <c r="I619" s="31" t="s">
        <v>58</v>
      </c>
      <c r="J619" s="31" t="s">
        <v>877</v>
      </c>
      <c r="K619" s="31" t="s">
        <v>48</v>
      </c>
    </row>
    <row r="620" customFormat="false" ht="15" hidden="false" customHeight="false" outlineLevel="0" collapsed="false">
      <c r="A620" s="31" t="s">
        <v>875</v>
      </c>
      <c r="B620" s="31" t="s">
        <v>876</v>
      </c>
      <c r="C620" s="31" t="s">
        <v>20</v>
      </c>
      <c r="D620" s="31" t="s">
        <v>53</v>
      </c>
      <c r="E620" s="31" t="n">
        <v>1</v>
      </c>
      <c r="F620" s="32" t="n">
        <v>39</v>
      </c>
      <c r="G620" s="32" t="n">
        <v>39</v>
      </c>
      <c r="H620" s="31" t="s">
        <v>45</v>
      </c>
      <c r="I620" s="31" t="s">
        <v>58</v>
      </c>
      <c r="J620" s="31" t="s">
        <v>877</v>
      </c>
      <c r="K620" s="31" t="s">
        <v>48</v>
      </c>
    </row>
    <row r="621" customFormat="false" ht="15" hidden="false" customHeight="false" outlineLevel="0" collapsed="false">
      <c r="A621" s="31" t="s">
        <v>878</v>
      </c>
      <c r="B621" s="31" t="s">
        <v>879</v>
      </c>
      <c r="C621" s="31" t="s">
        <v>44</v>
      </c>
      <c r="D621" s="31" t="s">
        <v>44</v>
      </c>
      <c r="E621" s="31" t="n">
        <v>1</v>
      </c>
      <c r="F621" s="32" t="n">
        <v>4.95</v>
      </c>
      <c r="G621" s="32" t="n">
        <v>4.95</v>
      </c>
      <c r="H621" s="31" t="s">
        <v>45</v>
      </c>
      <c r="I621" s="31" t="s">
        <v>58</v>
      </c>
      <c r="J621" s="31" t="s">
        <v>493</v>
      </c>
      <c r="K621" s="31" t="s">
        <v>48</v>
      </c>
    </row>
    <row r="622" customFormat="false" ht="15" hidden="false" customHeight="false" outlineLevel="0" collapsed="false">
      <c r="A622" s="31" t="s">
        <v>878</v>
      </c>
      <c r="B622" s="31" t="s">
        <v>880</v>
      </c>
      <c r="C622" s="31" t="s">
        <v>20</v>
      </c>
      <c r="D622" s="31" t="s">
        <v>63</v>
      </c>
      <c r="E622" s="31" t="n">
        <v>1</v>
      </c>
      <c r="F622" s="32" t="n">
        <v>14</v>
      </c>
      <c r="G622" s="32" t="n">
        <v>14</v>
      </c>
      <c r="H622" s="31" t="s">
        <v>45</v>
      </c>
      <c r="I622" s="31" t="s">
        <v>58</v>
      </c>
      <c r="J622" s="31" t="s">
        <v>493</v>
      </c>
      <c r="K622" s="31" t="s">
        <v>48</v>
      </c>
    </row>
    <row r="623" customFormat="false" ht="15" hidden="false" customHeight="false" outlineLevel="0" collapsed="false">
      <c r="A623" s="31" t="s">
        <v>881</v>
      </c>
      <c r="B623" s="31" t="s">
        <v>882</v>
      </c>
      <c r="C623" s="31" t="s">
        <v>44</v>
      </c>
      <c r="D623" s="31" t="s">
        <v>44</v>
      </c>
      <c r="E623" s="31" t="n">
        <v>1</v>
      </c>
      <c r="F623" s="32" t="n">
        <v>3.95</v>
      </c>
      <c r="G623" s="32" t="n">
        <v>3.95</v>
      </c>
      <c r="H623" s="31" t="s">
        <v>57</v>
      </c>
      <c r="I623" s="31" t="s">
        <v>58</v>
      </c>
      <c r="J623" s="31" t="s">
        <v>883</v>
      </c>
      <c r="K623" s="31" t="s">
        <v>48</v>
      </c>
    </row>
    <row r="624" customFormat="false" ht="15" hidden="false" customHeight="false" outlineLevel="0" collapsed="false">
      <c r="A624" s="31" t="s">
        <v>881</v>
      </c>
      <c r="B624" s="31" t="s">
        <v>882</v>
      </c>
      <c r="C624" s="31" t="s">
        <v>20</v>
      </c>
      <c r="D624" s="31" t="s">
        <v>69</v>
      </c>
      <c r="E624" s="31" t="n">
        <v>1</v>
      </c>
      <c r="F624" s="32" t="n">
        <v>29</v>
      </c>
      <c r="G624" s="32" t="n">
        <v>29</v>
      </c>
      <c r="H624" s="31" t="s">
        <v>57</v>
      </c>
      <c r="I624" s="31" t="s">
        <v>58</v>
      </c>
      <c r="J624" s="31" t="s">
        <v>883</v>
      </c>
      <c r="K624" s="31" t="s">
        <v>48</v>
      </c>
    </row>
    <row r="625" customFormat="false" ht="15" hidden="false" customHeight="false" outlineLevel="0" collapsed="false">
      <c r="A625" s="31" t="s">
        <v>884</v>
      </c>
      <c r="B625" s="31" t="s">
        <v>885</v>
      </c>
      <c r="C625" s="31" t="s">
        <v>20</v>
      </c>
      <c r="D625" s="31" t="s">
        <v>63</v>
      </c>
      <c r="E625" s="31" t="n">
        <v>3</v>
      </c>
      <c r="F625" s="32" t="n">
        <v>14</v>
      </c>
      <c r="G625" s="32" t="n">
        <v>42</v>
      </c>
      <c r="H625" s="31" t="s">
        <v>45</v>
      </c>
      <c r="I625" s="31" t="s">
        <v>58</v>
      </c>
      <c r="J625" s="31" t="s">
        <v>111</v>
      </c>
      <c r="K625" s="31" t="s">
        <v>48</v>
      </c>
    </row>
    <row r="626" customFormat="false" ht="15" hidden="false" customHeight="false" outlineLevel="0" collapsed="false">
      <c r="A626" s="31" t="s">
        <v>884</v>
      </c>
      <c r="B626" s="31" t="s">
        <v>885</v>
      </c>
      <c r="C626" s="31" t="s">
        <v>20</v>
      </c>
      <c r="D626" s="31" t="s">
        <v>66</v>
      </c>
      <c r="E626" s="31" t="n">
        <v>1</v>
      </c>
      <c r="F626" s="32" t="n">
        <v>28.8</v>
      </c>
      <c r="G626" s="32" t="n">
        <v>28.8</v>
      </c>
      <c r="H626" s="31" t="s">
        <v>45</v>
      </c>
      <c r="I626" s="31" t="s">
        <v>58</v>
      </c>
      <c r="J626" s="31" t="s">
        <v>111</v>
      </c>
      <c r="K626" s="31" t="s">
        <v>48</v>
      </c>
    </row>
    <row r="627" customFormat="false" ht="15" hidden="false" customHeight="false" outlineLevel="0" collapsed="false">
      <c r="A627" s="31" t="s">
        <v>884</v>
      </c>
      <c r="B627" s="31" t="s">
        <v>886</v>
      </c>
      <c r="C627" s="31" t="s">
        <v>44</v>
      </c>
      <c r="D627" s="31" t="s">
        <v>44</v>
      </c>
      <c r="E627" s="31" t="n">
        <v>1</v>
      </c>
      <c r="F627" s="32" t="n">
        <v>4.95</v>
      </c>
      <c r="G627" s="32" t="n">
        <v>4.95</v>
      </c>
      <c r="H627" s="31" t="s">
        <v>45</v>
      </c>
      <c r="I627" s="31" t="s">
        <v>58</v>
      </c>
      <c r="J627" s="31" t="s">
        <v>111</v>
      </c>
      <c r="K627" s="31" t="s">
        <v>48</v>
      </c>
    </row>
    <row r="628" customFormat="false" ht="15" hidden="false" customHeight="false" outlineLevel="0" collapsed="false">
      <c r="A628" s="31" t="s">
        <v>887</v>
      </c>
      <c r="B628" s="31" t="s">
        <v>888</v>
      </c>
      <c r="C628" s="31" t="s">
        <v>20</v>
      </c>
      <c r="D628" s="31" t="s">
        <v>52</v>
      </c>
      <c r="E628" s="31" t="n">
        <v>1</v>
      </c>
      <c r="F628" s="32" t="n">
        <v>22</v>
      </c>
      <c r="G628" s="32" t="n">
        <v>22</v>
      </c>
      <c r="H628" s="31" t="s">
        <v>45</v>
      </c>
      <c r="I628" s="31" t="s">
        <v>58</v>
      </c>
      <c r="J628" s="31" t="s">
        <v>889</v>
      </c>
      <c r="K628" s="31" t="s">
        <v>48</v>
      </c>
    </row>
    <row r="629" customFormat="false" ht="15" hidden="false" customHeight="false" outlineLevel="0" collapsed="false">
      <c r="A629" s="31" t="s">
        <v>887</v>
      </c>
      <c r="B629" s="31" t="s">
        <v>888</v>
      </c>
      <c r="C629" s="31" t="s">
        <v>20</v>
      </c>
      <c r="D629" s="31" t="s">
        <v>140</v>
      </c>
      <c r="E629" s="31" t="n">
        <v>2</v>
      </c>
      <c r="F629" s="32" t="n">
        <v>26</v>
      </c>
      <c r="G629" s="32" t="n">
        <v>52</v>
      </c>
      <c r="H629" s="31" t="s">
        <v>45</v>
      </c>
      <c r="I629" s="31" t="s">
        <v>58</v>
      </c>
      <c r="J629" s="31" t="s">
        <v>889</v>
      </c>
      <c r="K629" s="31" t="s">
        <v>48</v>
      </c>
    </row>
    <row r="630" customFormat="false" ht="15" hidden="false" customHeight="false" outlineLevel="0" collapsed="false">
      <c r="A630" s="31" t="s">
        <v>887</v>
      </c>
      <c r="B630" s="31" t="s">
        <v>888</v>
      </c>
      <c r="C630" s="31" t="s">
        <v>20</v>
      </c>
      <c r="D630" s="31" t="s">
        <v>53</v>
      </c>
      <c r="E630" s="31" t="n">
        <v>1</v>
      </c>
      <c r="F630" s="32" t="n">
        <v>39</v>
      </c>
      <c r="G630" s="32" t="n">
        <v>39</v>
      </c>
      <c r="H630" s="31" t="s">
        <v>45</v>
      </c>
      <c r="I630" s="31" t="s">
        <v>58</v>
      </c>
      <c r="J630" s="31" t="s">
        <v>889</v>
      </c>
      <c r="K630" s="31" t="s">
        <v>48</v>
      </c>
    </row>
    <row r="631" customFormat="false" ht="15" hidden="false" customHeight="false" outlineLevel="0" collapsed="false">
      <c r="A631" s="31" t="s">
        <v>787</v>
      </c>
      <c r="B631" s="31" t="s">
        <v>890</v>
      </c>
      <c r="C631" s="31" t="s">
        <v>20</v>
      </c>
      <c r="D631" s="31" t="s">
        <v>73</v>
      </c>
      <c r="E631" s="31" t="n">
        <v>-1</v>
      </c>
      <c r="F631" s="32" t="n">
        <v>69</v>
      </c>
      <c r="G631" s="32" t="n">
        <v>-69</v>
      </c>
      <c r="H631" s="31" t="s">
        <v>45</v>
      </c>
      <c r="I631" s="31" t="s">
        <v>104</v>
      </c>
      <c r="J631" s="31" t="s">
        <v>789</v>
      </c>
      <c r="K631" s="31" t="s">
        <v>243</v>
      </c>
    </row>
    <row r="632" customFormat="false" ht="15" hidden="false" customHeight="false" outlineLevel="0" collapsed="false">
      <c r="A632" s="31" t="s">
        <v>891</v>
      </c>
      <c r="B632" s="31" t="s">
        <v>892</v>
      </c>
      <c r="C632" s="31" t="s">
        <v>20</v>
      </c>
      <c r="D632" s="31" t="s">
        <v>123</v>
      </c>
      <c r="E632" s="31" t="n">
        <v>1</v>
      </c>
      <c r="F632" s="32" t="n">
        <v>75</v>
      </c>
      <c r="G632" s="32" t="n">
        <v>75</v>
      </c>
      <c r="H632" s="31" t="s">
        <v>45</v>
      </c>
      <c r="I632" s="31" t="s">
        <v>58</v>
      </c>
      <c r="J632" s="31" t="s">
        <v>751</v>
      </c>
      <c r="K632" s="31" t="s">
        <v>48</v>
      </c>
    </row>
    <row r="633" customFormat="false" ht="15" hidden="false" customHeight="false" outlineLevel="0" collapsed="false">
      <c r="A633" s="31" t="s">
        <v>893</v>
      </c>
      <c r="B633" s="31" t="s">
        <v>894</v>
      </c>
      <c r="C633" s="31" t="s">
        <v>20</v>
      </c>
      <c r="D633" s="31" t="s">
        <v>69</v>
      </c>
      <c r="E633" s="31" t="n">
        <v>1</v>
      </c>
      <c r="F633" s="32" t="n">
        <v>29</v>
      </c>
      <c r="G633" s="32" t="n">
        <v>29</v>
      </c>
      <c r="H633" s="31" t="s">
        <v>45</v>
      </c>
      <c r="I633" s="31" t="s">
        <v>58</v>
      </c>
      <c r="J633" s="31" t="s">
        <v>895</v>
      </c>
      <c r="K633" s="31" t="s">
        <v>48</v>
      </c>
    </row>
    <row r="634" customFormat="false" ht="15" hidden="false" customHeight="false" outlineLevel="0" collapsed="false">
      <c r="A634" s="31" t="s">
        <v>893</v>
      </c>
      <c r="B634" s="31" t="s">
        <v>894</v>
      </c>
      <c r="C634" s="31" t="s">
        <v>20</v>
      </c>
      <c r="D634" s="31" t="s">
        <v>63</v>
      </c>
      <c r="E634" s="31" t="n">
        <v>1</v>
      </c>
      <c r="F634" s="32" t="n">
        <v>14</v>
      </c>
      <c r="G634" s="32" t="n">
        <v>14</v>
      </c>
      <c r="H634" s="31" t="s">
        <v>45</v>
      </c>
      <c r="I634" s="31" t="s">
        <v>58</v>
      </c>
      <c r="J634" s="31" t="s">
        <v>895</v>
      </c>
      <c r="K634" s="31" t="s">
        <v>48</v>
      </c>
    </row>
    <row r="635" customFormat="false" ht="15" hidden="false" customHeight="false" outlineLevel="0" collapsed="false">
      <c r="A635" s="31" t="s">
        <v>893</v>
      </c>
      <c r="B635" s="31" t="s">
        <v>894</v>
      </c>
      <c r="C635" s="31" t="s">
        <v>20</v>
      </c>
      <c r="D635" s="31" t="s">
        <v>123</v>
      </c>
      <c r="E635" s="31" t="n">
        <v>1</v>
      </c>
      <c r="F635" s="32" t="n">
        <v>75</v>
      </c>
      <c r="G635" s="32" t="n">
        <v>75</v>
      </c>
      <c r="H635" s="31" t="s">
        <v>45</v>
      </c>
      <c r="I635" s="31" t="s">
        <v>58</v>
      </c>
      <c r="J635" s="31" t="s">
        <v>895</v>
      </c>
      <c r="K635" s="31" t="s">
        <v>48</v>
      </c>
    </row>
    <row r="636" customFormat="false" ht="15" hidden="false" customHeight="false" outlineLevel="0" collapsed="false">
      <c r="A636" s="31" t="s">
        <v>896</v>
      </c>
      <c r="B636" s="31" t="s">
        <v>897</v>
      </c>
      <c r="C636" s="31" t="s">
        <v>50</v>
      </c>
      <c r="D636" s="31" t="s">
        <v>51</v>
      </c>
      <c r="E636" s="31" t="n">
        <v>1</v>
      </c>
      <c r="F636" s="32" t="n">
        <v>-10</v>
      </c>
      <c r="G636" s="32" t="n">
        <v>-10</v>
      </c>
      <c r="H636" s="31" t="s">
        <v>45</v>
      </c>
      <c r="I636" s="31" t="s">
        <v>121</v>
      </c>
      <c r="J636" s="31" t="s">
        <v>642</v>
      </c>
      <c r="K636" s="31" t="s">
        <v>48</v>
      </c>
    </row>
    <row r="637" customFormat="false" ht="15" hidden="false" customHeight="false" outlineLevel="0" collapsed="false">
      <c r="A637" s="31" t="s">
        <v>896</v>
      </c>
      <c r="B637" s="31" t="s">
        <v>898</v>
      </c>
      <c r="C637" s="31" t="s">
        <v>20</v>
      </c>
      <c r="D637" s="31" t="s">
        <v>69</v>
      </c>
      <c r="E637" s="31" t="n">
        <v>1</v>
      </c>
      <c r="F637" s="32" t="n">
        <v>29</v>
      </c>
      <c r="G637" s="32" t="n">
        <v>29</v>
      </c>
      <c r="H637" s="31" t="s">
        <v>45</v>
      </c>
      <c r="I637" s="31" t="s">
        <v>121</v>
      </c>
      <c r="J637" s="31" t="s">
        <v>642</v>
      </c>
      <c r="K637" s="31" t="s">
        <v>48</v>
      </c>
    </row>
    <row r="638" customFormat="false" ht="15" hidden="false" customHeight="false" outlineLevel="0" collapsed="false">
      <c r="A638" s="31" t="s">
        <v>899</v>
      </c>
      <c r="B638" s="31" t="s">
        <v>900</v>
      </c>
      <c r="C638" s="31" t="s">
        <v>20</v>
      </c>
      <c r="D638" s="31" t="s">
        <v>87</v>
      </c>
      <c r="E638" s="31" t="n">
        <v>2</v>
      </c>
      <c r="F638" s="32" t="n">
        <v>35</v>
      </c>
      <c r="G638" s="32" t="n">
        <v>70</v>
      </c>
      <c r="H638" s="31" t="s">
        <v>45</v>
      </c>
      <c r="I638" s="31" t="s">
        <v>58</v>
      </c>
      <c r="J638" s="31" t="s">
        <v>745</v>
      </c>
      <c r="K638" s="31" t="s">
        <v>48</v>
      </c>
    </row>
    <row r="639" customFormat="false" ht="15" hidden="false" customHeight="false" outlineLevel="0" collapsed="false">
      <c r="A639" s="31" t="s">
        <v>899</v>
      </c>
      <c r="B639" s="31" t="s">
        <v>900</v>
      </c>
      <c r="C639" s="31" t="s">
        <v>50</v>
      </c>
      <c r="D639" s="31" t="s">
        <v>51</v>
      </c>
      <c r="E639" s="31" t="n">
        <v>1</v>
      </c>
      <c r="F639" s="32" t="n">
        <v>-10</v>
      </c>
      <c r="G639" s="32" t="n">
        <v>-10</v>
      </c>
      <c r="H639" s="31" t="s">
        <v>45</v>
      </c>
      <c r="I639" s="31" t="s">
        <v>58</v>
      </c>
      <c r="J639" s="31" t="s">
        <v>745</v>
      </c>
      <c r="K639" s="31" t="s">
        <v>48</v>
      </c>
    </row>
    <row r="640" customFormat="false" ht="15" hidden="false" customHeight="false" outlineLevel="0" collapsed="false">
      <c r="A640" s="31" t="s">
        <v>901</v>
      </c>
      <c r="B640" s="31" t="s">
        <v>902</v>
      </c>
      <c r="C640" s="31" t="s">
        <v>20</v>
      </c>
      <c r="D640" s="31" t="s">
        <v>140</v>
      </c>
      <c r="E640" s="31" t="n">
        <v>1</v>
      </c>
      <c r="F640" s="32" t="n">
        <v>26</v>
      </c>
      <c r="G640" s="32" t="n">
        <v>26</v>
      </c>
      <c r="H640" s="31" t="s">
        <v>184</v>
      </c>
      <c r="I640" s="31" t="s">
        <v>58</v>
      </c>
      <c r="J640" s="31" t="s">
        <v>903</v>
      </c>
      <c r="K640" s="31" t="s">
        <v>48</v>
      </c>
    </row>
    <row r="641" customFormat="false" ht="15" hidden="false" customHeight="false" outlineLevel="0" collapsed="false">
      <c r="A641" s="31" t="s">
        <v>901</v>
      </c>
      <c r="B641" s="31" t="s">
        <v>902</v>
      </c>
      <c r="C641" s="31" t="s">
        <v>44</v>
      </c>
      <c r="D641" s="31" t="s">
        <v>44</v>
      </c>
      <c r="E641" s="31" t="n">
        <v>1</v>
      </c>
      <c r="F641" s="32" t="n">
        <v>4.95</v>
      </c>
      <c r="G641" s="32" t="n">
        <v>4.95</v>
      </c>
      <c r="H641" s="31" t="s">
        <v>184</v>
      </c>
      <c r="I641" s="31" t="s">
        <v>58</v>
      </c>
      <c r="J641" s="31" t="s">
        <v>903</v>
      </c>
      <c r="K641" s="31" t="s">
        <v>48</v>
      </c>
    </row>
    <row r="642" customFormat="false" ht="15" hidden="false" customHeight="false" outlineLevel="0" collapsed="false">
      <c r="A642" s="31" t="s">
        <v>901</v>
      </c>
      <c r="B642" s="31" t="s">
        <v>904</v>
      </c>
      <c r="C642" s="31" t="s">
        <v>20</v>
      </c>
      <c r="D642" s="31" t="s">
        <v>78</v>
      </c>
      <c r="E642" s="31" t="n">
        <v>2</v>
      </c>
      <c r="F642" s="32" t="n">
        <v>89</v>
      </c>
      <c r="G642" s="32" t="n">
        <v>178</v>
      </c>
      <c r="H642" s="31" t="s">
        <v>184</v>
      </c>
      <c r="I642" s="31" t="s">
        <v>58</v>
      </c>
      <c r="J642" s="31" t="s">
        <v>903</v>
      </c>
      <c r="K642" s="31" t="s">
        <v>48</v>
      </c>
    </row>
    <row r="643" customFormat="false" ht="15" hidden="false" customHeight="false" outlineLevel="0" collapsed="false">
      <c r="A643" s="31" t="s">
        <v>797</v>
      </c>
      <c r="B643" s="31" t="s">
        <v>905</v>
      </c>
      <c r="C643" s="31" t="s">
        <v>20</v>
      </c>
      <c r="D643" s="31" t="s">
        <v>69</v>
      </c>
      <c r="E643" s="31" t="n">
        <v>-2</v>
      </c>
      <c r="F643" s="32" t="n">
        <v>29</v>
      </c>
      <c r="G643" s="32" t="n">
        <v>-58</v>
      </c>
      <c r="H643" s="31" t="s">
        <v>45</v>
      </c>
      <c r="I643" s="31" t="s">
        <v>58</v>
      </c>
      <c r="J643" s="31"/>
      <c r="K643" s="31" t="s">
        <v>243</v>
      </c>
    </row>
    <row r="644" customFormat="false" ht="15" hidden="false" customHeight="false" outlineLevel="0" collapsed="false">
      <c r="A644" s="31" t="s">
        <v>803</v>
      </c>
      <c r="B644" s="31" t="s">
        <v>906</v>
      </c>
      <c r="C644" s="31" t="s">
        <v>20</v>
      </c>
      <c r="D644" s="31" t="s">
        <v>66</v>
      </c>
      <c r="E644" s="31" t="n">
        <v>-1</v>
      </c>
      <c r="F644" s="32" t="n">
        <v>32</v>
      </c>
      <c r="G644" s="32" t="n">
        <v>-32</v>
      </c>
      <c r="H644" s="31" t="s">
        <v>45</v>
      </c>
      <c r="I644" s="31" t="s">
        <v>58</v>
      </c>
      <c r="J644" s="31" t="s">
        <v>805</v>
      </c>
      <c r="K644" s="31" t="s">
        <v>243</v>
      </c>
    </row>
    <row r="645" customFormat="false" ht="15" hidden="false" customHeight="false" outlineLevel="0" collapsed="false">
      <c r="A645" s="31" t="s">
        <v>907</v>
      </c>
      <c r="B645" s="31" t="s">
        <v>908</v>
      </c>
      <c r="C645" s="31" t="s">
        <v>50</v>
      </c>
      <c r="D645" s="31" t="s">
        <v>51</v>
      </c>
      <c r="E645" s="31" t="n">
        <v>1</v>
      </c>
      <c r="F645" s="32" t="n">
        <v>-15</v>
      </c>
      <c r="G645" s="32" t="n">
        <v>-15</v>
      </c>
      <c r="H645" s="31" t="s">
        <v>45</v>
      </c>
      <c r="I645" s="31" t="s">
        <v>58</v>
      </c>
      <c r="J645" s="31" t="s">
        <v>909</v>
      </c>
      <c r="K645" s="31" t="s">
        <v>48</v>
      </c>
    </row>
    <row r="646" customFormat="false" ht="15" hidden="false" customHeight="false" outlineLevel="0" collapsed="false">
      <c r="A646" s="31" t="s">
        <v>907</v>
      </c>
      <c r="B646" s="31" t="s">
        <v>908</v>
      </c>
      <c r="C646" s="31" t="s">
        <v>44</v>
      </c>
      <c r="D646" s="31" t="s">
        <v>44</v>
      </c>
      <c r="E646" s="31" t="n">
        <v>1</v>
      </c>
      <c r="F646" s="32" t="n">
        <v>4.95</v>
      </c>
      <c r="G646" s="32" t="n">
        <v>4.95</v>
      </c>
      <c r="H646" s="31" t="s">
        <v>45</v>
      </c>
      <c r="I646" s="31" t="s">
        <v>58</v>
      </c>
      <c r="J646" s="31" t="s">
        <v>909</v>
      </c>
      <c r="K646" s="31" t="s">
        <v>48</v>
      </c>
    </row>
    <row r="647" customFormat="false" ht="15" hidden="false" customHeight="false" outlineLevel="0" collapsed="false">
      <c r="A647" s="31" t="s">
        <v>907</v>
      </c>
      <c r="B647" s="31" t="s">
        <v>910</v>
      </c>
      <c r="C647" s="31" t="s">
        <v>20</v>
      </c>
      <c r="D647" s="31" t="s">
        <v>73</v>
      </c>
      <c r="E647" s="31" t="n">
        <v>1</v>
      </c>
      <c r="F647" s="32" t="n">
        <v>69</v>
      </c>
      <c r="G647" s="32" t="n">
        <v>69</v>
      </c>
      <c r="H647" s="31" t="s">
        <v>45</v>
      </c>
      <c r="I647" s="31" t="s">
        <v>58</v>
      </c>
      <c r="J647" s="31" t="s">
        <v>909</v>
      </c>
      <c r="K647" s="31" t="s">
        <v>48</v>
      </c>
    </row>
    <row r="648" customFormat="false" ht="15" hidden="false" customHeight="false" outlineLevel="0" collapsed="false">
      <c r="A648" s="31" t="s">
        <v>911</v>
      </c>
      <c r="B648" s="31" t="s">
        <v>912</v>
      </c>
      <c r="C648" s="31" t="s">
        <v>20</v>
      </c>
      <c r="D648" s="31" t="s">
        <v>123</v>
      </c>
      <c r="E648" s="31" t="n">
        <v>1</v>
      </c>
      <c r="F648" s="32" t="n">
        <v>63.75</v>
      </c>
      <c r="G648" s="32" t="n">
        <v>63.75</v>
      </c>
      <c r="H648" s="31" t="s">
        <v>184</v>
      </c>
      <c r="I648" s="31" t="s">
        <v>58</v>
      </c>
      <c r="J648" s="31" t="s">
        <v>913</v>
      </c>
      <c r="K648" s="31" t="s">
        <v>48</v>
      </c>
    </row>
    <row r="649" customFormat="false" ht="15" hidden="false" customHeight="false" outlineLevel="0" collapsed="false">
      <c r="A649" s="31" t="s">
        <v>911</v>
      </c>
      <c r="B649" s="31" t="s">
        <v>912</v>
      </c>
      <c r="C649" s="31" t="s">
        <v>44</v>
      </c>
      <c r="D649" s="31" t="s">
        <v>44</v>
      </c>
      <c r="E649" s="31" t="n">
        <v>1</v>
      </c>
      <c r="F649" s="32" t="n">
        <v>4.95</v>
      </c>
      <c r="G649" s="32" t="n">
        <v>4.95</v>
      </c>
      <c r="H649" s="31" t="s">
        <v>184</v>
      </c>
      <c r="I649" s="31" t="s">
        <v>58</v>
      </c>
      <c r="J649" s="31" t="s">
        <v>913</v>
      </c>
      <c r="K649" s="31" t="s">
        <v>48</v>
      </c>
    </row>
    <row r="650" customFormat="false" ht="15" hidden="false" customHeight="false" outlineLevel="0" collapsed="false">
      <c r="A650" s="31" t="s">
        <v>914</v>
      </c>
      <c r="B650" s="31" t="s">
        <v>915</v>
      </c>
      <c r="C650" s="31" t="s">
        <v>20</v>
      </c>
      <c r="D650" s="31" t="s">
        <v>53</v>
      </c>
      <c r="E650" s="31" t="n">
        <v>1</v>
      </c>
      <c r="F650" s="32" t="n">
        <v>39</v>
      </c>
      <c r="G650" s="32" t="n">
        <v>39</v>
      </c>
      <c r="H650" s="31" t="s">
        <v>45</v>
      </c>
      <c r="I650" s="31" t="s">
        <v>58</v>
      </c>
      <c r="J650" s="31" t="s">
        <v>916</v>
      </c>
      <c r="K650" s="31" t="s">
        <v>48</v>
      </c>
    </row>
    <row r="651" customFormat="false" ht="15" hidden="false" customHeight="false" outlineLevel="0" collapsed="false">
      <c r="A651" s="31" t="s">
        <v>917</v>
      </c>
      <c r="B651" s="31" t="s">
        <v>918</v>
      </c>
      <c r="C651" s="31" t="s">
        <v>44</v>
      </c>
      <c r="D651" s="31" t="s">
        <v>44</v>
      </c>
      <c r="E651" s="31" t="n">
        <v>1</v>
      </c>
      <c r="F651" s="32" t="n">
        <v>4.95</v>
      </c>
      <c r="G651" s="32" t="n">
        <v>4.95</v>
      </c>
      <c r="H651" s="31" t="s">
        <v>45</v>
      </c>
      <c r="I651" s="31" t="s">
        <v>58</v>
      </c>
      <c r="J651" s="31" t="s">
        <v>919</v>
      </c>
      <c r="K651" s="31" t="s">
        <v>48</v>
      </c>
    </row>
    <row r="652" customFormat="false" ht="15" hidden="false" customHeight="false" outlineLevel="0" collapsed="false">
      <c r="A652" s="31" t="s">
        <v>917</v>
      </c>
      <c r="B652" s="31" t="s">
        <v>920</v>
      </c>
      <c r="C652" s="31" t="s">
        <v>20</v>
      </c>
      <c r="D652" s="31" t="s">
        <v>123</v>
      </c>
      <c r="E652" s="31" t="n">
        <v>1</v>
      </c>
      <c r="F652" s="32" t="n">
        <v>75</v>
      </c>
      <c r="G652" s="32" t="n">
        <v>75</v>
      </c>
      <c r="H652" s="31" t="s">
        <v>45</v>
      </c>
      <c r="I652" s="31" t="s">
        <v>58</v>
      </c>
      <c r="J652" s="31" t="s">
        <v>919</v>
      </c>
      <c r="K652" s="31" t="s">
        <v>48</v>
      </c>
    </row>
    <row r="653" customFormat="false" ht="15" hidden="false" customHeight="false" outlineLevel="0" collapsed="false">
      <c r="A653" s="31" t="s">
        <v>921</v>
      </c>
      <c r="B653" s="31" t="s">
        <v>922</v>
      </c>
      <c r="C653" s="31" t="s">
        <v>44</v>
      </c>
      <c r="D653" s="31" t="s">
        <v>44</v>
      </c>
      <c r="E653" s="31" t="n">
        <v>1</v>
      </c>
      <c r="F653" s="32" t="n">
        <v>5.95</v>
      </c>
      <c r="G653" s="32" t="n">
        <v>5.95</v>
      </c>
      <c r="H653" s="31" t="s">
        <v>45</v>
      </c>
      <c r="I653" s="31" t="s">
        <v>155</v>
      </c>
      <c r="J653" s="31" t="s">
        <v>923</v>
      </c>
      <c r="K653" s="31" t="s">
        <v>48</v>
      </c>
    </row>
    <row r="654" customFormat="false" ht="15" hidden="false" customHeight="false" outlineLevel="0" collapsed="false">
      <c r="A654" s="31" t="s">
        <v>921</v>
      </c>
      <c r="B654" s="31" t="s">
        <v>922</v>
      </c>
      <c r="C654" s="31" t="s">
        <v>20</v>
      </c>
      <c r="D654" s="31" t="s">
        <v>78</v>
      </c>
      <c r="E654" s="31" t="n">
        <v>1</v>
      </c>
      <c r="F654" s="32" t="n">
        <v>80.1</v>
      </c>
      <c r="G654" s="32" t="n">
        <v>80.1</v>
      </c>
      <c r="H654" s="31" t="s">
        <v>45</v>
      </c>
      <c r="I654" s="31" t="s">
        <v>155</v>
      </c>
      <c r="J654" s="31" t="s">
        <v>923</v>
      </c>
      <c r="K654" s="31" t="s">
        <v>48</v>
      </c>
    </row>
    <row r="655" customFormat="false" ht="15" hidden="false" customHeight="false" outlineLevel="0" collapsed="false">
      <c r="A655" s="31" t="s">
        <v>921</v>
      </c>
      <c r="B655" s="31" t="s">
        <v>922</v>
      </c>
      <c r="C655" s="31" t="s">
        <v>50</v>
      </c>
      <c r="D655" s="31" t="s">
        <v>51</v>
      </c>
      <c r="E655" s="31" t="n">
        <v>1</v>
      </c>
      <c r="F655" s="32" t="n">
        <v>-15</v>
      </c>
      <c r="G655" s="32" t="n">
        <v>-15</v>
      </c>
      <c r="H655" s="31" t="s">
        <v>45</v>
      </c>
      <c r="I655" s="31" t="s">
        <v>155</v>
      </c>
      <c r="J655" s="31" t="s">
        <v>923</v>
      </c>
      <c r="K655" s="31" t="s">
        <v>48</v>
      </c>
    </row>
    <row r="656" customFormat="false" ht="15" hidden="false" customHeight="false" outlineLevel="0" collapsed="false">
      <c r="A656" s="31" t="s">
        <v>924</v>
      </c>
      <c r="B656" s="31" t="s">
        <v>925</v>
      </c>
      <c r="C656" s="31" t="s">
        <v>20</v>
      </c>
      <c r="D656" s="31" t="s">
        <v>140</v>
      </c>
      <c r="E656" s="31" t="n">
        <v>1</v>
      </c>
      <c r="F656" s="32" t="n">
        <v>26</v>
      </c>
      <c r="G656" s="32" t="n">
        <v>26</v>
      </c>
      <c r="H656" s="31" t="s">
        <v>45</v>
      </c>
      <c r="I656" s="31" t="s">
        <v>58</v>
      </c>
      <c r="J656" s="31" t="s">
        <v>926</v>
      </c>
      <c r="K656" s="31" t="s">
        <v>48</v>
      </c>
    </row>
    <row r="657" customFormat="false" ht="15" hidden="false" customHeight="false" outlineLevel="0" collapsed="false">
      <c r="A657" s="31" t="s">
        <v>924</v>
      </c>
      <c r="B657" s="31" t="s">
        <v>927</v>
      </c>
      <c r="C657" s="31" t="s">
        <v>20</v>
      </c>
      <c r="D657" s="31" t="s">
        <v>52</v>
      </c>
      <c r="E657" s="31" t="n">
        <v>1</v>
      </c>
      <c r="F657" s="32" t="n">
        <v>22</v>
      </c>
      <c r="G657" s="32" t="n">
        <v>22</v>
      </c>
      <c r="H657" s="31" t="s">
        <v>45</v>
      </c>
      <c r="I657" s="31" t="s">
        <v>58</v>
      </c>
      <c r="J657" s="31" t="s">
        <v>926</v>
      </c>
      <c r="K657" s="31" t="s">
        <v>48</v>
      </c>
    </row>
    <row r="658" customFormat="false" ht="15" hidden="false" customHeight="false" outlineLevel="0" collapsed="false">
      <c r="A658" s="31" t="s">
        <v>924</v>
      </c>
      <c r="B658" s="31" t="s">
        <v>925</v>
      </c>
      <c r="C658" s="31" t="s">
        <v>44</v>
      </c>
      <c r="D658" s="31" t="s">
        <v>44</v>
      </c>
      <c r="E658" s="31" t="n">
        <v>1</v>
      </c>
      <c r="F658" s="32" t="n">
        <v>3.95</v>
      </c>
      <c r="G658" s="32" t="n">
        <v>3.95</v>
      </c>
      <c r="H658" s="31" t="s">
        <v>45</v>
      </c>
      <c r="I658" s="31" t="s">
        <v>58</v>
      </c>
      <c r="J658" s="31" t="s">
        <v>926</v>
      </c>
      <c r="K658" s="31" t="s">
        <v>48</v>
      </c>
    </row>
    <row r="659" customFormat="false" ht="15" hidden="false" customHeight="false" outlineLevel="0" collapsed="false">
      <c r="A659" s="31" t="s">
        <v>928</v>
      </c>
      <c r="B659" s="31" t="s">
        <v>929</v>
      </c>
      <c r="C659" s="31" t="s">
        <v>20</v>
      </c>
      <c r="D659" s="31" t="s">
        <v>63</v>
      </c>
      <c r="E659" s="31" t="n">
        <v>1</v>
      </c>
      <c r="F659" s="32" t="n">
        <v>14</v>
      </c>
      <c r="G659" s="32" t="n">
        <v>14</v>
      </c>
      <c r="H659" s="31" t="s">
        <v>57</v>
      </c>
      <c r="I659" s="31" t="s">
        <v>58</v>
      </c>
      <c r="J659" s="31" t="s">
        <v>930</v>
      </c>
      <c r="K659" s="31" t="s">
        <v>48</v>
      </c>
    </row>
    <row r="660" customFormat="false" ht="15" hidden="false" customHeight="false" outlineLevel="0" collapsed="false">
      <c r="A660" s="31" t="s">
        <v>928</v>
      </c>
      <c r="B660" s="31" t="s">
        <v>929</v>
      </c>
      <c r="C660" s="31" t="s">
        <v>44</v>
      </c>
      <c r="D660" s="31" t="s">
        <v>44</v>
      </c>
      <c r="E660" s="31" t="n">
        <v>1</v>
      </c>
      <c r="F660" s="32" t="n">
        <v>5.95</v>
      </c>
      <c r="G660" s="32" t="n">
        <v>5.95</v>
      </c>
      <c r="H660" s="31" t="s">
        <v>57</v>
      </c>
      <c r="I660" s="31" t="s">
        <v>58</v>
      </c>
      <c r="J660" s="31" t="s">
        <v>930</v>
      </c>
      <c r="K660" s="31" t="s">
        <v>48</v>
      </c>
    </row>
    <row r="661" customFormat="false" ht="15" hidden="false" customHeight="false" outlineLevel="0" collapsed="false">
      <c r="A661" s="31" t="s">
        <v>931</v>
      </c>
      <c r="B661" s="31" t="s">
        <v>932</v>
      </c>
      <c r="C661" s="31" t="s">
        <v>44</v>
      </c>
      <c r="D661" s="31" t="s">
        <v>44</v>
      </c>
      <c r="E661" s="31" t="n">
        <v>1</v>
      </c>
      <c r="F661" s="32" t="n">
        <v>5.95</v>
      </c>
      <c r="G661" s="32" t="n">
        <v>5.95</v>
      </c>
      <c r="H661" s="31" t="s">
        <v>145</v>
      </c>
      <c r="I661" s="31" t="s">
        <v>58</v>
      </c>
      <c r="J661" s="31" t="s">
        <v>933</v>
      </c>
      <c r="K661" s="31" t="s">
        <v>48</v>
      </c>
    </row>
    <row r="662" customFormat="false" ht="15" hidden="false" customHeight="false" outlineLevel="0" collapsed="false">
      <c r="A662" s="31" t="s">
        <v>931</v>
      </c>
      <c r="B662" s="31" t="s">
        <v>934</v>
      </c>
      <c r="C662" s="31" t="s">
        <v>20</v>
      </c>
      <c r="D662" s="31" t="s">
        <v>78</v>
      </c>
      <c r="E662" s="31" t="n">
        <v>1</v>
      </c>
      <c r="F662" s="32" t="n">
        <v>89</v>
      </c>
      <c r="G662" s="32" t="n">
        <v>89</v>
      </c>
      <c r="H662" s="31" t="s">
        <v>145</v>
      </c>
      <c r="I662" s="31" t="s">
        <v>58</v>
      </c>
      <c r="J662" s="31" t="s">
        <v>933</v>
      </c>
      <c r="K662" s="31" t="s">
        <v>48</v>
      </c>
    </row>
    <row r="663" customFormat="false" ht="15" hidden="false" customHeight="false" outlineLevel="0" collapsed="false">
      <c r="A663" s="31" t="s">
        <v>931</v>
      </c>
      <c r="B663" s="31" t="s">
        <v>932</v>
      </c>
      <c r="C663" s="31" t="s">
        <v>20</v>
      </c>
      <c r="D663" s="31" t="s">
        <v>56</v>
      </c>
      <c r="E663" s="31" t="n">
        <v>1</v>
      </c>
      <c r="F663" s="32" t="n">
        <v>45</v>
      </c>
      <c r="G663" s="32" t="n">
        <v>45</v>
      </c>
      <c r="H663" s="31" t="s">
        <v>145</v>
      </c>
      <c r="I663" s="31" t="s">
        <v>58</v>
      </c>
      <c r="J663" s="31" t="s">
        <v>933</v>
      </c>
      <c r="K663" s="31" t="s">
        <v>48</v>
      </c>
    </row>
    <row r="664" customFormat="false" ht="15" hidden="false" customHeight="false" outlineLevel="0" collapsed="false">
      <c r="A664" s="31" t="s">
        <v>935</v>
      </c>
      <c r="B664" s="31" t="s">
        <v>936</v>
      </c>
      <c r="C664" s="31" t="s">
        <v>44</v>
      </c>
      <c r="D664" s="31" t="s">
        <v>44</v>
      </c>
      <c r="E664" s="31" t="n">
        <v>1</v>
      </c>
      <c r="F664" s="32" t="n">
        <v>5.95</v>
      </c>
      <c r="G664" s="32" t="n">
        <v>5.95</v>
      </c>
      <c r="H664" s="31" t="s">
        <v>184</v>
      </c>
      <c r="I664" s="31" t="s">
        <v>58</v>
      </c>
      <c r="J664" s="31" t="s">
        <v>937</v>
      </c>
      <c r="K664" s="31" t="s">
        <v>48</v>
      </c>
    </row>
    <row r="665" customFormat="false" ht="15" hidden="false" customHeight="false" outlineLevel="0" collapsed="false">
      <c r="A665" s="31" t="s">
        <v>935</v>
      </c>
      <c r="B665" s="31" t="s">
        <v>936</v>
      </c>
      <c r="C665" s="31" t="s">
        <v>20</v>
      </c>
      <c r="D665" s="31" t="s">
        <v>63</v>
      </c>
      <c r="E665" s="31" t="n">
        <v>2</v>
      </c>
      <c r="F665" s="32" t="n">
        <v>14</v>
      </c>
      <c r="G665" s="32" t="n">
        <v>28</v>
      </c>
      <c r="H665" s="31" t="s">
        <v>184</v>
      </c>
      <c r="I665" s="31" t="s">
        <v>58</v>
      </c>
      <c r="J665" s="31" t="s">
        <v>937</v>
      </c>
      <c r="K665" s="31" t="s">
        <v>48</v>
      </c>
    </row>
    <row r="666" customFormat="false" ht="15" hidden="false" customHeight="false" outlineLevel="0" collapsed="false">
      <c r="A666" s="31" t="s">
        <v>938</v>
      </c>
      <c r="B666" s="31" t="s">
        <v>939</v>
      </c>
      <c r="C666" s="31" t="s">
        <v>44</v>
      </c>
      <c r="D666" s="31" t="s">
        <v>44</v>
      </c>
      <c r="E666" s="31" t="n">
        <v>1</v>
      </c>
      <c r="F666" s="32" t="n">
        <v>3.95</v>
      </c>
      <c r="G666" s="32" t="n">
        <v>3.95</v>
      </c>
      <c r="H666" s="31" t="s">
        <v>57</v>
      </c>
      <c r="I666" s="31" t="s">
        <v>155</v>
      </c>
      <c r="J666" s="31" t="s">
        <v>940</v>
      </c>
      <c r="K666" s="31" t="s">
        <v>48</v>
      </c>
    </row>
    <row r="667" customFormat="false" ht="15" hidden="false" customHeight="false" outlineLevel="0" collapsed="false">
      <c r="A667" s="31" t="s">
        <v>938</v>
      </c>
      <c r="B667" s="31" t="s">
        <v>941</v>
      </c>
      <c r="C667" s="31" t="s">
        <v>50</v>
      </c>
      <c r="D667" s="31" t="s">
        <v>51</v>
      </c>
      <c r="E667" s="31" t="n">
        <v>1</v>
      </c>
      <c r="F667" s="32" t="n">
        <v>-15</v>
      </c>
      <c r="G667" s="32" t="n">
        <v>-15</v>
      </c>
      <c r="H667" s="31" t="s">
        <v>57</v>
      </c>
      <c r="I667" s="31" t="s">
        <v>155</v>
      </c>
      <c r="J667" s="31" t="s">
        <v>940</v>
      </c>
      <c r="K667" s="31" t="s">
        <v>48</v>
      </c>
    </row>
    <row r="668" customFormat="false" ht="15" hidden="false" customHeight="false" outlineLevel="0" collapsed="false">
      <c r="A668" s="31" t="s">
        <v>938</v>
      </c>
      <c r="B668" s="31" t="s">
        <v>939</v>
      </c>
      <c r="C668" s="31" t="s">
        <v>20</v>
      </c>
      <c r="D668" s="31" t="s">
        <v>69</v>
      </c>
      <c r="E668" s="31" t="n">
        <v>1</v>
      </c>
      <c r="F668" s="32" t="n">
        <v>29</v>
      </c>
      <c r="G668" s="32" t="n">
        <v>29</v>
      </c>
      <c r="H668" s="31" t="s">
        <v>57</v>
      </c>
      <c r="I668" s="31" t="s">
        <v>155</v>
      </c>
      <c r="J668" s="31" t="s">
        <v>940</v>
      </c>
      <c r="K668" s="31" t="s">
        <v>48</v>
      </c>
    </row>
    <row r="669" customFormat="false" ht="15" hidden="false" customHeight="false" outlineLevel="0" collapsed="false">
      <c r="A669" s="31" t="s">
        <v>942</v>
      </c>
      <c r="B669" s="31" t="s">
        <v>943</v>
      </c>
      <c r="C669" s="31" t="s">
        <v>20</v>
      </c>
      <c r="D669" s="31" t="s">
        <v>87</v>
      </c>
      <c r="E669" s="31" t="n">
        <v>2</v>
      </c>
      <c r="F669" s="32" t="n">
        <v>35</v>
      </c>
      <c r="G669" s="32" t="n">
        <v>70</v>
      </c>
      <c r="H669" s="31" t="s">
        <v>45</v>
      </c>
      <c r="I669" s="31" t="s">
        <v>121</v>
      </c>
      <c r="J669" s="31" t="s">
        <v>100</v>
      </c>
      <c r="K669" s="31" t="s">
        <v>48</v>
      </c>
    </row>
    <row r="670" customFormat="false" ht="15" hidden="false" customHeight="false" outlineLevel="0" collapsed="false">
      <c r="A670" s="31" t="s">
        <v>942</v>
      </c>
      <c r="B670" s="31" t="s">
        <v>943</v>
      </c>
      <c r="C670" s="31" t="s">
        <v>44</v>
      </c>
      <c r="D670" s="31" t="s">
        <v>44</v>
      </c>
      <c r="E670" s="31" t="n">
        <v>1</v>
      </c>
      <c r="F670" s="32" t="n">
        <v>3.95</v>
      </c>
      <c r="G670" s="32" t="n">
        <v>3.95</v>
      </c>
      <c r="H670" s="31" t="s">
        <v>45</v>
      </c>
      <c r="I670" s="31" t="s">
        <v>121</v>
      </c>
      <c r="J670" s="31" t="s">
        <v>100</v>
      </c>
      <c r="K670" s="31" t="s">
        <v>48</v>
      </c>
    </row>
    <row r="671" customFormat="false" ht="15" hidden="false" customHeight="false" outlineLevel="0" collapsed="false">
      <c r="A671" s="31" t="s">
        <v>942</v>
      </c>
      <c r="B671" s="31" t="s">
        <v>943</v>
      </c>
      <c r="C671" s="31" t="s">
        <v>20</v>
      </c>
      <c r="D671" s="31" t="s">
        <v>53</v>
      </c>
      <c r="E671" s="31" t="n">
        <v>1</v>
      </c>
      <c r="F671" s="32" t="n">
        <v>39</v>
      </c>
      <c r="G671" s="32" t="n">
        <v>39</v>
      </c>
      <c r="H671" s="31" t="s">
        <v>45</v>
      </c>
      <c r="I671" s="31" t="s">
        <v>121</v>
      </c>
      <c r="J671" s="31" t="s">
        <v>100</v>
      </c>
      <c r="K671" s="31" t="s">
        <v>48</v>
      </c>
    </row>
    <row r="672" customFormat="false" ht="15" hidden="false" customHeight="false" outlineLevel="0" collapsed="false">
      <c r="A672" s="31" t="s">
        <v>944</v>
      </c>
      <c r="B672" s="31" t="s">
        <v>945</v>
      </c>
      <c r="C672" s="31" t="s">
        <v>44</v>
      </c>
      <c r="D672" s="31" t="s">
        <v>44</v>
      </c>
      <c r="E672" s="31" t="n">
        <v>1</v>
      </c>
      <c r="F672" s="32" t="n">
        <v>4.95</v>
      </c>
      <c r="G672" s="32" t="n">
        <v>4.95</v>
      </c>
      <c r="H672" s="31" t="s">
        <v>45</v>
      </c>
      <c r="I672" s="31" t="s">
        <v>58</v>
      </c>
      <c r="J672" s="31" t="s">
        <v>946</v>
      </c>
      <c r="K672" s="31" t="s">
        <v>48</v>
      </c>
    </row>
    <row r="673" customFormat="false" ht="15" hidden="false" customHeight="false" outlineLevel="0" collapsed="false">
      <c r="A673" s="31" t="s">
        <v>944</v>
      </c>
      <c r="B673" s="31" t="s">
        <v>947</v>
      </c>
      <c r="C673" s="31" t="s">
        <v>20</v>
      </c>
      <c r="D673" s="31" t="s">
        <v>78</v>
      </c>
      <c r="E673" s="31" t="n">
        <v>1</v>
      </c>
      <c r="F673" s="32" t="n">
        <v>89</v>
      </c>
      <c r="G673" s="32" t="n">
        <v>89</v>
      </c>
      <c r="H673" s="31" t="s">
        <v>45</v>
      </c>
      <c r="I673" s="31" t="s">
        <v>58</v>
      </c>
      <c r="J673" s="31" t="s">
        <v>946</v>
      </c>
      <c r="K673" s="31" t="s">
        <v>48</v>
      </c>
    </row>
    <row r="674" customFormat="false" ht="15" hidden="false" customHeight="false" outlineLevel="0" collapsed="false">
      <c r="A674" s="31" t="s">
        <v>948</v>
      </c>
      <c r="B674" s="31" t="s">
        <v>949</v>
      </c>
      <c r="C674" s="31" t="s">
        <v>20</v>
      </c>
      <c r="D674" s="31" t="s">
        <v>140</v>
      </c>
      <c r="E674" s="31" t="n">
        <v>2</v>
      </c>
      <c r="F674" s="32" t="n">
        <v>26</v>
      </c>
      <c r="G674" s="32" t="n">
        <v>52</v>
      </c>
      <c r="H674" s="31" t="s">
        <v>45</v>
      </c>
      <c r="I674" s="31" t="s">
        <v>58</v>
      </c>
      <c r="J674" s="31" t="s">
        <v>950</v>
      </c>
      <c r="K674" s="31" t="s">
        <v>48</v>
      </c>
    </row>
    <row r="675" customFormat="false" ht="15" hidden="false" customHeight="false" outlineLevel="0" collapsed="false">
      <c r="A675" s="31" t="s">
        <v>951</v>
      </c>
      <c r="B675" s="31" t="s">
        <v>952</v>
      </c>
      <c r="C675" s="31" t="s">
        <v>20</v>
      </c>
      <c r="D675" s="31" t="s">
        <v>66</v>
      </c>
      <c r="E675" s="31" t="n">
        <v>1</v>
      </c>
      <c r="F675" s="32" t="n">
        <v>32</v>
      </c>
      <c r="G675" s="32" t="n">
        <v>32</v>
      </c>
      <c r="H675" s="31" t="s">
        <v>45</v>
      </c>
      <c r="I675" s="31" t="s">
        <v>58</v>
      </c>
      <c r="J675" s="31" t="s">
        <v>953</v>
      </c>
      <c r="K675" s="31" t="s">
        <v>48</v>
      </c>
    </row>
    <row r="676" customFormat="false" ht="15" hidden="false" customHeight="false" outlineLevel="0" collapsed="false">
      <c r="A676" s="31" t="s">
        <v>951</v>
      </c>
      <c r="B676" s="31" t="s">
        <v>952</v>
      </c>
      <c r="C676" s="31" t="s">
        <v>44</v>
      </c>
      <c r="D676" s="31" t="s">
        <v>44</v>
      </c>
      <c r="E676" s="31" t="n">
        <v>1</v>
      </c>
      <c r="F676" s="32" t="n">
        <v>4.95</v>
      </c>
      <c r="G676" s="32" t="n">
        <v>4.95</v>
      </c>
      <c r="H676" s="31" t="s">
        <v>45</v>
      </c>
      <c r="I676" s="31" t="s">
        <v>58</v>
      </c>
      <c r="J676" s="31" t="s">
        <v>953</v>
      </c>
      <c r="K676" s="31" t="s">
        <v>48</v>
      </c>
    </row>
    <row r="677" customFormat="false" ht="15" hidden="false" customHeight="false" outlineLevel="0" collapsed="false">
      <c r="A677" s="31" t="s">
        <v>951</v>
      </c>
      <c r="B677" s="31" t="s">
        <v>954</v>
      </c>
      <c r="C677" s="31" t="s">
        <v>20</v>
      </c>
      <c r="D677" s="31" t="s">
        <v>69</v>
      </c>
      <c r="E677" s="31" t="n">
        <v>1</v>
      </c>
      <c r="F677" s="32" t="n">
        <v>23.2</v>
      </c>
      <c r="G677" s="32" t="n">
        <v>23.2</v>
      </c>
      <c r="H677" s="31" t="s">
        <v>45</v>
      </c>
      <c r="I677" s="31" t="s">
        <v>58</v>
      </c>
      <c r="J677" s="31" t="s">
        <v>953</v>
      </c>
      <c r="K677" s="31" t="s">
        <v>48</v>
      </c>
    </row>
    <row r="678" customFormat="false" ht="15" hidden="false" customHeight="false" outlineLevel="0" collapsed="false">
      <c r="A678" s="31" t="s">
        <v>955</v>
      </c>
      <c r="B678" s="31" t="s">
        <v>956</v>
      </c>
      <c r="C678" s="31" t="s">
        <v>20</v>
      </c>
      <c r="D678" s="31" t="s">
        <v>56</v>
      </c>
      <c r="E678" s="31" t="n">
        <v>1</v>
      </c>
      <c r="F678" s="32" t="n">
        <v>45</v>
      </c>
      <c r="G678" s="32" t="n">
        <v>45</v>
      </c>
      <c r="H678" s="31" t="s">
        <v>45</v>
      </c>
      <c r="I678" s="31" t="s">
        <v>46</v>
      </c>
      <c r="J678" s="31"/>
      <c r="K678" s="31" t="s">
        <v>48</v>
      </c>
    </row>
    <row r="679" customFormat="false" ht="15" hidden="false" customHeight="false" outlineLevel="0" collapsed="false">
      <c r="A679" s="31" t="s">
        <v>955</v>
      </c>
      <c r="B679" s="31" t="s">
        <v>956</v>
      </c>
      <c r="C679" s="31" t="s">
        <v>20</v>
      </c>
      <c r="D679" s="31" t="s">
        <v>69</v>
      </c>
      <c r="E679" s="31" t="n">
        <v>2</v>
      </c>
      <c r="F679" s="32" t="n">
        <v>29</v>
      </c>
      <c r="G679" s="32" t="n">
        <v>58</v>
      </c>
      <c r="H679" s="31" t="s">
        <v>45</v>
      </c>
      <c r="I679" s="31" t="s">
        <v>46</v>
      </c>
      <c r="J679" s="31"/>
      <c r="K679" s="31" t="s">
        <v>48</v>
      </c>
    </row>
    <row r="680" customFormat="false" ht="15" hidden="false" customHeight="false" outlineLevel="0" collapsed="false">
      <c r="A680" s="31" t="s">
        <v>955</v>
      </c>
      <c r="B680" s="31" t="s">
        <v>956</v>
      </c>
      <c r="C680" s="31" t="s">
        <v>44</v>
      </c>
      <c r="D680" s="31" t="s">
        <v>44</v>
      </c>
      <c r="E680" s="31" t="n">
        <v>1</v>
      </c>
      <c r="F680" s="32" t="n">
        <v>4.95</v>
      </c>
      <c r="G680" s="32" t="n">
        <v>4.95</v>
      </c>
      <c r="H680" s="31" t="s">
        <v>45</v>
      </c>
      <c r="I680" s="31" t="s">
        <v>46</v>
      </c>
      <c r="J680" s="31"/>
      <c r="K680" s="31" t="s">
        <v>48</v>
      </c>
    </row>
    <row r="681" customFormat="false" ht="15" hidden="false" customHeight="false" outlineLevel="0" collapsed="false">
      <c r="A681" s="31" t="s">
        <v>957</v>
      </c>
      <c r="B681" s="31" t="s">
        <v>958</v>
      </c>
      <c r="C681" s="31" t="s">
        <v>20</v>
      </c>
      <c r="D681" s="31" t="s">
        <v>56</v>
      </c>
      <c r="E681" s="31" t="n">
        <v>2</v>
      </c>
      <c r="F681" s="32" t="n">
        <v>45</v>
      </c>
      <c r="G681" s="32" t="n">
        <v>90</v>
      </c>
      <c r="H681" s="31" t="s">
        <v>45</v>
      </c>
      <c r="I681" s="31" t="s">
        <v>58</v>
      </c>
      <c r="J681" s="31" t="s">
        <v>303</v>
      </c>
      <c r="K681" s="31" t="s">
        <v>48</v>
      </c>
    </row>
    <row r="682" customFormat="false" ht="15" hidden="false" customHeight="false" outlineLevel="0" collapsed="false">
      <c r="A682" s="31" t="s">
        <v>957</v>
      </c>
      <c r="B682" s="31" t="s">
        <v>959</v>
      </c>
      <c r="C682" s="31" t="s">
        <v>50</v>
      </c>
      <c r="D682" s="31" t="s">
        <v>51</v>
      </c>
      <c r="E682" s="31" t="n">
        <v>1</v>
      </c>
      <c r="F682" s="32" t="n">
        <v>-10</v>
      </c>
      <c r="G682" s="32" t="n">
        <v>-10</v>
      </c>
      <c r="H682" s="31" t="s">
        <v>45</v>
      </c>
      <c r="I682" s="31" t="s">
        <v>58</v>
      </c>
      <c r="J682" s="31" t="s">
        <v>303</v>
      </c>
      <c r="K682" s="31" t="s">
        <v>48</v>
      </c>
    </row>
    <row r="683" customFormat="false" ht="15" hidden="false" customHeight="false" outlineLevel="0" collapsed="false">
      <c r="A683" s="31" t="s">
        <v>957</v>
      </c>
      <c r="B683" s="31" t="s">
        <v>958</v>
      </c>
      <c r="C683" s="31" t="s">
        <v>44</v>
      </c>
      <c r="D683" s="31" t="s">
        <v>44</v>
      </c>
      <c r="E683" s="31" t="n">
        <v>1</v>
      </c>
      <c r="F683" s="32" t="n">
        <v>4.95</v>
      </c>
      <c r="G683" s="32" t="n">
        <v>4.95</v>
      </c>
      <c r="H683" s="31" t="s">
        <v>45</v>
      </c>
      <c r="I683" s="31" t="s">
        <v>58</v>
      </c>
      <c r="J683" s="31" t="s">
        <v>303</v>
      </c>
      <c r="K683" s="31" t="s">
        <v>48</v>
      </c>
    </row>
    <row r="684" customFormat="false" ht="15" hidden="false" customHeight="false" outlineLevel="0" collapsed="false">
      <c r="A684" s="31" t="s">
        <v>957</v>
      </c>
      <c r="B684" s="31" t="s">
        <v>958</v>
      </c>
      <c r="C684" s="31" t="s">
        <v>20</v>
      </c>
      <c r="D684" s="31" t="s">
        <v>73</v>
      </c>
      <c r="E684" s="31" t="n">
        <v>1</v>
      </c>
      <c r="F684" s="32" t="n">
        <v>69</v>
      </c>
      <c r="G684" s="32" t="n">
        <v>69</v>
      </c>
      <c r="H684" s="31" t="s">
        <v>45</v>
      </c>
      <c r="I684" s="31" t="s">
        <v>58</v>
      </c>
      <c r="J684" s="31" t="s">
        <v>303</v>
      </c>
      <c r="K684" s="31" t="s">
        <v>48</v>
      </c>
    </row>
    <row r="685" customFormat="false" ht="15" hidden="false" customHeight="false" outlineLevel="0" collapsed="false">
      <c r="A685" s="31" t="s">
        <v>960</v>
      </c>
      <c r="B685" s="31" t="s">
        <v>961</v>
      </c>
      <c r="C685" s="31" t="s">
        <v>20</v>
      </c>
      <c r="D685" s="31" t="s">
        <v>52</v>
      </c>
      <c r="E685" s="31" t="n">
        <v>1</v>
      </c>
      <c r="F685" s="32" t="n">
        <v>22</v>
      </c>
      <c r="G685" s="32" t="n">
        <v>22</v>
      </c>
      <c r="H685" s="31" t="s">
        <v>45</v>
      </c>
      <c r="I685" s="31" t="s">
        <v>84</v>
      </c>
      <c r="J685" s="31" t="s">
        <v>962</v>
      </c>
      <c r="K685" s="31" t="s">
        <v>48</v>
      </c>
    </row>
    <row r="686" customFormat="false" ht="15" hidden="false" customHeight="false" outlineLevel="0" collapsed="false">
      <c r="A686" s="31" t="s">
        <v>960</v>
      </c>
      <c r="B686" s="31" t="s">
        <v>961</v>
      </c>
      <c r="C686" s="31" t="s">
        <v>44</v>
      </c>
      <c r="D686" s="31" t="s">
        <v>44</v>
      </c>
      <c r="E686" s="31" t="n">
        <v>1</v>
      </c>
      <c r="F686" s="32" t="n">
        <v>5.95</v>
      </c>
      <c r="G686" s="32" t="n">
        <v>5.95</v>
      </c>
      <c r="H686" s="31" t="s">
        <v>45</v>
      </c>
      <c r="I686" s="31" t="s">
        <v>84</v>
      </c>
      <c r="J686" s="31" t="s">
        <v>962</v>
      </c>
      <c r="K686" s="31" t="s">
        <v>48</v>
      </c>
    </row>
    <row r="687" customFormat="false" ht="15" hidden="false" customHeight="false" outlineLevel="0" collapsed="false">
      <c r="A687" s="31" t="s">
        <v>963</v>
      </c>
      <c r="B687" s="31" t="s">
        <v>964</v>
      </c>
      <c r="C687" s="31" t="s">
        <v>20</v>
      </c>
      <c r="D687" s="31" t="s">
        <v>87</v>
      </c>
      <c r="E687" s="31" t="n">
        <v>1</v>
      </c>
      <c r="F687" s="32" t="n">
        <v>35</v>
      </c>
      <c r="G687" s="32" t="n">
        <v>35</v>
      </c>
      <c r="H687" s="31" t="s">
        <v>145</v>
      </c>
      <c r="I687" s="31" t="s">
        <v>58</v>
      </c>
      <c r="J687" s="31" t="s">
        <v>965</v>
      </c>
      <c r="K687" s="31" t="s">
        <v>48</v>
      </c>
    </row>
    <row r="688" customFormat="false" ht="15" hidden="false" customHeight="false" outlineLevel="0" collapsed="false">
      <c r="A688" s="31" t="s">
        <v>963</v>
      </c>
      <c r="B688" s="31" t="s">
        <v>966</v>
      </c>
      <c r="C688" s="31" t="s">
        <v>20</v>
      </c>
      <c r="D688" s="31" t="s">
        <v>63</v>
      </c>
      <c r="E688" s="31" t="n">
        <v>1</v>
      </c>
      <c r="F688" s="32" t="n">
        <v>14</v>
      </c>
      <c r="G688" s="32" t="n">
        <v>14</v>
      </c>
      <c r="H688" s="31" t="s">
        <v>145</v>
      </c>
      <c r="I688" s="31" t="s">
        <v>58</v>
      </c>
      <c r="J688" s="31" t="s">
        <v>965</v>
      </c>
      <c r="K688" s="31" t="s">
        <v>48</v>
      </c>
    </row>
    <row r="689" customFormat="false" ht="15" hidden="false" customHeight="false" outlineLevel="0" collapsed="false">
      <c r="A689" s="31" t="s">
        <v>963</v>
      </c>
      <c r="B689" s="31" t="s">
        <v>966</v>
      </c>
      <c r="C689" s="31" t="s">
        <v>20</v>
      </c>
      <c r="D689" s="31" t="s">
        <v>56</v>
      </c>
      <c r="E689" s="31" t="n">
        <v>1</v>
      </c>
      <c r="F689" s="32" t="n">
        <v>45</v>
      </c>
      <c r="G689" s="32" t="n">
        <v>45</v>
      </c>
      <c r="H689" s="31" t="s">
        <v>145</v>
      </c>
      <c r="I689" s="31" t="s">
        <v>58</v>
      </c>
      <c r="J689" s="31" t="s">
        <v>965</v>
      </c>
      <c r="K689" s="31" t="s">
        <v>48</v>
      </c>
    </row>
    <row r="690" customFormat="false" ht="15" hidden="false" customHeight="false" outlineLevel="0" collapsed="false">
      <c r="A690" s="31" t="s">
        <v>963</v>
      </c>
      <c r="B690" s="31" t="s">
        <v>966</v>
      </c>
      <c r="C690" s="31" t="s">
        <v>50</v>
      </c>
      <c r="D690" s="31" t="s">
        <v>51</v>
      </c>
      <c r="E690" s="31" t="n">
        <v>1</v>
      </c>
      <c r="F690" s="32" t="n">
        <v>-5</v>
      </c>
      <c r="G690" s="32" t="n">
        <v>-5</v>
      </c>
      <c r="H690" s="31" t="s">
        <v>145</v>
      </c>
      <c r="I690" s="31" t="s">
        <v>58</v>
      </c>
      <c r="J690" s="31" t="s">
        <v>965</v>
      </c>
      <c r="K690" s="31" t="s">
        <v>48</v>
      </c>
    </row>
    <row r="691" customFormat="false" ht="15" hidden="false" customHeight="false" outlineLevel="0" collapsed="false">
      <c r="A691" s="31" t="s">
        <v>967</v>
      </c>
      <c r="B691" s="31" t="s">
        <v>968</v>
      </c>
      <c r="C691" s="31" t="s">
        <v>20</v>
      </c>
      <c r="D691" s="31" t="s">
        <v>73</v>
      </c>
      <c r="E691" s="31" t="n">
        <v>1</v>
      </c>
      <c r="F691" s="32" t="n">
        <v>69</v>
      </c>
      <c r="G691" s="32" t="n">
        <v>69</v>
      </c>
      <c r="H691" s="31" t="s">
        <v>45</v>
      </c>
      <c r="I691" s="31" t="s">
        <v>58</v>
      </c>
      <c r="J691" s="31" t="s">
        <v>969</v>
      </c>
      <c r="K691" s="31" t="s">
        <v>48</v>
      </c>
    </row>
    <row r="692" customFormat="false" ht="15" hidden="false" customHeight="false" outlineLevel="0" collapsed="false">
      <c r="A692" s="31" t="s">
        <v>967</v>
      </c>
      <c r="B692" s="31" t="s">
        <v>970</v>
      </c>
      <c r="C692" s="31" t="s">
        <v>20</v>
      </c>
      <c r="D692" s="31" t="s">
        <v>69</v>
      </c>
      <c r="E692" s="31" t="n">
        <v>2</v>
      </c>
      <c r="F692" s="32" t="n">
        <v>29</v>
      </c>
      <c r="G692" s="32" t="n">
        <v>58</v>
      </c>
      <c r="H692" s="31" t="s">
        <v>45</v>
      </c>
      <c r="I692" s="31" t="s">
        <v>58</v>
      </c>
      <c r="J692" s="31" t="s">
        <v>969</v>
      </c>
      <c r="K692" s="31" t="s">
        <v>48</v>
      </c>
    </row>
    <row r="693" customFormat="false" ht="15" hidden="false" customHeight="false" outlineLevel="0" collapsed="false">
      <c r="A693" s="31" t="s">
        <v>967</v>
      </c>
      <c r="B693" s="31" t="s">
        <v>968</v>
      </c>
      <c r="C693" s="31" t="s">
        <v>20</v>
      </c>
      <c r="D693" s="31" t="s">
        <v>73</v>
      </c>
      <c r="E693" s="31" t="n">
        <v>1</v>
      </c>
      <c r="F693" s="32" t="n">
        <v>69</v>
      </c>
      <c r="G693" s="32" t="n">
        <v>69</v>
      </c>
      <c r="H693" s="31" t="s">
        <v>45</v>
      </c>
      <c r="I693" s="31" t="s">
        <v>58</v>
      </c>
      <c r="J693" s="31" t="s">
        <v>969</v>
      </c>
      <c r="K693" s="31" t="s">
        <v>48</v>
      </c>
    </row>
    <row r="694" customFormat="false" ht="15" hidden="false" customHeight="false" outlineLevel="0" collapsed="false">
      <c r="A694" s="31" t="s">
        <v>967</v>
      </c>
      <c r="B694" s="31" t="s">
        <v>968</v>
      </c>
      <c r="C694" s="31" t="s">
        <v>44</v>
      </c>
      <c r="D694" s="31" t="s">
        <v>44</v>
      </c>
      <c r="E694" s="31" t="n">
        <v>1</v>
      </c>
      <c r="F694" s="32" t="n">
        <v>3.95</v>
      </c>
      <c r="G694" s="32" t="n">
        <v>3.95</v>
      </c>
      <c r="H694" s="31" t="s">
        <v>45</v>
      </c>
      <c r="I694" s="31" t="s">
        <v>58</v>
      </c>
      <c r="J694" s="31" t="s">
        <v>969</v>
      </c>
      <c r="K694" s="31" t="s">
        <v>48</v>
      </c>
    </row>
    <row r="695" customFormat="false" ht="15" hidden="false" customHeight="false" outlineLevel="0" collapsed="false">
      <c r="A695" s="31" t="s">
        <v>971</v>
      </c>
      <c r="B695" s="31" t="s">
        <v>972</v>
      </c>
      <c r="C695" s="31" t="s">
        <v>20</v>
      </c>
      <c r="D695" s="31" t="s">
        <v>52</v>
      </c>
      <c r="E695" s="31" t="n">
        <v>1</v>
      </c>
      <c r="F695" s="32" t="n">
        <v>22</v>
      </c>
      <c r="G695" s="32" t="n">
        <v>22</v>
      </c>
      <c r="H695" s="31" t="s">
        <v>45</v>
      </c>
      <c r="I695" s="31" t="s">
        <v>155</v>
      </c>
      <c r="J695" s="31" t="s">
        <v>973</v>
      </c>
      <c r="K695" s="31" t="s">
        <v>48</v>
      </c>
    </row>
    <row r="696" customFormat="false" ht="15" hidden="false" customHeight="false" outlineLevel="0" collapsed="false">
      <c r="A696" s="31" t="s">
        <v>974</v>
      </c>
      <c r="B696" s="31" t="s">
        <v>975</v>
      </c>
      <c r="C696" s="31" t="s">
        <v>44</v>
      </c>
      <c r="D696" s="31" t="s">
        <v>44</v>
      </c>
      <c r="E696" s="31" t="n">
        <v>1</v>
      </c>
      <c r="F696" s="32" t="n">
        <v>4.95</v>
      </c>
      <c r="G696" s="32" t="n">
        <v>4.95</v>
      </c>
      <c r="H696" s="31" t="s">
        <v>145</v>
      </c>
      <c r="I696" s="31" t="s">
        <v>58</v>
      </c>
      <c r="J696" s="31" t="s">
        <v>976</v>
      </c>
      <c r="K696" s="31" t="s">
        <v>48</v>
      </c>
    </row>
    <row r="697" customFormat="false" ht="15" hidden="false" customHeight="false" outlineLevel="0" collapsed="false">
      <c r="A697" s="31" t="s">
        <v>974</v>
      </c>
      <c r="B697" s="31" t="s">
        <v>977</v>
      </c>
      <c r="C697" s="31" t="s">
        <v>20</v>
      </c>
      <c r="D697" s="31" t="s">
        <v>78</v>
      </c>
      <c r="E697" s="31" t="n">
        <v>1</v>
      </c>
      <c r="F697" s="32" t="n">
        <v>89</v>
      </c>
      <c r="G697" s="32" t="n">
        <v>89</v>
      </c>
      <c r="H697" s="31" t="s">
        <v>145</v>
      </c>
      <c r="I697" s="31" t="s">
        <v>58</v>
      </c>
      <c r="J697" s="31" t="s">
        <v>976</v>
      </c>
      <c r="K697" s="31" t="s">
        <v>48</v>
      </c>
    </row>
    <row r="698" customFormat="false" ht="15" hidden="false" customHeight="false" outlineLevel="0" collapsed="false">
      <c r="A698" s="31" t="s">
        <v>978</v>
      </c>
      <c r="B698" s="31" t="s">
        <v>979</v>
      </c>
      <c r="C698" s="31" t="s">
        <v>20</v>
      </c>
      <c r="D698" s="31" t="s">
        <v>140</v>
      </c>
      <c r="E698" s="31" t="n">
        <v>3</v>
      </c>
      <c r="F698" s="32" t="n">
        <v>26</v>
      </c>
      <c r="G698" s="32" t="n">
        <v>78</v>
      </c>
      <c r="H698" s="31" t="s">
        <v>45</v>
      </c>
      <c r="I698" s="31" t="s">
        <v>155</v>
      </c>
      <c r="J698" s="31" t="s">
        <v>980</v>
      </c>
      <c r="K698" s="31" t="s">
        <v>48</v>
      </c>
    </row>
    <row r="699" customFormat="false" ht="15" hidden="false" customHeight="false" outlineLevel="0" collapsed="false">
      <c r="A699" s="31" t="s">
        <v>981</v>
      </c>
      <c r="B699" s="31" t="s">
        <v>982</v>
      </c>
      <c r="C699" s="31" t="s">
        <v>44</v>
      </c>
      <c r="D699" s="31" t="s">
        <v>44</v>
      </c>
      <c r="E699" s="31" t="n">
        <v>1</v>
      </c>
      <c r="F699" s="32" t="n">
        <v>4.95</v>
      </c>
      <c r="G699" s="32" t="n">
        <v>4.95</v>
      </c>
      <c r="H699" s="31" t="s">
        <v>145</v>
      </c>
      <c r="I699" s="31" t="s">
        <v>58</v>
      </c>
      <c r="J699" s="31" t="s">
        <v>339</v>
      </c>
      <c r="K699" s="31" t="s">
        <v>48</v>
      </c>
    </row>
    <row r="700" customFormat="false" ht="15" hidden="false" customHeight="false" outlineLevel="0" collapsed="false">
      <c r="A700" s="31" t="s">
        <v>981</v>
      </c>
      <c r="B700" s="31" t="s">
        <v>982</v>
      </c>
      <c r="C700" s="31" t="s">
        <v>20</v>
      </c>
      <c r="D700" s="31" t="s">
        <v>63</v>
      </c>
      <c r="E700" s="31" t="n">
        <v>1</v>
      </c>
      <c r="F700" s="32" t="n">
        <v>14</v>
      </c>
      <c r="G700" s="32" t="n">
        <v>14</v>
      </c>
      <c r="H700" s="31" t="s">
        <v>145</v>
      </c>
      <c r="I700" s="31" t="s">
        <v>58</v>
      </c>
      <c r="J700" s="31" t="s">
        <v>339</v>
      </c>
      <c r="K700" s="31" t="s">
        <v>48</v>
      </c>
    </row>
    <row r="701" customFormat="false" ht="15" hidden="false" customHeight="false" outlineLevel="0" collapsed="false">
      <c r="A701" s="31" t="s">
        <v>981</v>
      </c>
      <c r="B701" s="31" t="s">
        <v>982</v>
      </c>
      <c r="C701" s="31" t="s">
        <v>20</v>
      </c>
      <c r="D701" s="31" t="s">
        <v>73</v>
      </c>
      <c r="E701" s="31" t="n">
        <v>1</v>
      </c>
      <c r="F701" s="32" t="n">
        <v>69</v>
      </c>
      <c r="G701" s="32" t="n">
        <v>69</v>
      </c>
      <c r="H701" s="31" t="s">
        <v>145</v>
      </c>
      <c r="I701" s="31" t="s">
        <v>58</v>
      </c>
      <c r="J701" s="31" t="s">
        <v>339</v>
      </c>
      <c r="K701" s="31" t="s">
        <v>48</v>
      </c>
    </row>
    <row r="702" customFormat="false" ht="15" hidden="false" customHeight="false" outlineLevel="0" collapsed="false">
      <c r="A702" s="31" t="s">
        <v>983</v>
      </c>
      <c r="B702" s="31" t="s">
        <v>984</v>
      </c>
      <c r="C702" s="31" t="s">
        <v>20</v>
      </c>
      <c r="D702" s="31" t="s">
        <v>53</v>
      </c>
      <c r="E702" s="31" t="n">
        <v>1</v>
      </c>
      <c r="F702" s="32" t="n">
        <v>39</v>
      </c>
      <c r="G702" s="32" t="n">
        <v>39</v>
      </c>
      <c r="H702" s="31" t="s">
        <v>57</v>
      </c>
      <c r="I702" s="31" t="s">
        <v>58</v>
      </c>
      <c r="J702" s="31"/>
      <c r="K702" s="31" t="s">
        <v>48</v>
      </c>
    </row>
    <row r="703" customFormat="false" ht="15" hidden="false" customHeight="false" outlineLevel="0" collapsed="false">
      <c r="A703" s="31" t="s">
        <v>983</v>
      </c>
      <c r="B703" s="31" t="s">
        <v>985</v>
      </c>
      <c r="C703" s="31" t="s">
        <v>50</v>
      </c>
      <c r="D703" s="31" t="s">
        <v>51</v>
      </c>
      <c r="E703" s="31" t="n">
        <v>1</v>
      </c>
      <c r="F703" s="32" t="n">
        <v>-15</v>
      </c>
      <c r="G703" s="32" t="n">
        <v>-15</v>
      </c>
      <c r="H703" s="31" t="s">
        <v>57</v>
      </c>
      <c r="I703" s="31" t="s">
        <v>58</v>
      </c>
      <c r="J703" s="31"/>
      <c r="K703" s="31" t="s">
        <v>48</v>
      </c>
    </row>
    <row r="704" customFormat="false" ht="15" hidden="false" customHeight="false" outlineLevel="0" collapsed="false">
      <c r="A704" s="31" t="s">
        <v>986</v>
      </c>
      <c r="B704" s="31" t="s">
        <v>987</v>
      </c>
      <c r="C704" s="31" t="s">
        <v>44</v>
      </c>
      <c r="D704" s="31" t="s">
        <v>44</v>
      </c>
      <c r="E704" s="31" t="n">
        <v>1</v>
      </c>
      <c r="F704" s="32" t="n">
        <v>0</v>
      </c>
      <c r="G704" s="32" t="n">
        <v>0</v>
      </c>
      <c r="H704" s="31" t="s">
        <v>45</v>
      </c>
      <c r="I704" s="31" t="s">
        <v>58</v>
      </c>
      <c r="J704" s="31" t="s">
        <v>988</v>
      </c>
      <c r="K704" s="31" t="s">
        <v>48</v>
      </c>
    </row>
    <row r="705" customFormat="false" ht="15" hidden="false" customHeight="false" outlineLevel="0" collapsed="false">
      <c r="A705" s="31" t="s">
        <v>986</v>
      </c>
      <c r="B705" s="31" t="s">
        <v>987</v>
      </c>
      <c r="C705" s="31" t="s">
        <v>20</v>
      </c>
      <c r="D705" s="31" t="s">
        <v>123</v>
      </c>
      <c r="E705" s="31" t="n">
        <v>2</v>
      </c>
      <c r="F705" s="32" t="n">
        <v>75</v>
      </c>
      <c r="G705" s="32" t="n">
        <v>150</v>
      </c>
      <c r="H705" s="31" t="s">
        <v>45</v>
      </c>
      <c r="I705" s="31" t="s">
        <v>58</v>
      </c>
      <c r="J705" s="31" t="s">
        <v>988</v>
      </c>
      <c r="K705" s="31" t="s">
        <v>48</v>
      </c>
    </row>
    <row r="706" customFormat="false" ht="15" hidden="false" customHeight="false" outlineLevel="0" collapsed="false">
      <c r="A706" s="31" t="s">
        <v>986</v>
      </c>
      <c r="B706" s="31" t="s">
        <v>987</v>
      </c>
      <c r="C706" s="31" t="s">
        <v>20</v>
      </c>
      <c r="D706" s="31" t="s">
        <v>78</v>
      </c>
      <c r="E706" s="31" t="n">
        <v>2</v>
      </c>
      <c r="F706" s="32" t="n">
        <v>89</v>
      </c>
      <c r="G706" s="32" t="n">
        <v>178</v>
      </c>
      <c r="H706" s="31" t="s">
        <v>45</v>
      </c>
      <c r="I706" s="31" t="s">
        <v>58</v>
      </c>
      <c r="J706" s="31" t="s">
        <v>988</v>
      </c>
      <c r="K706" s="31" t="s">
        <v>48</v>
      </c>
    </row>
    <row r="707" customFormat="false" ht="15" hidden="false" customHeight="false" outlineLevel="0" collapsed="false">
      <c r="A707" s="31" t="s">
        <v>989</v>
      </c>
      <c r="B707" s="31" t="s">
        <v>990</v>
      </c>
      <c r="C707" s="31" t="s">
        <v>44</v>
      </c>
      <c r="D707" s="31" t="s">
        <v>44</v>
      </c>
      <c r="E707" s="31" t="n">
        <v>1</v>
      </c>
      <c r="F707" s="32" t="n">
        <v>5.95</v>
      </c>
      <c r="G707" s="32" t="n">
        <v>5.95</v>
      </c>
      <c r="H707" s="31" t="s">
        <v>145</v>
      </c>
      <c r="I707" s="31" t="s">
        <v>58</v>
      </c>
      <c r="J707" s="31" t="s">
        <v>991</v>
      </c>
      <c r="K707" s="31" t="s">
        <v>48</v>
      </c>
    </row>
    <row r="708" customFormat="false" ht="15" hidden="false" customHeight="false" outlineLevel="0" collapsed="false">
      <c r="A708" s="31" t="s">
        <v>989</v>
      </c>
      <c r="B708" s="31" t="s">
        <v>992</v>
      </c>
      <c r="C708" s="31" t="s">
        <v>20</v>
      </c>
      <c r="D708" s="31" t="s">
        <v>73</v>
      </c>
      <c r="E708" s="31" t="n">
        <v>1</v>
      </c>
      <c r="F708" s="32" t="n">
        <v>69</v>
      </c>
      <c r="G708" s="32" t="n">
        <v>69</v>
      </c>
      <c r="H708" s="31" t="s">
        <v>145</v>
      </c>
      <c r="I708" s="31" t="s">
        <v>58</v>
      </c>
      <c r="J708" s="31" t="s">
        <v>991</v>
      </c>
      <c r="K708" s="31" t="s">
        <v>48</v>
      </c>
    </row>
    <row r="709" customFormat="false" ht="15" hidden="false" customHeight="false" outlineLevel="0" collapsed="false">
      <c r="A709" s="31" t="s">
        <v>993</v>
      </c>
      <c r="B709" s="31" t="s">
        <v>994</v>
      </c>
      <c r="C709" s="31" t="s">
        <v>44</v>
      </c>
      <c r="D709" s="31" t="s">
        <v>44</v>
      </c>
      <c r="E709" s="31" t="n">
        <v>1</v>
      </c>
      <c r="F709" s="32" t="n">
        <v>3.95</v>
      </c>
      <c r="G709" s="32" t="n">
        <v>3.95</v>
      </c>
      <c r="H709" s="31" t="s">
        <v>45</v>
      </c>
      <c r="I709" s="31" t="s">
        <v>58</v>
      </c>
      <c r="J709" s="31" t="s">
        <v>995</v>
      </c>
      <c r="K709" s="31" t="s">
        <v>48</v>
      </c>
    </row>
    <row r="710" customFormat="false" ht="15" hidden="false" customHeight="false" outlineLevel="0" collapsed="false">
      <c r="A710" s="31" t="s">
        <v>993</v>
      </c>
      <c r="B710" s="31" t="s">
        <v>994</v>
      </c>
      <c r="C710" s="31" t="s">
        <v>20</v>
      </c>
      <c r="D710" s="31" t="s">
        <v>53</v>
      </c>
      <c r="E710" s="31" t="n">
        <v>1</v>
      </c>
      <c r="F710" s="32" t="n">
        <v>39</v>
      </c>
      <c r="G710" s="32" t="n">
        <v>39</v>
      </c>
      <c r="H710" s="31" t="s">
        <v>45</v>
      </c>
      <c r="I710" s="31" t="s">
        <v>58</v>
      </c>
      <c r="J710" s="31" t="s">
        <v>995</v>
      </c>
      <c r="K710" s="31" t="s">
        <v>48</v>
      </c>
    </row>
    <row r="711" customFormat="false" ht="15" hidden="false" customHeight="false" outlineLevel="0" collapsed="false">
      <c r="A711" s="31" t="s">
        <v>996</v>
      </c>
      <c r="B711" s="31" t="s">
        <v>997</v>
      </c>
      <c r="C711" s="31" t="s">
        <v>44</v>
      </c>
      <c r="D711" s="31" t="s">
        <v>44</v>
      </c>
      <c r="E711" s="31" t="n">
        <v>1</v>
      </c>
      <c r="F711" s="32" t="n">
        <v>4.95</v>
      </c>
      <c r="G711" s="32" t="n">
        <v>4.95</v>
      </c>
      <c r="H711" s="31" t="s">
        <v>45</v>
      </c>
      <c r="I711" s="31" t="s">
        <v>58</v>
      </c>
      <c r="J711" s="31"/>
      <c r="K711" s="31" t="s">
        <v>48</v>
      </c>
    </row>
    <row r="712" customFormat="false" ht="15" hidden="false" customHeight="false" outlineLevel="0" collapsed="false">
      <c r="A712" s="31" t="s">
        <v>996</v>
      </c>
      <c r="B712" s="31" t="s">
        <v>998</v>
      </c>
      <c r="C712" s="31" t="s">
        <v>20</v>
      </c>
      <c r="D712" s="31" t="s">
        <v>87</v>
      </c>
      <c r="E712" s="31" t="n">
        <v>1</v>
      </c>
      <c r="F712" s="32" t="n">
        <v>35</v>
      </c>
      <c r="G712" s="32" t="n">
        <v>35</v>
      </c>
      <c r="H712" s="31" t="s">
        <v>45</v>
      </c>
      <c r="I712" s="31" t="s">
        <v>58</v>
      </c>
      <c r="J712" s="31"/>
      <c r="K712" s="31" t="s">
        <v>48</v>
      </c>
    </row>
    <row r="713" customFormat="false" ht="15" hidden="false" customHeight="false" outlineLevel="0" collapsed="false">
      <c r="A713" s="31" t="s">
        <v>996</v>
      </c>
      <c r="B713" s="31" t="s">
        <v>997</v>
      </c>
      <c r="C713" s="31" t="s">
        <v>20</v>
      </c>
      <c r="D713" s="31" t="s">
        <v>73</v>
      </c>
      <c r="E713" s="31" t="n">
        <v>1</v>
      </c>
      <c r="F713" s="32" t="n">
        <v>69</v>
      </c>
      <c r="G713" s="32" t="n">
        <v>69</v>
      </c>
      <c r="H713" s="31" t="s">
        <v>45</v>
      </c>
      <c r="I713" s="31" t="s">
        <v>58</v>
      </c>
      <c r="J713" s="31"/>
      <c r="K713" s="31" t="s">
        <v>48</v>
      </c>
    </row>
    <row r="714" customFormat="false" ht="15" hidden="false" customHeight="false" outlineLevel="0" collapsed="false">
      <c r="A714" s="31" t="s">
        <v>996</v>
      </c>
      <c r="B714" s="31" t="s">
        <v>997</v>
      </c>
      <c r="C714" s="31" t="s">
        <v>20</v>
      </c>
      <c r="D714" s="31" t="s">
        <v>78</v>
      </c>
      <c r="E714" s="31" t="n">
        <v>2</v>
      </c>
      <c r="F714" s="32" t="n">
        <v>89</v>
      </c>
      <c r="G714" s="32" t="n">
        <v>178</v>
      </c>
      <c r="H714" s="31" t="s">
        <v>45</v>
      </c>
      <c r="I714" s="31" t="s">
        <v>58</v>
      </c>
      <c r="J714" s="31"/>
      <c r="K714" s="31" t="s">
        <v>48</v>
      </c>
    </row>
    <row r="715" customFormat="false" ht="15" hidden="false" customHeight="false" outlineLevel="0" collapsed="false">
      <c r="A715" s="31" t="s">
        <v>999</v>
      </c>
      <c r="B715" s="31" t="s">
        <v>1000</v>
      </c>
      <c r="C715" s="31" t="s">
        <v>20</v>
      </c>
      <c r="D715" s="31" t="s">
        <v>53</v>
      </c>
      <c r="E715" s="31" t="n">
        <v>2</v>
      </c>
      <c r="F715" s="32" t="n">
        <v>39</v>
      </c>
      <c r="G715" s="32" t="n">
        <v>78</v>
      </c>
      <c r="H715" s="31" t="s">
        <v>45</v>
      </c>
      <c r="I715" s="31" t="s">
        <v>58</v>
      </c>
      <c r="J715" s="31"/>
      <c r="K715" s="31" t="s">
        <v>48</v>
      </c>
    </row>
    <row r="716" customFormat="false" ht="15" hidden="false" customHeight="false" outlineLevel="0" collapsed="false">
      <c r="A716" s="31" t="s">
        <v>999</v>
      </c>
      <c r="B716" s="31" t="s">
        <v>1000</v>
      </c>
      <c r="C716" s="31" t="s">
        <v>20</v>
      </c>
      <c r="D716" s="31" t="s">
        <v>56</v>
      </c>
      <c r="E716" s="31" t="n">
        <v>1</v>
      </c>
      <c r="F716" s="32" t="n">
        <v>45</v>
      </c>
      <c r="G716" s="32" t="n">
        <v>45</v>
      </c>
      <c r="H716" s="31" t="s">
        <v>45</v>
      </c>
      <c r="I716" s="31" t="s">
        <v>58</v>
      </c>
      <c r="J716" s="31"/>
      <c r="K716" s="31" t="s">
        <v>48</v>
      </c>
    </row>
    <row r="717" customFormat="false" ht="15" hidden="false" customHeight="false" outlineLevel="0" collapsed="false">
      <c r="A717" s="31" t="s">
        <v>1001</v>
      </c>
      <c r="B717" s="31" t="s">
        <v>1002</v>
      </c>
      <c r="C717" s="31" t="s">
        <v>20</v>
      </c>
      <c r="D717" s="31" t="s">
        <v>53</v>
      </c>
      <c r="E717" s="31" t="n">
        <v>1</v>
      </c>
      <c r="F717" s="32" t="n">
        <v>39</v>
      </c>
      <c r="G717" s="32" t="n">
        <v>39</v>
      </c>
      <c r="H717" s="31" t="s">
        <v>45</v>
      </c>
      <c r="I717" s="31" t="s">
        <v>58</v>
      </c>
      <c r="J717" s="31" t="s">
        <v>1003</v>
      </c>
      <c r="K717" s="31" t="s">
        <v>48</v>
      </c>
    </row>
    <row r="718" customFormat="false" ht="15" hidden="false" customHeight="false" outlineLevel="0" collapsed="false">
      <c r="A718" s="31" t="s">
        <v>1004</v>
      </c>
      <c r="B718" s="31" t="s">
        <v>1005</v>
      </c>
      <c r="C718" s="31" t="s">
        <v>20</v>
      </c>
      <c r="D718" s="31" t="s">
        <v>63</v>
      </c>
      <c r="E718" s="31" t="n">
        <v>2</v>
      </c>
      <c r="F718" s="32" t="n">
        <v>14</v>
      </c>
      <c r="G718" s="32" t="n">
        <v>28</v>
      </c>
      <c r="H718" s="31" t="s">
        <v>45</v>
      </c>
      <c r="I718" s="31" t="s">
        <v>58</v>
      </c>
      <c r="J718" s="31" t="s">
        <v>1006</v>
      </c>
      <c r="K718" s="31" t="s">
        <v>48</v>
      </c>
    </row>
    <row r="719" customFormat="false" ht="15" hidden="false" customHeight="false" outlineLevel="0" collapsed="false">
      <c r="A719" s="31" t="s">
        <v>1004</v>
      </c>
      <c r="B719" s="31" t="s">
        <v>1005</v>
      </c>
      <c r="C719" s="31" t="s">
        <v>50</v>
      </c>
      <c r="D719" s="31" t="s">
        <v>51</v>
      </c>
      <c r="E719" s="31" t="n">
        <v>1</v>
      </c>
      <c r="F719" s="32" t="n">
        <v>-5</v>
      </c>
      <c r="G719" s="32" t="n">
        <v>-5</v>
      </c>
      <c r="H719" s="31" t="s">
        <v>45</v>
      </c>
      <c r="I719" s="31" t="s">
        <v>58</v>
      </c>
      <c r="J719" s="31" t="s">
        <v>1006</v>
      </c>
      <c r="K719" s="31" t="s">
        <v>48</v>
      </c>
    </row>
    <row r="720" customFormat="false" ht="15" hidden="false" customHeight="false" outlineLevel="0" collapsed="false">
      <c r="A720" s="31" t="s">
        <v>1007</v>
      </c>
      <c r="B720" s="31" t="s">
        <v>1008</v>
      </c>
      <c r="C720" s="31" t="s">
        <v>44</v>
      </c>
      <c r="D720" s="31" t="s">
        <v>44</v>
      </c>
      <c r="E720" s="31" t="n">
        <v>1</v>
      </c>
      <c r="F720" s="32" t="n">
        <v>5.95</v>
      </c>
      <c r="G720" s="32" t="n">
        <v>5.95</v>
      </c>
      <c r="H720" s="31" t="s">
        <v>57</v>
      </c>
      <c r="I720" s="31" t="s">
        <v>58</v>
      </c>
      <c r="J720" s="31" t="s">
        <v>607</v>
      </c>
      <c r="K720" s="31" t="s">
        <v>48</v>
      </c>
    </row>
    <row r="721" customFormat="false" ht="15" hidden="false" customHeight="false" outlineLevel="0" collapsed="false">
      <c r="A721" s="31" t="s">
        <v>1007</v>
      </c>
      <c r="B721" s="31" t="s">
        <v>1008</v>
      </c>
      <c r="C721" s="31" t="s">
        <v>20</v>
      </c>
      <c r="D721" s="31" t="s">
        <v>87</v>
      </c>
      <c r="E721" s="31" t="n">
        <v>1</v>
      </c>
      <c r="F721" s="32" t="n">
        <v>28</v>
      </c>
      <c r="G721" s="32" t="n">
        <v>28</v>
      </c>
      <c r="H721" s="31" t="s">
        <v>57</v>
      </c>
      <c r="I721" s="31" t="s">
        <v>58</v>
      </c>
      <c r="J721" s="31" t="s">
        <v>607</v>
      </c>
      <c r="K721" s="31" t="s">
        <v>48</v>
      </c>
    </row>
    <row r="722" customFormat="false" ht="15" hidden="false" customHeight="false" outlineLevel="0" collapsed="false">
      <c r="A722" s="31" t="s">
        <v>1007</v>
      </c>
      <c r="B722" s="31" t="s">
        <v>1009</v>
      </c>
      <c r="C722" s="31" t="s">
        <v>20</v>
      </c>
      <c r="D722" s="31" t="s">
        <v>56</v>
      </c>
      <c r="E722" s="31" t="n">
        <v>1</v>
      </c>
      <c r="F722" s="32" t="n">
        <v>45</v>
      </c>
      <c r="G722" s="32" t="n">
        <v>45</v>
      </c>
      <c r="H722" s="31" t="s">
        <v>57</v>
      </c>
      <c r="I722" s="31" t="s">
        <v>58</v>
      </c>
      <c r="J722" s="31" t="s">
        <v>607</v>
      </c>
      <c r="K722" s="31" t="s">
        <v>48</v>
      </c>
    </row>
    <row r="723" customFormat="false" ht="15" hidden="false" customHeight="false" outlineLevel="0" collapsed="false">
      <c r="A723" s="31" t="s">
        <v>1010</v>
      </c>
      <c r="B723" s="31" t="s">
        <v>1011</v>
      </c>
      <c r="C723" s="31" t="s">
        <v>20</v>
      </c>
      <c r="D723" s="31" t="s">
        <v>56</v>
      </c>
      <c r="E723" s="31" t="n">
        <v>1</v>
      </c>
      <c r="F723" s="32" t="n">
        <v>45</v>
      </c>
      <c r="G723" s="32" t="n">
        <v>45</v>
      </c>
      <c r="H723" s="31" t="s">
        <v>184</v>
      </c>
      <c r="I723" s="31" t="s">
        <v>58</v>
      </c>
      <c r="J723" s="31"/>
      <c r="K723" s="31" t="s">
        <v>48</v>
      </c>
    </row>
    <row r="724" customFormat="false" ht="15" hidden="false" customHeight="false" outlineLevel="0" collapsed="false">
      <c r="A724" s="31" t="s">
        <v>1010</v>
      </c>
      <c r="B724" s="31" t="s">
        <v>1011</v>
      </c>
      <c r="C724" s="31" t="s">
        <v>44</v>
      </c>
      <c r="D724" s="31" t="s">
        <v>44</v>
      </c>
      <c r="E724" s="31" t="n">
        <v>1</v>
      </c>
      <c r="F724" s="32" t="n">
        <v>5.95</v>
      </c>
      <c r="G724" s="32" t="n">
        <v>5.95</v>
      </c>
      <c r="H724" s="31" t="s">
        <v>184</v>
      </c>
      <c r="I724" s="31" t="s">
        <v>58</v>
      </c>
      <c r="J724" s="31"/>
      <c r="K724" s="31" t="s">
        <v>48</v>
      </c>
    </row>
    <row r="725" customFormat="false" ht="15" hidden="false" customHeight="false" outlineLevel="0" collapsed="false">
      <c r="A725" s="31" t="s">
        <v>1012</v>
      </c>
      <c r="B725" s="31" t="s">
        <v>1013</v>
      </c>
      <c r="C725" s="31" t="s">
        <v>44</v>
      </c>
      <c r="D725" s="31" t="s">
        <v>44</v>
      </c>
      <c r="E725" s="31" t="n">
        <v>1</v>
      </c>
      <c r="F725" s="32" t="n">
        <v>0</v>
      </c>
      <c r="G725" s="32" t="n">
        <v>0</v>
      </c>
      <c r="H725" s="31" t="s">
        <v>45</v>
      </c>
      <c r="I725" s="31" t="s">
        <v>58</v>
      </c>
      <c r="J725" s="31" t="s">
        <v>1014</v>
      </c>
      <c r="K725" s="31" t="s">
        <v>48</v>
      </c>
    </row>
    <row r="726" customFormat="false" ht="15" hidden="false" customHeight="false" outlineLevel="0" collapsed="false">
      <c r="A726" s="31" t="s">
        <v>1012</v>
      </c>
      <c r="B726" s="31" t="s">
        <v>1013</v>
      </c>
      <c r="C726" s="31" t="s">
        <v>20</v>
      </c>
      <c r="D726" s="31" t="s">
        <v>123</v>
      </c>
      <c r="E726" s="31" t="n">
        <v>1</v>
      </c>
      <c r="F726" s="32" t="n">
        <v>75</v>
      </c>
      <c r="G726" s="32" t="n">
        <v>75</v>
      </c>
      <c r="H726" s="31" t="s">
        <v>45</v>
      </c>
      <c r="I726" s="31" t="s">
        <v>58</v>
      </c>
      <c r="J726" s="31" t="s">
        <v>1014</v>
      </c>
      <c r="K726" s="31" t="s">
        <v>48</v>
      </c>
    </row>
    <row r="727" customFormat="false" ht="15" hidden="false" customHeight="false" outlineLevel="0" collapsed="false">
      <c r="A727" s="31" t="s">
        <v>1015</v>
      </c>
      <c r="B727" s="31" t="s">
        <v>1016</v>
      </c>
      <c r="C727" s="31" t="s">
        <v>20</v>
      </c>
      <c r="D727" s="31" t="s">
        <v>53</v>
      </c>
      <c r="E727" s="31" t="n">
        <v>1</v>
      </c>
      <c r="F727" s="32" t="n">
        <v>39</v>
      </c>
      <c r="G727" s="32" t="n">
        <v>39</v>
      </c>
      <c r="H727" s="31" t="s">
        <v>45</v>
      </c>
      <c r="I727" s="31" t="s">
        <v>58</v>
      </c>
      <c r="J727" s="31" t="s">
        <v>1017</v>
      </c>
      <c r="K727" s="31" t="s">
        <v>48</v>
      </c>
    </row>
    <row r="728" customFormat="false" ht="15" hidden="false" customHeight="false" outlineLevel="0" collapsed="false">
      <c r="A728" s="31" t="s">
        <v>1015</v>
      </c>
      <c r="B728" s="31" t="s">
        <v>1018</v>
      </c>
      <c r="C728" s="31" t="s">
        <v>44</v>
      </c>
      <c r="D728" s="31" t="s">
        <v>44</v>
      </c>
      <c r="E728" s="31" t="n">
        <v>1</v>
      </c>
      <c r="F728" s="32" t="n">
        <v>5.95</v>
      </c>
      <c r="G728" s="32" t="n">
        <v>5.95</v>
      </c>
      <c r="H728" s="31" t="s">
        <v>45</v>
      </c>
      <c r="I728" s="31" t="s">
        <v>58</v>
      </c>
      <c r="J728" s="31" t="s">
        <v>1017</v>
      </c>
      <c r="K728" s="31" t="s">
        <v>48</v>
      </c>
    </row>
    <row r="729" customFormat="false" ht="15" hidden="false" customHeight="false" outlineLevel="0" collapsed="false">
      <c r="A729" s="31" t="s">
        <v>1019</v>
      </c>
      <c r="B729" s="31" t="s">
        <v>1020</v>
      </c>
      <c r="C729" s="31" t="s">
        <v>44</v>
      </c>
      <c r="D729" s="31" t="s">
        <v>44</v>
      </c>
      <c r="E729" s="31" t="n">
        <v>1</v>
      </c>
      <c r="F729" s="32" t="n">
        <v>4.95</v>
      </c>
      <c r="G729" s="32" t="n">
        <v>4.95</v>
      </c>
      <c r="H729" s="31" t="s">
        <v>184</v>
      </c>
      <c r="I729" s="31" t="s">
        <v>58</v>
      </c>
      <c r="J729" s="31" t="s">
        <v>59</v>
      </c>
      <c r="K729" s="31" t="s">
        <v>48</v>
      </c>
    </row>
    <row r="730" customFormat="false" ht="15" hidden="false" customHeight="false" outlineLevel="0" collapsed="false">
      <c r="A730" s="31" t="s">
        <v>1019</v>
      </c>
      <c r="B730" s="31" t="s">
        <v>1020</v>
      </c>
      <c r="C730" s="31" t="s">
        <v>20</v>
      </c>
      <c r="D730" s="31" t="s">
        <v>66</v>
      </c>
      <c r="E730" s="31" t="n">
        <v>1</v>
      </c>
      <c r="F730" s="32" t="n">
        <v>32</v>
      </c>
      <c r="G730" s="32" t="n">
        <v>32</v>
      </c>
      <c r="H730" s="31" t="s">
        <v>184</v>
      </c>
      <c r="I730" s="31" t="s">
        <v>58</v>
      </c>
      <c r="J730" s="31" t="s">
        <v>59</v>
      </c>
      <c r="K730" s="31" t="s">
        <v>48</v>
      </c>
    </row>
    <row r="731" customFormat="false" ht="15" hidden="false" customHeight="false" outlineLevel="0" collapsed="false">
      <c r="A731" s="31" t="s">
        <v>1019</v>
      </c>
      <c r="B731" s="31" t="s">
        <v>1020</v>
      </c>
      <c r="C731" s="31" t="s">
        <v>20</v>
      </c>
      <c r="D731" s="31" t="s">
        <v>69</v>
      </c>
      <c r="E731" s="31" t="n">
        <v>1</v>
      </c>
      <c r="F731" s="32" t="n">
        <v>29</v>
      </c>
      <c r="G731" s="32" t="n">
        <v>29</v>
      </c>
      <c r="H731" s="31" t="s">
        <v>184</v>
      </c>
      <c r="I731" s="31" t="s">
        <v>58</v>
      </c>
      <c r="J731" s="31" t="s">
        <v>59</v>
      </c>
      <c r="K731" s="31" t="s">
        <v>202</v>
      </c>
    </row>
    <row r="732" customFormat="false" ht="15" hidden="false" customHeight="false" outlineLevel="0" collapsed="false">
      <c r="A732" s="31" t="s">
        <v>1021</v>
      </c>
      <c r="B732" s="31" t="s">
        <v>1022</v>
      </c>
      <c r="C732" s="31" t="s">
        <v>20</v>
      </c>
      <c r="D732" s="31" t="s">
        <v>140</v>
      </c>
      <c r="E732" s="31" t="n">
        <v>2</v>
      </c>
      <c r="F732" s="32" t="n">
        <v>26</v>
      </c>
      <c r="G732" s="32" t="n">
        <v>52</v>
      </c>
      <c r="H732" s="31" t="s">
        <v>57</v>
      </c>
      <c r="I732" s="31" t="s">
        <v>58</v>
      </c>
      <c r="J732" s="31" t="s">
        <v>805</v>
      </c>
      <c r="K732" s="31" t="s">
        <v>48</v>
      </c>
    </row>
    <row r="733" customFormat="false" ht="15" hidden="false" customHeight="false" outlineLevel="0" collapsed="false">
      <c r="A733" s="31" t="s">
        <v>1021</v>
      </c>
      <c r="B733" s="31" t="s">
        <v>1023</v>
      </c>
      <c r="C733" s="31" t="s">
        <v>20</v>
      </c>
      <c r="D733" s="31" t="s">
        <v>52</v>
      </c>
      <c r="E733" s="31" t="n">
        <v>1</v>
      </c>
      <c r="F733" s="32" t="n">
        <v>22</v>
      </c>
      <c r="G733" s="32" t="n">
        <v>22</v>
      </c>
      <c r="H733" s="31" t="s">
        <v>57</v>
      </c>
      <c r="I733" s="31" t="s">
        <v>58</v>
      </c>
      <c r="J733" s="31" t="s">
        <v>805</v>
      </c>
      <c r="K733" s="31" t="s">
        <v>48</v>
      </c>
    </row>
    <row r="734" customFormat="false" ht="15" hidden="false" customHeight="false" outlineLevel="0" collapsed="false">
      <c r="A734" s="31" t="s">
        <v>1021</v>
      </c>
      <c r="B734" s="31" t="s">
        <v>1023</v>
      </c>
      <c r="C734" s="31" t="s">
        <v>44</v>
      </c>
      <c r="D734" s="31" t="s">
        <v>44</v>
      </c>
      <c r="E734" s="31" t="n">
        <v>1</v>
      </c>
      <c r="F734" s="32" t="n">
        <v>0</v>
      </c>
      <c r="G734" s="32" t="n">
        <v>0</v>
      </c>
      <c r="H734" s="31" t="s">
        <v>57</v>
      </c>
      <c r="I734" s="31" t="s">
        <v>58</v>
      </c>
      <c r="J734" s="31" t="s">
        <v>805</v>
      </c>
      <c r="K734" s="31" t="s">
        <v>48</v>
      </c>
    </row>
    <row r="735" customFormat="false" ht="15" hidden="false" customHeight="false" outlineLevel="0" collapsed="false">
      <c r="A735" s="31" t="s">
        <v>1024</v>
      </c>
      <c r="B735" s="31" t="s">
        <v>1025</v>
      </c>
      <c r="C735" s="31" t="s">
        <v>20</v>
      </c>
      <c r="D735" s="31" t="s">
        <v>56</v>
      </c>
      <c r="E735" s="31" t="n">
        <v>2</v>
      </c>
      <c r="F735" s="32" t="n">
        <v>45</v>
      </c>
      <c r="G735" s="32" t="n">
        <v>90</v>
      </c>
      <c r="H735" s="31" t="s">
        <v>45</v>
      </c>
      <c r="I735" s="31" t="s">
        <v>84</v>
      </c>
      <c r="J735" s="31" t="s">
        <v>1026</v>
      </c>
      <c r="K735" s="31" t="s">
        <v>48</v>
      </c>
    </row>
    <row r="736" customFormat="false" ht="15" hidden="false" customHeight="false" outlineLevel="0" collapsed="false">
      <c r="A736" s="31" t="s">
        <v>1024</v>
      </c>
      <c r="B736" s="31" t="s">
        <v>1025</v>
      </c>
      <c r="C736" s="31" t="s">
        <v>44</v>
      </c>
      <c r="D736" s="31" t="s">
        <v>44</v>
      </c>
      <c r="E736" s="31" t="n">
        <v>1</v>
      </c>
      <c r="F736" s="32" t="n">
        <v>5.95</v>
      </c>
      <c r="G736" s="32" t="n">
        <v>5.95</v>
      </c>
      <c r="H736" s="31" t="s">
        <v>45</v>
      </c>
      <c r="I736" s="31" t="s">
        <v>84</v>
      </c>
      <c r="J736" s="31" t="s">
        <v>1026</v>
      </c>
      <c r="K736" s="31" t="s">
        <v>48</v>
      </c>
    </row>
    <row r="737" customFormat="false" ht="15" hidden="false" customHeight="false" outlineLevel="0" collapsed="false">
      <c r="A737" s="31" t="s">
        <v>1024</v>
      </c>
      <c r="B737" s="31" t="s">
        <v>1027</v>
      </c>
      <c r="C737" s="31" t="s">
        <v>20</v>
      </c>
      <c r="D737" s="31" t="s">
        <v>73</v>
      </c>
      <c r="E737" s="31" t="n">
        <v>2</v>
      </c>
      <c r="F737" s="32" t="n">
        <v>69</v>
      </c>
      <c r="G737" s="32" t="n">
        <v>138</v>
      </c>
      <c r="H737" s="31" t="s">
        <v>45</v>
      </c>
      <c r="I737" s="31" t="s">
        <v>84</v>
      </c>
      <c r="J737" s="31" t="s">
        <v>1026</v>
      </c>
      <c r="K737" s="31" t="s">
        <v>48</v>
      </c>
    </row>
    <row r="738" customFormat="false" ht="15" hidden="false" customHeight="false" outlineLevel="0" collapsed="false">
      <c r="A738" s="31" t="s">
        <v>1028</v>
      </c>
      <c r="B738" s="31" t="s">
        <v>1029</v>
      </c>
      <c r="C738" s="31" t="s">
        <v>44</v>
      </c>
      <c r="D738" s="31" t="s">
        <v>44</v>
      </c>
      <c r="E738" s="31" t="n">
        <v>1</v>
      </c>
      <c r="F738" s="32" t="n">
        <v>5.95</v>
      </c>
      <c r="G738" s="32" t="n">
        <v>5.95</v>
      </c>
      <c r="H738" s="31" t="s">
        <v>45</v>
      </c>
      <c r="I738" s="31" t="s">
        <v>58</v>
      </c>
      <c r="J738" s="31" t="s">
        <v>570</v>
      </c>
      <c r="K738" s="31" t="s">
        <v>48</v>
      </c>
    </row>
    <row r="739" customFormat="false" ht="15" hidden="false" customHeight="false" outlineLevel="0" collapsed="false">
      <c r="A739" s="31" t="s">
        <v>1028</v>
      </c>
      <c r="B739" s="31" t="s">
        <v>1029</v>
      </c>
      <c r="C739" s="31" t="s">
        <v>20</v>
      </c>
      <c r="D739" s="31" t="s">
        <v>87</v>
      </c>
      <c r="E739" s="31" t="n">
        <v>2</v>
      </c>
      <c r="F739" s="32" t="n">
        <v>35</v>
      </c>
      <c r="G739" s="32" t="n">
        <v>70</v>
      </c>
      <c r="H739" s="31" t="s">
        <v>45</v>
      </c>
      <c r="I739" s="31" t="s">
        <v>58</v>
      </c>
      <c r="J739" s="31" t="s">
        <v>570</v>
      </c>
      <c r="K739" s="31" t="s">
        <v>48</v>
      </c>
    </row>
    <row r="740" customFormat="false" ht="15" hidden="false" customHeight="false" outlineLevel="0" collapsed="false">
      <c r="A740" s="31" t="s">
        <v>1028</v>
      </c>
      <c r="B740" s="31" t="s">
        <v>1029</v>
      </c>
      <c r="C740" s="31" t="s">
        <v>20</v>
      </c>
      <c r="D740" s="31" t="s">
        <v>73</v>
      </c>
      <c r="E740" s="31" t="n">
        <v>1</v>
      </c>
      <c r="F740" s="32" t="n">
        <v>69</v>
      </c>
      <c r="G740" s="32" t="n">
        <v>69</v>
      </c>
      <c r="H740" s="31" t="s">
        <v>45</v>
      </c>
      <c r="I740" s="31" t="s">
        <v>58</v>
      </c>
      <c r="J740" s="31" t="s">
        <v>570</v>
      </c>
      <c r="K740" s="31" t="s">
        <v>48</v>
      </c>
    </row>
    <row r="741" customFormat="false" ht="15" hidden="false" customHeight="false" outlineLevel="0" collapsed="false">
      <c r="A741" s="31" t="s">
        <v>1030</v>
      </c>
      <c r="B741" s="31" t="s">
        <v>1031</v>
      </c>
      <c r="C741" s="31" t="s">
        <v>20</v>
      </c>
      <c r="D741" s="31" t="s">
        <v>52</v>
      </c>
      <c r="E741" s="31" t="n">
        <v>1</v>
      </c>
      <c r="F741" s="32" t="n">
        <v>22</v>
      </c>
      <c r="G741" s="32" t="n">
        <v>22</v>
      </c>
      <c r="H741" s="31" t="s">
        <v>145</v>
      </c>
      <c r="I741" s="31" t="s">
        <v>58</v>
      </c>
      <c r="J741" s="31" t="s">
        <v>591</v>
      </c>
      <c r="K741" s="31" t="s">
        <v>48</v>
      </c>
    </row>
    <row r="742" customFormat="false" ht="15" hidden="false" customHeight="false" outlineLevel="0" collapsed="false">
      <c r="A742" s="31" t="s">
        <v>1030</v>
      </c>
      <c r="B742" s="31" t="s">
        <v>1032</v>
      </c>
      <c r="C742" s="31" t="s">
        <v>20</v>
      </c>
      <c r="D742" s="31" t="s">
        <v>140</v>
      </c>
      <c r="E742" s="31" t="n">
        <v>1</v>
      </c>
      <c r="F742" s="32" t="n">
        <v>26</v>
      </c>
      <c r="G742" s="32" t="n">
        <v>26</v>
      </c>
      <c r="H742" s="31" t="s">
        <v>145</v>
      </c>
      <c r="I742" s="31" t="s">
        <v>58</v>
      </c>
      <c r="J742" s="31" t="s">
        <v>591</v>
      </c>
      <c r="K742" s="31" t="s">
        <v>48</v>
      </c>
    </row>
    <row r="743" customFormat="false" ht="15" hidden="false" customHeight="false" outlineLevel="0" collapsed="false">
      <c r="A743" s="31" t="s">
        <v>1030</v>
      </c>
      <c r="B743" s="31" t="s">
        <v>1031</v>
      </c>
      <c r="C743" s="31" t="s">
        <v>20</v>
      </c>
      <c r="D743" s="31" t="s">
        <v>52</v>
      </c>
      <c r="E743" s="31" t="n">
        <v>1</v>
      </c>
      <c r="F743" s="32" t="n">
        <v>22</v>
      </c>
      <c r="G743" s="32" t="n">
        <v>22</v>
      </c>
      <c r="H743" s="31" t="s">
        <v>145</v>
      </c>
      <c r="I743" s="31" t="s">
        <v>58</v>
      </c>
      <c r="J743" s="31" t="s">
        <v>591</v>
      </c>
      <c r="K743" s="31" t="s">
        <v>48</v>
      </c>
    </row>
    <row r="744" customFormat="false" ht="15" hidden="false" customHeight="false" outlineLevel="0" collapsed="false">
      <c r="A744" s="31" t="s">
        <v>924</v>
      </c>
      <c r="B744" s="31" t="s">
        <v>1033</v>
      </c>
      <c r="C744" s="31" t="s">
        <v>20</v>
      </c>
      <c r="D744" s="31" t="s">
        <v>52</v>
      </c>
      <c r="E744" s="31" t="n">
        <v>-1</v>
      </c>
      <c r="F744" s="32" t="n">
        <v>22</v>
      </c>
      <c r="G744" s="32" t="n">
        <v>-22</v>
      </c>
      <c r="H744" s="31" t="s">
        <v>45</v>
      </c>
      <c r="I744" s="31" t="s">
        <v>58</v>
      </c>
      <c r="J744" s="31" t="s">
        <v>926</v>
      </c>
      <c r="K744" s="31" t="s">
        <v>243</v>
      </c>
    </row>
    <row r="745" customFormat="false" ht="15" hidden="false" customHeight="false" outlineLevel="0" collapsed="false">
      <c r="A745" s="31" t="s">
        <v>1034</v>
      </c>
      <c r="B745" s="31" t="s">
        <v>1035</v>
      </c>
      <c r="C745" s="31" t="s">
        <v>20</v>
      </c>
      <c r="D745" s="31" t="s">
        <v>87</v>
      </c>
      <c r="E745" s="31" t="n">
        <v>2</v>
      </c>
      <c r="F745" s="32" t="n">
        <v>35</v>
      </c>
      <c r="G745" s="32" t="n">
        <v>70</v>
      </c>
      <c r="H745" s="31" t="s">
        <v>45</v>
      </c>
      <c r="I745" s="31" t="s">
        <v>58</v>
      </c>
      <c r="J745" s="31" t="s">
        <v>1036</v>
      </c>
      <c r="K745" s="31" t="s">
        <v>48</v>
      </c>
    </row>
    <row r="746" customFormat="false" ht="15" hidden="false" customHeight="false" outlineLevel="0" collapsed="false">
      <c r="A746" s="31" t="s">
        <v>1034</v>
      </c>
      <c r="B746" s="31" t="s">
        <v>1035</v>
      </c>
      <c r="C746" s="31" t="s">
        <v>44</v>
      </c>
      <c r="D746" s="31" t="s">
        <v>44</v>
      </c>
      <c r="E746" s="31" t="n">
        <v>1</v>
      </c>
      <c r="F746" s="32" t="n">
        <v>5.95</v>
      </c>
      <c r="G746" s="32" t="n">
        <v>5.95</v>
      </c>
      <c r="H746" s="31" t="s">
        <v>45</v>
      </c>
      <c r="I746" s="31" t="s">
        <v>58</v>
      </c>
      <c r="J746" s="31" t="s">
        <v>1036</v>
      </c>
      <c r="K746" s="31" t="s">
        <v>48</v>
      </c>
    </row>
    <row r="747" customFormat="false" ht="15" hidden="false" customHeight="false" outlineLevel="0" collapsed="false">
      <c r="A747" s="31" t="s">
        <v>1037</v>
      </c>
      <c r="B747" s="31" t="s">
        <v>1038</v>
      </c>
      <c r="C747" s="31" t="s">
        <v>20</v>
      </c>
      <c r="D747" s="31" t="s">
        <v>87</v>
      </c>
      <c r="E747" s="31" t="n">
        <v>1</v>
      </c>
      <c r="F747" s="32" t="n">
        <v>35</v>
      </c>
      <c r="G747" s="32" t="n">
        <v>35</v>
      </c>
      <c r="H747" s="31" t="s">
        <v>45</v>
      </c>
      <c r="I747" s="31" t="s">
        <v>58</v>
      </c>
      <c r="J747" s="31" t="s">
        <v>1039</v>
      </c>
      <c r="K747" s="31" t="s">
        <v>48</v>
      </c>
    </row>
    <row r="748" customFormat="false" ht="15" hidden="false" customHeight="false" outlineLevel="0" collapsed="false">
      <c r="A748" s="31" t="s">
        <v>1037</v>
      </c>
      <c r="B748" s="31" t="s">
        <v>1040</v>
      </c>
      <c r="C748" s="31" t="s">
        <v>20</v>
      </c>
      <c r="D748" s="31" t="s">
        <v>78</v>
      </c>
      <c r="E748" s="31" t="n">
        <v>1</v>
      </c>
      <c r="F748" s="32" t="n">
        <v>89</v>
      </c>
      <c r="G748" s="32" t="n">
        <v>89</v>
      </c>
      <c r="H748" s="31" t="s">
        <v>45</v>
      </c>
      <c r="I748" s="31" t="s">
        <v>58</v>
      </c>
      <c r="J748" s="31" t="s">
        <v>1039</v>
      </c>
      <c r="K748" s="31" t="s">
        <v>48</v>
      </c>
    </row>
    <row r="749" customFormat="false" ht="15" hidden="false" customHeight="false" outlineLevel="0" collapsed="false">
      <c r="A749" s="31" t="s">
        <v>1041</v>
      </c>
      <c r="B749" s="31" t="s">
        <v>1042</v>
      </c>
      <c r="C749" s="31" t="s">
        <v>20</v>
      </c>
      <c r="D749" s="31" t="s">
        <v>140</v>
      </c>
      <c r="E749" s="31" t="n">
        <v>1</v>
      </c>
      <c r="F749" s="32" t="n">
        <v>26</v>
      </c>
      <c r="G749" s="32" t="n">
        <v>26</v>
      </c>
      <c r="H749" s="31" t="s">
        <v>145</v>
      </c>
      <c r="I749" s="31" t="s">
        <v>58</v>
      </c>
      <c r="J749" s="31" t="s">
        <v>1043</v>
      </c>
      <c r="K749" s="31" t="s">
        <v>48</v>
      </c>
    </row>
    <row r="750" customFormat="false" ht="15" hidden="false" customHeight="false" outlineLevel="0" collapsed="false">
      <c r="A750" s="31" t="s">
        <v>1041</v>
      </c>
      <c r="B750" s="31" t="s">
        <v>1042</v>
      </c>
      <c r="C750" s="31" t="s">
        <v>20</v>
      </c>
      <c r="D750" s="31" t="s">
        <v>69</v>
      </c>
      <c r="E750" s="31" t="n">
        <v>1</v>
      </c>
      <c r="F750" s="32" t="n">
        <v>29</v>
      </c>
      <c r="G750" s="32" t="n">
        <v>29</v>
      </c>
      <c r="H750" s="31" t="s">
        <v>145</v>
      </c>
      <c r="I750" s="31" t="s">
        <v>58</v>
      </c>
      <c r="J750" s="31" t="s">
        <v>1043</v>
      </c>
      <c r="K750" s="31" t="s">
        <v>48</v>
      </c>
    </row>
    <row r="751" customFormat="false" ht="15" hidden="false" customHeight="false" outlineLevel="0" collapsed="false">
      <c r="A751" s="31" t="s">
        <v>1044</v>
      </c>
      <c r="B751" s="31" t="s">
        <v>1045</v>
      </c>
      <c r="C751" s="31" t="s">
        <v>20</v>
      </c>
      <c r="D751" s="31" t="s">
        <v>63</v>
      </c>
      <c r="E751" s="31" t="n">
        <v>1</v>
      </c>
      <c r="F751" s="32" t="n">
        <v>14</v>
      </c>
      <c r="G751" s="32" t="n">
        <v>14</v>
      </c>
      <c r="H751" s="31" t="s">
        <v>45</v>
      </c>
      <c r="I751" s="31" t="s">
        <v>58</v>
      </c>
      <c r="J751" s="31" t="s">
        <v>1046</v>
      </c>
      <c r="K751" s="31" t="s">
        <v>48</v>
      </c>
    </row>
    <row r="752" customFormat="false" ht="15" hidden="false" customHeight="false" outlineLevel="0" collapsed="false">
      <c r="A752" s="31" t="s">
        <v>1044</v>
      </c>
      <c r="B752" s="31" t="s">
        <v>1047</v>
      </c>
      <c r="C752" s="31" t="s">
        <v>20</v>
      </c>
      <c r="D752" s="31" t="s">
        <v>73</v>
      </c>
      <c r="E752" s="31" t="n">
        <v>1</v>
      </c>
      <c r="F752" s="32" t="n">
        <v>69</v>
      </c>
      <c r="G752" s="32" t="n">
        <v>69</v>
      </c>
      <c r="H752" s="31" t="s">
        <v>45</v>
      </c>
      <c r="I752" s="31" t="s">
        <v>58</v>
      </c>
      <c r="J752" s="31" t="s">
        <v>1046</v>
      </c>
      <c r="K752" s="31" t="s">
        <v>48</v>
      </c>
    </row>
    <row r="753" customFormat="false" ht="15" hidden="false" customHeight="false" outlineLevel="0" collapsed="false">
      <c r="A753" s="31" t="s">
        <v>1048</v>
      </c>
      <c r="B753" s="31" t="s">
        <v>1049</v>
      </c>
      <c r="C753" s="31" t="s">
        <v>44</v>
      </c>
      <c r="D753" s="31" t="s">
        <v>44</v>
      </c>
      <c r="E753" s="31" t="n">
        <v>1</v>
      </c>
      <c r="F753" s="32" t="n">
        <v>0</v>
      </c>
      <c r="G753" s="32" t="n">
        <v>0</v>
      </c>
      <c r="H753" s="31" t="s">
        <v>45</v>
      </c>
      <c r="I753" s="31" t="s">
        <v>121</v>
      </c>
      <c r="J753" s="31" t="s">
        <v>1050</v>
      </c>
      <c r="K753" s="31" t="s">
        <v>48</v>
      </c>
    </row>
    <row r="754" customFormat="false" ht="15" hidden="false" customHeight="false" outlineLevel="0" collapsed="false">
      <c r="A754" s="31" t="s">
        <v>1048</v>
      </c>
      <c r="B754" s="31" t="s">
        <v>1049</v>
      </c>
      <c r="C754" s="31" t="s">
        <v>20</v>
      </c>
      <c r="D754" s="31" t="s">
        <v>56</v>
      </c>
      <c r="E754" s="31" t="n">
        <v>2</v>
      </c>
      <c r="F754" s="32" t="n">
        <v>45</v>
      </c>
      <c r="G754" s="32" t="n">
        <v>90</v>
      </c>
      <c r="H754" s="31" t="s">
        <v>45</v>
      </c>
      <c r="I754" s="31" t="s">
        <v>121</v>
      </c>
      <c r="J754" s="31" t="s">
        <v>1050</v>
      </c>
      <c r="K754" s="31" t="s">
        <v>48</v>
      </c>
    </row>
    <row r="755" customFormat="false" ht="15" hidden="false" customHeight="false" outlineLevel="0" collapsed="false">
      <c r="A755" s="31" t="s">
        <v>1051</v>
      </c>
      <c r="B755" s="31" t="s">
        <v>1052</v>
      </c>
      <c r="C755" s="31" t="s">
        <v>50</v>
      </c>
      <c r="D755" s="31" t="s">
        <v>51</v>
      </c>
      <c r="E755" s="31" t="n">
        <v>1</v>
      </c>
      <c r="F755" s="32" t="n">
        <v>-15</v>
      </c>
      <c r="G755" s="32" t="n">
        <v>-15</v>
      </c>
      <c r="H755" s="31" t="s">
        <v>45</v>
      </c>
      <c r="I755" s="31" t="s">
        <v>58</v>
      </c>
      <c r="J755" s="31" t="s">
        <v>1053</v>
      </c>
      <c r="K755" s="31" t="s">
        <v>48</v>
      </c>
    </row>
    <row r="756" customFormat="false" ht="15" hidden="false" customHeight="false" outlineLevel="0" collapsed="false">
      <c r="A756" s="31" t="s">
        <v>1051</v>
      </c>
      <c r="B756" s="31" t="s">
        <v>1052</v>
      </c>
      <c r="C756" s="31" t="s">
        <v>20</v>
      </c>
      <c r="D756" s="31" t="s">
        <v>53</v>
      </c>
      <c r="E756" s="31" t="n">
        <v>1</v>
      </c>
      <c r="F756" s="32" t="n">
        <v>33.15</v>
      </c>
      <c r="G756" s="32" t="n">
        <v>33.15</v>
      </c>
      <c r="H756" s="31" t="s">
        <v>45</v>
      </c>
      <c r="I756" s="31" t="s">
        <v>58</v>
      </c>
      <c r="J756" s="31" t="s">
        <v>1053</v>
      </c>
      <c r="K756" s="31" t="s">
        <v>48</v>
      </c>
    </row>
    <row r="757" customFormat="false" ht="15" hidden="false" customHeight="false" outlineLevel="0" collapsed="false">
      <c r="A757" s="31" t="s">
        <v>1051</v>
      </c>
      <c r="B757" s="31" t="s">
        <v>1054</v>
      </c>
      <c r="C757" s="31" t="s">
        <v>50</v>
      </c>
      <c r="D757" s="31" t="s">
        <v>51</v>
      </c>
      <c r="E757" s="31" t="n">
        <v>1</v>
      </c>
      <c r="F757" s="32" t="n">
        <v>-15</v>
      </c>
      <c r="G757" s="32" t="n">
        <v>-15</v>
      </c>
      <c r="H757" s="31" t="s">
        <v>45</v>
      </c>
      <c r="I757" s="31" t="s">
        <v>58</v>
      </c>
      <c r="J757" s="31" t="s">
        <v>1053</v>
      </c>
      <c r="K757" s="31" t="s">
        <v>48</v>
      </c>
    </row>
    <row r="758" customFormat="false" ht="15" hidden="false" customHeight="false" outlineLevel="0" collapsed="false">
      <c r="A758" s="31" t="s">
        <v>1051</v>
      </c>
      <c r="B758" s="31" t="s">
        <v>1052</v>
      </c>
      <c r="C758" s="31" t="s">
        <v>44</v>
      </c>
      <c r="D758" s="31" t="s">
        <v>44</v>
      </c>
      <c r="E758" s="31" t="n">
        <v>1</v>
      </c>
      <c r="F758" s="32" t="n">
        <v>5.95</v>
      </c>
      <c r="G758" s="32" t="n">
        <v>5.95</v>
      </c>
      <c r="H758" s="31" t="s">
        <v>45</v>
      </c>
      <c r="I758" s="31" t="s">
        <v>58</v>
      </c>
      <c r="J758" s="31" t="s">
        <v>1053</v>
      </c>
      <c r="K758" s="31" t="s">
        <v>48</v>
      </c>
    </row>
    <row r="759" customFormat="false" ht="15" hidden="false" customHeight="false" outlineLevel="0" collapsed="false">
      <c r="A759" s="31" t="s">
        <v>1055</v>
      </c>
      <c r="B759" s="31" t="s">
        <v>1056</v>
      </c>
      <c r="C759" s="31" t="s">
        <v>20</v>
      </c>
      <c r="D759" s="31" t="s">
        <v>87</v>
      </c>
      <c r="E759" s="31" t="n">
        <v>1</v>
      </c>
      <c r="F759" s="32" t="n">
        <v>35</v>
      </c>
      <c r="G759" s="32" t="n">
        <v>35</v>
      </c>
      <c r="H759" s="31" t="s">
        <v>45</v>
      </c>
      <c r="I759" s="31" t="s">
        <v>58</v>
      </c>
      <c r="J759" s="31" t="s">
        <v>1057</v>
      </c>
      <c r="K759" s="31" t="s">
        <v>48</v>
      </c>
    </row>
    <row r="760" customFormat="false" ht="15" hidden="false" customHeight="false" outlineLevel="0" collapsed="false">
      <c r="A760" s="31" t="s">
        <v>1058</v>
      </c>
      <c r="B760" s="31" t="s">
        <v>1056</v>
      </c>
      <c r="C760" s="31" t="s">
        <v>20</v>
      </c>
      <c r="D760" s="31" t="s">
        <v>73</v>
      </c>
      <c r="E760" s="31" t="n">
        <v>1</v>
      </c>
      <c r="F760" s="32" t="n">
        <v>69</v>
      </c>
      <c r="G760" s="32" t="n">
        <v>69</v>
      </c>
      <c r="H760" s="31" t="s">
        <v>145</v>
      </c>
      <c r="I760" s="31" t="s">
        <v>58</v>
      </c>
      <c r="J760" s="31" t="s">
        <v>1059</v>
      </c>
      <c r="K760" s="31" t="s">
        <v>48</v>
      </c>
    </row>
    <row r="761" customFormat="false" ht="15" hidden="false" customHeight="false" outlineLevel="0" collapsed="false">
      <c r="A761" s="31" t="s">
        <v>1055</v>
      </c>
      <c r="B761" s="31" t="s">
        <v>1056</v>
      </c>
      <c r="C761" s="31" t="s">
        <v>20</v>
      </c>
      <c r="D761" s="31" t="s">
        <v>69</v>
      </c>
      <c r="E761" s="31" t="n">
        <v>2</v>
      </c>
      <c r="F761" s="32" t="n">
        <v>29</v>
      </c>
      <c r="G761" s="32" t="n">
        <v>58</v>
      </c>
      <c r="H761" s="31" t="s">
        <v>45</v>
      </c>
      <c r="I761" s="31" t="s">
        <v>58</v>
      </c>
      <c r="J761" s="31" t="s">
        <v>1057</v>
      </c>
      <c r="K761" s="31" t="s">
        <v>48</v>
      </c>
    </row>
    <row r="762" customFormat="false" ht="15" hidden="false" customHeight="false" outlineLevel="0" collapsed="false">
      <c r="A762" s="31" t="s">
        <v>1058</v>
      </c>
      <c r="B762" s="31" t="s">
        <v>1060</v>
      </c>
      <c r="C762" s="31" t="s">
        <v>44</v>
      </c>
      <c r="D762" s="31" t="s">
        <v>44</v>
      </c>
      <c r="E762" s="31" t="n">
        <v>1</v>
      </c>
      <c r="F762" s="32" t="n">
        <v>3.95</v>
      </c>
      <c r="G762" s="32" t="n">
        <v>3.95</v>
      </c>
      <c r="H762" s="31" t="s">
        <v>145</v>
      </c>
      <c r="I762" s="31" t="s">
        <v>58</v>
      </c>
      <c r="J762" s="31" t="s">
        <v>1059</v>
      </c>
      <c r="K762" s="31" t="s">
        <v>48</v>
      </c>
    </row>
    <row r="763" customFormat="false" ht="15" hidden="false" customHeight="false" outlineLevel="0" collapsed="false">
      <c r="A763" s="31" t="s">
        <v>1061</v>
      </c>
      <c r="B763" s="31" t="s">
        <v>1062</v>
      </c>
      <c r="C763" s="31" t="s">
        <v>20</v>
      </c>
      <c r="D763" s="31" t="s">
        <v>73</v>
      </c>
      <c r="E763" s="31" t="n">
        <v>4</v>
      </c>
      <c r="F763" s="32" t="n">
        <v>69</v>
      </c>
      <c r="G763" s="32" t="n">
        <v>276</v>
      </c>
      <c r="H763" s="31" t="s">
        <v>57</v>
      </c>
      <c r="I763" s="31" t="s">
        <v>58</v>
      </c>
      <c r="J763" s="31" t="s">
        <v>90</v>
      </c>
      <c r="K763" s="31" t="s">
        <v>48</v>
      </c>
    </row>
    <row r="764" customFormat="false" ht="15" hidden="false" customHeight="false" outlineLevel="0" collapsed="false">
      <c r="A764" s="31" t="s">
        <v>1061</v>
      </c>
      <c r="B764" s="31" t="s">
        <v>1062</v>
      </c>
      <c r="C764" s="31" t="s">
        <v>44</v>
      </c>
      <c r="D764" s="31" t="s">
        <v>44</v>
      </c>
      <c r="E764" s="31" t="n">
        <v>1</v>
      </c>
      <c r="F764" s="32" t="n">
        <v>4.95</v>
      </c>
      <c r="G764" s="32" t="n">
        <v>4.95</v>
      </c>
      <c r="H764" s="31" t="s">
        <v>57</v>
      </c>
      <c r="I764" s="31" t="s">
        <v>58</v>
      </c>
      <c r="J764" s="31" t="s">
        <v>90</v>
      </c>
      <c r="K764" s="31" t="s">
        <v>48</v>
      </c>
    </row>
    <row r="765" customFormat="false" ht="15" hidden="false" customHeight="false" outlineLevel="0" collapsed="false">
      <c r="A765" s="31" t="s">
        <v>1061</v>
      </c>
      <c r="B765" s="31" t="s">
        <v>1062</v>
      </c>
      <c r="C765" s="31" t="s">
        <v>20</v>
      </c>
      <c r="D765" s="31" t="s">
        <v>78</v>
      </c>
      <c r="E765" s="31" t="n">
        <v>2</v>
      </c>
      <c r="F765" s="32" t="n">
        <v>89</v>
      </c>
      <c r="G765" s="32" t="n">
        <v>178</v>
      </c>
      <c r="H765" s="31" t="s">
        <v>57</v>
      </c>
      <c r="I765" s="31" t="s">
        <v>58</v>
      </c>
      <c r="J765" s="31" t="s">
        <v>90</v>
      </c>
      <c r="K765" s="31" t="s">
        <v>48</v>
      </c>
    </row>
    <row r="766" customFormat="false" ht="15" hidden="false" customHeight="false" outlineLevel="0" collapsed="false">
      <c r="A766" s="31" t="s">
        <v>1063</v>
      </c>
      <c r="B766" s="31" t="s">
        <v>1064</v>
      </c>
      <c r="C766" s="31" t="s">
        <v>20</v>
      </c>
      <c r="D766" s="31" t="s">
        <v>123</v>
      </c>
      <c r="E766" s="31" t="n">
        <v>1</v>
      </c>
      <c r="F766" s="32" t="n">
        <v>75</v>
      </c>
      <c r="G766" s="32" t="n">
        <v>75</v>
      </c>
      <c r="H766" s="31" t="s">
        <v>45</v>
      </c>
      <c r="I766" s="31" t="s">
        <v>104</v>
      </c>
      <c r="J766" s="31" t="s">
        <v>1065</v>
      </c>
      <c r="K766" s="31" t="s">
        <v>48</v>
      </c>
    </row>
    <row r="767" customFormat="false" ht="15" hidden="false" customHeight="false" outlineLevel="0" collapsed="false">
      <c r="A767" s="31" t="s">
        <v>1063</v>
      </c>
      <c r="B767" s="31" t="s">
        <v>1066</v>
      </c>
      <c r="C767" s="31" t="s">
        <v>44</v>
      </c>
      <c r="D767" s="31" t="s">
        <v>44</v>
      </c>
      <c r="E767" s="31" t="n">
        <v>1</v>
      </c>
      <c r="F767" s="32" t="n">
        <v>5.95</v>
      </c>
      <c r="G767" s="32" t="n">
        <v>5.95</v>
      </c>
      <c r="H767" s="31" t="s">
        <v>45</v>
      </c>
      <c r="I767" s="31" t="s">
        <v>104</v>
      </c>
      <c r="J767" s="31" t="s">
        <v>1065</v>
      </c>
      <c r="K767" s="31" t="s">
        <v>48</v>
      </c>
    </row>
    <row r="768" customFormat="false" ht="15" hidden="false" customHeight="false" outlineLevel="0" collapsed="false">
      <c r="A768" s="31" t="s">
        <v>1063</v>
      </c>
      <c r="B768" s="31" t="s">
        <v>1064</v>
      </c>
      <c r="C768" s="31" t="s">
        <v>20</v>
      </c>
      <c r="D768" s="31" t="s">
        <v>53</v>
      </c>
      <c r="E768" s="31" t="n">
        <v>1</v>
      </c>
      <c r="F768" s="32" t="n">
        <v>39</v>
      </c>
      <c r="G768" s="32" t="n">
        <v>39</v>
      </c>
      <c r="H768" s="31" t="s">
        <v>45</v>
      </c>
      <c r="I768" s="31" t="s">
        <v>104</v>
      </c>
      <c r="J768" s="31" t="s">
        <v>1065</v>
      </c>
      <c r="K768" s="31" t="s">
        <v>48</v>
      </c>
    </row>
    <row r="769" customFormat="false" ht="15" hidden="false" customHeight="false" outlineLevel="0" collapsed="false">
      <c r="A769" s="31" t="s">
        <v>1067</v>
      </c>
      <c r="B769" s="31" t="s">
        <v>1068</v>
      </c>
      <c r="C769" s="31" t="s">
        <v>44</v>
      </c>
      <c r="D769" s="31" t="s">
        <v>44</v>
      </c>
      <c r="E769" s="31" t="n">
        <v>1</v>
      </c>
      <c r="F769" s="32" t="n">
        <v>0</v>
      </c>
      <c r="G769" s="32" t="n">
        <v>0</v>
      </c>
      <c r="H769" s="31" t="s">
        <v>45</v>
      </c>
      <c r="I769" s="31" t="s">
        <v>58</v>
      </c>
      <c r="J769" s="31" t="s">
        <v>903</v>
      </c>
      <c r="K769" s="31" t="s">
        <v>48</v>
      </c>
    </row>
    <row r="770" customFormat="false" ht="15" hidden="false" customHeight="false" outlineLevel="0" collapsed="false">
      <c r="A770" s="31" t="s">
        <v>1067</v>
      </c>
      <c r="B770" s="31" t="s">
        <v>1068</v>
      </c>
      <c r="C770" s="31" t="s">
        <v>20</v>
      </c>
      <c r="D770" s="31" t="s">
        <v>66</v>
      </c>
      <c r="E770" s="31" t="n">
        <v>1</v>
      </c>
      <c r="F770" s="32" t="n">
        <v>32</v>
      </c>
      <c r="G770" s="32" t="n">
        <v>32</v>
      </c>
      <c r="H770" s="31" t="s">
        <v>45</v>
      </c>
      <c r="I770" s="31" t="s">
        <v>58</v>
      </c>
      <c r="J770" s="31" t="s">
        <v>903</v>
      </c>
      <c r="K770" s="31" t="s">
        <v>48</v>
      </c>
    </row>
    <row r="771" customFormat="false" ht="15" hidden="false" customHeight="false" outlineLevel="0" collapsed="false">
      <c r="A771" s="31" t="s">
        <v>981</v>
      </c>
      <c r="B771" s="31" t="s">
        <v>1069</v>
      </c>
      <c r="C771" s="31" t="s">
        <v>20</v>
      </c>
      <c r="D771" s="31" t="s">
        <v>73</v>
      </c>
      <c r="E771" s="31" t="n">
        <v>-1</v>
      </c>
      <c r="F771" s="32" t="n">
        <v>69</v>
      </c>
      <c r="G771" s="32" t="n">
        <v>-69</v>
      </c>
      <c r="H771" s="31" t="s">
        <v>145</v>
      </c>
      <c r="I771" s="31" t="s">
        <v>58</v>
      </c>
      <c r="J771" s="31" t="s">
        <v>339</v>
      </c>
      <c r="K771" s="31" t="s">
        <v>243</v>
      </c>
    </row>
    <row r="772" customFormat="false" ht="15" hidden="false" customHeight="false" outlineLevel="0" collapsed="false">
      <c r="A772" s="31" t="s">
        <v>1070</v>
      </c>
      <c r="B772" s="31" t="s">
        <v>1071</v>
      </c>
      <c r="C772" s="31" t="s">
        <v>44</v>
      </c>
      <c r="D772" s="31" t="s">
        <v>44</v>
      </c>
      <c r="E772" s="31" t="n">
        <v>1</v>
      </c>
      <c r="F772" s="32" t="n">
        <v>4.95</v>
      </c>
      <c r="G772" s="32" t="n">
        <v>4.95</v>
      </c>
      <c r="H772" s="31" t="s">
        <v>45</v>
      </c>
      <c r="I772" s="31" t="s">
        <v>58</v>
      </c>
      <c r="J772" s="31" t="s">
        <v>1072</v>
      </c>
      <c r="K772" s="31" t="s">
        <v>48</v>
      </c>
    </row>
    <row r="773" customFormat="false" ht="15" hidden="false" customHeight="false" outlineLevel="0" collapsed="false">
      <c r="A773" s="31" t="s">
        <v>1070</v>
      </c>
      <c r="B773" s="31" t="s">
        <v>1073</v>
      </c>
      <c r="C773" s="31" t="s">
        <v>20</v>
      </c>
      <c r="D773" s="31" t="s">
        <v>78</v>
      </c>
      <c r="E773" s="31" t="n">
        <v>1</v>
      </c>
      <c r="F773" s="32" t="n">
        <v>89</v>
      </c>
      <c r="G773" s="32" t="n">
        <v>89</v>
      </c>
      <c r="H773" s="31" t="s">
        <v>45</v>
      </c>
      <c r="I773" s="31" t="s">
        <v>58</v>
      </c>
      <c r="J773" s="31" t="s">
        <v>1072</v>
      </c>
      <c r="K773" s="31" t="s">
        <v>48</v>
      </c>
    </row>
    <row r="774" customFormat="false" ht="15" hidden="false" customHeight="false" outlineLevel="0" collapsed="false">
      <c r="A774" s="31" t="s">
        <v>1074</v>
      </c>
      <c r="B774" s="31" t="s">
        <v>1075</v>
      </c>
      <c r="C774" s="31" t="s">
        <v>20</v>
      </c>
      <c r="D774" s="31" t="s">
        <v>53</v>
      </c>
      <c r="E774" s="31" t="n">
        <v>2</v>
      </c>
      <c r="F774" s="32" t="n">
        <v>39</v>
      </c>
      <c r="G774" s="32" t="n">
        <v>78</v>
      </c>
      <c r="H774" s="31" t="s">
        <v>45</v>
      </c>
      <c r="I774" s="31" t="s">
        <v>58</v>
      </c>
      <c r="J774" s="31" t="s">
        <v>1076</v>
      </c>
      <c r="K774" s="31" t="s">
        <v>48</v>
      </c>
    </row>
    <row r="775" customFormat="false" ht="15" hidden="false" customHeight="false" outlineLevel="0" collapsed="false">
      <c r="A775" s="31" t="s">
        <v>1074</v>
      </c>
      <c r="B775" s="31" t="s">
        <v>1075</v>
      </c>
      <c r="C775" s="31" t="s">
        <v>44</v>
      </c>
      <c r="D775" s="31" t="s">
        <v>44</v>
      </c>
      <c r="E775" s="31" t="n">
        <v>1</v>
      </c>
      <c r="F775" s="32" t="n">
        <v>5.95</v>
      </c>
      <c r="G775" s="32" t="n">
        <v>5.95</v>
      </c>
      <c r="H775" s="31" t="s">
        <v>45</v>
      </c>
      <c r="I775" s="31" t="s">
        <v>58</v>
      </c>
      <c r="J775" s="31" t="s">
        <v>1076</v>
      </c>
      <c r="K775" s="31" t="s">
        <v>48</v>
      </c>
    </row>
    <row r="776" customFormat="false" ht="15" hidden="false" customHeight="false" outlineLevel="0" collapsed="false">
      <c r="A776" s="31" t="s">
        <v>1074</v>
      </c>
      <c r="B776" s="31" t="s">
        <v>1075</v>
      </c>
      <c r="C776" s="31" t="s">
        <v>50</v>
      </c>
      <c r="D776" s="31" t="s">
        <v>51</v>
      </c>
      <c r="E776" s="31" t="n">
        <v>1</v>
      </c>
      <c r="F776" s="32" t="n">
        <v>-5</v>
      </c>
      <c r="G776" s="32" t="n">
        <v>-5</v>
      </c>
      <c r="H776" s="31" t="s">
        <v>45</v>
      </c>
      <c r="I776" s="31" t="s">
        <v>58</v>
      </c>
      <c r="J776" s="31" t="s">
        <v>1076</v>
      </c>
      <c r="K776" s="31" t="s">
        <v>48</v>
      </c>
    </row>
    <row r="777" customFormat="false" ht="15" hidden="false" customHeight="false" outlineLevel="0" collapsed="false">
      <c r="A777" s="31" t="s">
        <v>1077</v>
      </c>
      <c r="B777" s="31" t="s">
        <v>1078</v>
      </c>
      <c r="C777" s="31" t="s">
        <v>20</v>
      </c>
      <c r="D777" s="31" t="s">
        <v>78</v>
      </c>
      <c r="E777" s="31" t="n">
        <v>1</v>
      </c>
      <c r="F777" s="32" t="n">
        <v>89</v>
      </c>
      <c r="G777" s="32" t="n">
        <v>89</v>
      </c>
      <c r="H777" s="31" t="s">
        <v>45</v>
      </c>
      <c r="I777" s="31" t="s">
        <v>104</v>
      </c>
      <c r="J777" s="31" t="s">
        <v>493</v>
      </c>
      <c r="K777" s="31" t="s">
        <v>48</v>
      </c>
    </row>
    <row r="778" customFormat="false" ht="15" hidden="false" customHeight="false" outlineLevel="0" collapsed="false">
      <c r="A778" s="31" t="s">
        <v>1077</v>
      </c>
      <c r="B778" s="31" t="s">
        <v>1079</v>
      </c>
      <c r="C778" s="31" t="s">
        <v>20</v>
      </c>
      <c r="D778" s="31" t="s">
        <v>56</v>
      </c>
      <c r="E778" s="31" t="n">
        <v>2</v>
      </c>
      <c r="F778" s="32" t="n">
        <v>36</v>
      </c>
      <c r="G778" s="32" t="n">
        <v>72</v>
      </c>
      <c r="H778" s="31" t="s">
        <v>45</v>
      </c>
      <c r="I778" s="31" t="s">
        <v>104</v>
      </c>
      <c r="J778" s="31" t="s">
        <v>493</v>
      </c>
      <c r="K778" s="31" t="s">
        <v>48</v>
      </c>
    </row>
    <row r="779" customFormat="false" ht="15" hidden="false" customHeight="false" outlineLevel="0" collapsed="false">
      <c r="A779" s="31" t="s">
        <v>1080</v>
      </c>
      <c r="B779" s="31" t="s">
        <v>1081</v>
      </c>
      <c r="C779" s="31" t="s">
        <v>20</v>
      </c>
      <c r="D779" s="31" t="s">
        <v>78</v>
      </c>
      <c r="E779" s="31" t="n">
        <v>2</v>
      </c>
      <c r="F779" s="32" t="n">
        <v>89</v>
      </c>
      <c r="G779" s="32" t="n">
        <v>178</v>
      </c>
      <c r="H779" s="31" t="s">
        <v>184</v>
      </c>
      <c r="I779" s="31" t="s">
        <v>58</v>
      </c>
      <c r="J779" s="31" t="s">
        <v>1082</v>
      </c>
      <c r="K779" s="31" t="s">
        <v>48</v>
      </c>
    </row>
    <row r="780" customFormat="false" ht="15" hidden="false" customHeight="false" outlineLevel="0" collapsed="false">
      <c r="A780" s="31" t="s">
        <v>1080</v>
      </c>
      <c r="B780" s="31" t="s">
        <v>1081</v>
      </c>
      <c r="C780" s="31" t="s">
        <v>44</v>
      </c>
      <c r="D780" s="31" t="s">
        <v>44</v>
      </c>
      <c r="E780" s="31" t="n">
        <v>1</v>
      </c>
      <c r="F780" s="32" t="n">
        <v>4.95</v>
      </c>
      <c r="G780" s="32" t="n">
        <v>4.95</v>
      </c>
      <c r="H780" s="31" t="s">
        <v>184</v>
      </c>
      <c r="I780" s="31" t="s">
        <v>58</v>
      </c>
      <c r="J780" s="31" t="s">
        <v>1082</v>
      </c>
      <c r="K780" s="31" t="s">
        <v>48</v>
      </c>
    </row>
    <row r="781" customFormat="false" ht="15" hidden="false" customHeight="false" outlineLevel="0" collapsed="false">
      <c r="A781" s="31" t="s">
        <v>1083</v>
      </c>
      <c r="B781" s="31" t="s">
        <v>1084</v>
      </c>
      <c r="C781" s="31" t="s">
        <v>20</v>
      </c>
      <c r="D781" s="31" t="s">
        <v>56</v>
      </c>
      <c r="E781" s="31" t="n">
        <v>1</v>
      </c>
      <c r="F781" s="32" t="n">
        <v>45</v>
      </c>
      <c r="G781" s="32" t="n">
        <v>45</v>
      </c>
      <c r="H781" s="31" t="s">
        <v>57</v>
      </c>
      <c r="I781" s="31" t="s">
        <v>58</v>
      </c>
      <c r="J781" s="31"/>
      <c r="K781" s="31" t="s">
        <v>48</v>
      </c>
    </row>
    <row r="782" customFormat="false" ht="15" hidden="false" customHeight="false" outlineLevel="0" collapsed="false">
      <c r="A782" s="31" t="s">
        <v>1083</v>
      </c>
      <c r="B782" s="31" t="s">
        <v>1085</v>
      </c>
      <c r="C782" s="31" t="s">
        <v>44</v>
      </c>
      <c r="D782" s="31" t="s">
        <v>44</v>
      </c>
      <c r="E782" s="31" t="n">
        <v>1</v>
      </c>
      <c r="F782" s="32" t="n">
        <v>5.95</v>
      </c>
      <c r="G782" s="32" t="n">
        <v>5.95</v>
      </c>
      <c r="H782" s="31" t="s">
        <v>57</v>
      </c>
      <c r="I782" s="31" t="s">
        <v>58</v>
      </c>
      <c r="J782" s="31"/>
      <c r="K782" s="31" t="s">
        <v>48</v>
      </c>
    </row>
    <row r="783" customFormat="false" ht="15" hidden="false" customHeight="false" outlineLevel="0" collapsed="false">
      <c r="A783" s="31" t="s">
        <v>1086</v>
      </c>
      <c r="B783" s="31" t="s">
        <v>1087</v>
      </c>
      <c r="C783" s="31" t="s">
        <v>20</v>
      </c>
      <c r="D783" s="31" t="s">
        <v>53</v>
      </c>
      <c r="E783" s="31" t="n">
        <v>1</v>
      </c>
      <c r="F783" s="32" t="n">
        <v>39</v>
      </c>
      <c r="G783" s="32" t="n">
        <v>39</v>
      </c>
      <c r="H783" s="31" t="s">
        <v>45</v>
      </c>
      <c r="I783" s="31" t="s">
        <v>46</v>
      </c>
      <c r="J783" s="31" t="s">
        <v>1088</v>
      </c>
      <c r="K783" s="31" t="s">
        <v>48</v>
      </c>
    </row>
    <row r="784" customFormat="false" ht="15" hidden="false" customHeight="false" outlineLevel="0" collapsed="false">
      <c r="A784" s="31" t="s">
        <v>1086</v>
      </c>
      <c r="B784" s="31" t="s">
        <v>1087</v>
      </c>
      <c r="C784" s="31" t="s">
        <v>44</v>
      </c>
      <c r="D784" s="31" t="s">
        <v>44</v>
      </c>
      <c r="E784" s="31" t="n">
        <v>1</v>
      </c>
      <c r="F784" s="32" t="n">
        <v>4.95</v>
      </c>
      <c r="G784" s="32" t="n">
        <v>4.95</v>
      </c>
      <c r="H784" s="31" t="s">
        <v>45</v>
      </c>
      <c r="I784" s="31" t="s">
        <v>46</v>
      </c>
      <c r="J784" s="31" t="s">
        <v>1088</v>
      </c>
      <c r="K784" s="31" t="s">
        <v>48</v>
      </c>
    </row>
    <row r="785" customFormat="false" ht="15" hidden="false" customHeight="false" outlineLevel="0" collapsed="false">
      <c r="A785" s="31" t="s">
        <v>1089</v>
      </c>
      <c r="B785" s="31" t="s">
        <v>1090</v>
      </c>
      <c r="C785" s="31" t="s">
        <v>44</v>
      </c>
      <c r="D785" s="31" t="s">
        <v>44</v>
      </c>
      <c r="E785" s="31" t="n">
        <v>1</v>
      </c>
      <c r="F785" s="32" t="n">
        <v>4.95</v>
      </c>
      <c r="G785" s="32" t="n">
        <v>4.95</v>
      </c>
      <c r="H785" s="31" t="s">
        <v>45</v>
      </c>
      <c r="I785" s="31" t="s">
        <v>58</v>
      </c>
      <c r="J785" s="31" t="s">
        <v>1091</v>
      </c>
      <c r="K785" s="31" t="s">
        <v>48</v>
      </c>
    </row>
    <row r="786" customFormat="false" ht="15" hidden="false" customHeight="false" outlineLevel="0" collapsed="false">
      <c r="A786" s="31" t="s">
        <v>1089</v>
      </c>
      <c r="B786" s="31" t="s">
        <v>1090</v>
      </c>
      <c r="C786" s="31" t="s">
        <v>20</v>
      </c>
      <c r="D786" s="31" t="s">
        <v>78</v>
      </c>
      <c r="E786" s="31" t="n">
        <v>1</v>
      </c>
      <c r="F786" s="32" t="n">
        <v>89</v>
      </c>
      <c r="G786" s="32" t="n">
        <v>89</v>
      </c>
      <c r="H786" s="31" t="s">
        <v>45</v>
      </c>
      <c r="I786" s="31" t="s">
        <v>58</v>
      </c>
      <c r="J786" s="31" t="s">
        <v>1091</v>
      </c>
      <c r="K786" s="31" t="s">
        <v>48</v>
      </c>
    </row>
    <row r="787" customFormat="false" ht="15" hidden="false" customHeight="false" outlineLevel="0" collapsed="false">
      <c r="A787" s="31" t="s">
        <v>1089</v>
      </c>
      <c r="B787" s="31" t="s">
        <v>1092</v>
      </c>
      <c r="C787" s="31" t="s">
        <v>20</v>
      </c>
      <c r="D787" s="31" t="s">
        <v>66</v>
      </c>
      <c r="E787" s="31" t="n">
        <v>1</v>
      </c>
      <c r="F787" s="32" t="n">
        <v>32</v>
      </c>
      <c r="G787" s="32" t="n">
        <v>32</v>
      </c>
      <c r="H787" s="31" t="s">
        <v>45</v>
      </c>
      <c r="I787" s="31" t="s">
        <v>58</v>
      </c>
      <c r="J787" s="31" t="s">
        <v>1091</v>
      </c>
      <c r="K787" s="31" t="s">
        <v>48</v>
      </c>
    </row>
    <row r="788" customFormat="false" ht="15" hidden="false" customHeight="false" outlineLevel="0" collapsed="false">
      <c r="A788" s="31" t="s">
        <v>1093</v>
      </c>
      <c r="B788" s="31" t="s">
        <v>1094</v>
      </c>
      <c r="C788" s="31" t="s">
        <v>20</v>
      </c>
      <c r="D788" s="31" t="s">
        <v>63</v>
      </c>
      <c r="E788" s="31" t="n">
        <v>1</v>
      </c>
      <c r="F788" s="32" t="n">
        <v>14</v>
      </c>
      <c r="G788" s="32" t="n">
        <v>14</v>
      </c>
      <c r="H788" s="31" t="s">
        <v>145</v>
      </c>
      <c r="I788" s="31" t="s">
        <v>58</v>
      </c>
      <c r="J788" s="31" t="s">
        <v>1095</v>
      </c>
      <c r="K788" s="31" t="s">
        <v>48</v>
      </c>
    </row>
    <row r="789" customFormat="false" ht="15" hidden="false" customHeight="false" outlineLevel="0" collapsed="false">
      <c r="A789" s="31" t="s">
        <v>1093</v>
      </c>
      <c r="B789" s="31" t="s">
        <v>1094</v>
      </c>
      <c r="C789" s="31" t="s">
        <v>44</v>
      </c>
      <c r="D789" s="31" t="s">
        <v>44</v>
      </c>
      <c r="E789" s="31" t="n">
        <v>1</v>
      </c>
      <c r="F789" s="32" t="n">
        <v>0</v>
      </c>
      <c r="G789" s="32" t="n">
        <v>0</v>
      </c>
      <c r="H789" s="31" t="s">
        <v>145</v>
      </c>
      <c r="I789" s="31" t="s">
        <v>58</v>
      </c>
      <c r="J789" s="31" t="s">
        <v>1095</v>
      </c>
      <c r="K789" s="31" t="s">
        <v>48</v>
      </c>
    </row>
    <row r="790" customFormat="false" ht="15" hidden="false" customHeight="false" outlineLevel="0" collapsed="false">
      <c r="A790" s="31" t="s">
        <v>1093</v>
      </c>
      <c r="B790" s="31" t="s">
        <v>1094</v>
      </c>
      <c r="C790" s="31" t="s">
        <v>20</v>
      </c>
      <c r="D790" s="31" t="s">
        <v>78</v>
      </c>
      <c r="E790" s="31" t="n">
        <v>1</v>
      </c>
      <c r="F790" s="32" t="n">
        <v>89</v>
      </c>
      <c r="G790" s="32" t="n">
        <v>89</v>
      </c>
      <c r="H790" s="31" t="s">
        <v>145</v>
      </c>
      <c r="I790" s="31" t="s">
        <v>58</v>
      </c>
      <c r="J790" s="31" t="s">
        <v>1095</v>
      </c>
      <c r="K790" s="31" t="s">
        <v>48</v>
      </c>
    </row>
    <row r="791" customFormat="false" ht="15" hidden="false" customHeight="false" outlineLevel="0" collapsed="false">
      <c r="A791" s="31" t="s">
        <v>1096</v>
      </c>
      <c r="B791" s="31" t="s">
        <v>1097</v>
      </c>
      <c r="C791" s="31" t="s">
        <v>20</v>
      </c>
      <c r="D791" s="31" t="s">
        <v>123</v>
      </c>
      <c r="E791" s="31" t="n">
        <v>1</v>
      </c>
      <c r="F791" s="32" t="n">
        <v>75</v>
      </c>
      <c r="G791" s="32" t="n">
        <v>75</v>
      </c>
      <c r="H791" s="31" t="s">
        <v>45</v>
      </c>
      <c r="I791" s="31" t="s">
        <v>155</v>
      </c>
      <c r="J791" s="31" t="s">
        <v>1098</v>
      </c>
      <c r="K791" s="31" t="s">
        <v>48</v>
      </c>
    </row>
    <row r="792" customFormat="false" ht="15" hidden="false" customHeight="false" outlineLevel="0" collapsed="false">
      <c r="A792" s="31" t="s">
        <v>1096</v>
      </c>
      <c r="B792" s="31" t="s">
        <v>1099</v>
      </c>
      <c r="C792" s="31" t="s">
        <v>20</v>
      </c>
      <c r="D792" s="31" t="s">
        <v>123</v>
      </c>
      <c r="E792" s="31" t="n">
        <v>1</v>
      </c>
      <c r="F792" s="32" t="n">
        <v>75</v>
      </c>
      <c r="G792" s="32" t="n">
        <v>75</v>
      </c>
      <c r="H792" s="31" t="s">
        <v>45</v>
      </c>
      <c r="I792" s="31" t="s">
        <v>155</v>
      </c>
      <c r="J792" s="31" t="s">
        <v>1098</v>
      </c>
      <c r="K792" s="31" t="s">
        <v>48</v>
      </c>
    </row>
    <row r="793" customFormat="false" ht="15" hidden="false" customHeight="false" outlineLevel="0" collapsed="false">
      <c r="A793" s="31" t="s">
        <v>1096</v>
      </c>
      <c r="B793" s="31" t="s">
        <v>1097</v>
      </c>
      <c r="C793" s="31" t="s">
        <v>44</v>
      </c>
      <c r="D793" s="31" t="s">
        <v>44</v>
      </c>
      <c r="E793" s="31" t="n">
        <v>1</v>
      </c>
      <c r="F793" s="32" t="n">
        <v>0</v>
      </c>
      <c r="G793" s="32" t="n">
        <v>0</v>
      </c>
      <c r="H793" s="31" t="s">
        <v>45</v>
      </c>
      <c r="I793" s="31" t="s">
        <v>155</v>
      </c>
      <c r="J793" s="31" t="s">
        <v>1098</v>
      </c>
      <c r="K793" s="31" t="s">
        <v>48</v>
      </c>
    </row>
    <row r="794" customFormat="false" ht="15" hidden="false" customHeight="false" outlineLevel="0" collapsed="false">
      <c r="A794" s="31" t="s">
        <v>1100</v>
      </c>
      <c r="B794" s="31" t="s">
        <v>1101</v>
      </c>
      <c r="C794" s="31" t="s">
        <v>20</v>
      </c>
      <c r="D794" s="31" t="s">
        <v>140</v>
      </c>
      <c r="E794" s="31" t="n">
        <v>2</v>
      </c>
      <c r="F794" s="32" t="n">
        <v>26</v>
      </c>
      <c r="G794" s="32" t="n">
        <v>52</v>
      </c>
      <c r="H794" s="31" t="s">
        <v>57</v>
      </c>
      <c r="I794" s="31" t="s">
        <v>58</v>
      </c>
      <c r="J794" s="31" t="s">
        <v>1102</v>
      </c>
      <c r="K794" s="31" t="s">
        <v>48</v>
      </c>
    </row>
    <row r="795" customFormat="false" ht="15" hidden="false" customHeight="false" outlineLevel="0" collapsed="false">
      <c r="A795" s="31" t="s">
        <v>1103</v>
      </c>
      <c r="B795" s="31" t="s">
        <v>1101</v>
      </c>
      <c r="C795" s="31" t="s">
        <v>44</v>
      </c>
      <c r="D795" s="31" t="s">
        <v>44</v>
      </c>
      <c r="E795" s="31" t="n">
        <v>1</v>
      </c>
      <c r="F795" s="32" t="n">
        <v>5.95</v>
      </c>
      <c r="G795" s="32" t="n">
        <v>5.95</v>
      </c>
      <c r="H795" s="31" t="s">
        <v>57</v>
      </c>
      <c r="I795" s="31" t="s">
        <v>58</v>
      </c>
      <c r="J795" s="31" t="s">
        <v>1104</v>
      </c>
      <c r="K795" s="31" t="s">
        <v>48</v>
      </c>
    </row>
    <row r="796" customFormat="false" ht="15" hidden="false" customHeight="false" outlineLevel="0" collapsed="false">
      <c r="A796" s="31" t="s">
        <v>1103</v>
      </c>
      <c r="B796" s="31" t="s">
        <v>1101</v>
      </c>
      <c r="C796" s="31" t="s">
        <v>20</v>
      </c>
      <c r="D796" s="31" t="s">
        <v>123</v>
      </c>
      <c r="E796" s="31" t="n">
        <v>1</v>
      </c>
      <c r="F796" s="32" t="n">
        <v>75</v>
      </c>
      <c r="G796" s="32" t="n">
        <v>75</v>
      </c>
      <c r="H796" s="31" t="s">
        <v>57</v>
      </c>
      <c r="I796" s="31" t="s">
        <v>58</v>
      </c>
      <c r="J796" s="31" t="s">
        <v>1104</v>
      </c>
      <c r="K796" s="31" t="s">
        <v>48</v>
      </c>
    </row>
    <row r="797" customFormat="false" ht="15" hidden="false" customHeight="false" outlineLevel="0" collapsed="false">
      <c r="A797" s="31" t="s">
        <v>1100</v>
      </c>
      <c r="B797" s="31" t="s">
        <v>1105</v>
      </c>
      <c r="C797" s="31" t="s">
        <v>44</v>
      </c>
      <c r="D797" s="31" t="s">
        <v>44</v>
      </c>
      <c r="E797" s="31" t="n">
        <v>1</v>
      </c>
      <c r="F797" s="32" t="n">
        <v>5.95</v>
      </c>
      <c r="G797" s="32" t="n">
        <v>5.95</v>
      </c>
      <c r="H797" s="31" t="s">
        <v>57</v>
      </c>
      <c r="I797" s="31" t="s">
        <v>58</v>
      </c>
      <c r="J797" s="31" t="s">
        <v>1102</v>
      </c>
      <c r="K797" s="31" t="s">
        <v>48</v>
      </c>
    </row>
    <row r="798" customFormat="false" ht="15" hidden="false" customHeight="false" outlineLevel="0" collapsed="false">
      <c r="A798" s="31" t="s">
        <v>1103</v>
      </c>
      <c r="B798" s="31" t="s">
        <v>1101</v>
      </c>
      <c r="C798" s="31" t="s">
        <v>20</v>
      </c>
      <c r="D798" s="31" t="s">
        <v>66</v>
      </c>
      <c r="E798" s="31" t="n">
        <v>1</v>
      </c>
      <c r="F798" s="32" t="n">
        <v>28.8</v>
      </c>
      <c r="G798" s="32" t="n">
        <v>28.8</v>
      </c>
      <c r="H798" s="31" t="s">
        <v>57</v>
      </c>
      <c r="I798" s="31" t="s">
        <v>58</v>
      </c>
      <c r="J798" s="31" t="s">
        <v>1104</v>
      </c>
      <c r="K798" s="31" t="s">
        <v>48</v>
      </c>
    </row>
    <row r="799" customFormat="false" ht="15" hidden="false" customHeight="false" outlineLevel="0" collapsed="false">
      <c r="A799" s="31" t="s">
        <v>1103</v>
      </c>
      <c r="B799" s="31" t="s">
        <v>1101</v>
      </c>
      <c r="C799" s="31" t="s">
        <v>20</v>
      </c>
      <c r="D799" s="31" t="s">
        <v>78</v>
      </c>
      <c r="E799" s="31" t="n">
        <v>2</v>
      </c>
      <c r="F799" s="32" t="n">
        <v>89</v>
      </c>
      <c r="G799" s="32" t="n">
        <v>178</v>
      </c>
      <c r="H799" s="31" t="s">
        <v>57</v>
      </c>
      <c r="I799" s="31" t="s">
        <v>58</v>
      </c>
      <c r="J799" s="31" t="s">
        <v>1104</v>
      </c>
      <c r="K799" s="31" t="s">
        <v>48</v>
      </c>
    </row>
    <row r="800" customFormat="false" ht="15" hidden="false" customHeight="false" outlineLevel="0" collapsed="false">
      <c r="A800" s="31" t="s">
        <v>1106</v>
      </c>
      <c r="B800" s="31" t="s">
        <v>1107</v>
      </c>
      <c r="C800" s="31" t="s">
        <v>20</v>
      </c>
      <c r="D800" s="31" t="s">
        <v>53</v>
      </c>
      <c r="E800" s="31" t="n">
        <v>1</v>
      </c>
      <c r="F800" s="32" t="n">
        <v>39</v>
      </c>
      <c r="G800" s="32" t="n">
        <v>39</v>
      </c>
      <c r="H800" s="31" t="s">
        <v>184</v>
      </c>
      <c r="I800" s="31" t="s">
        <v>58</v>
      </c>
      <c r="J800" s="31" t="s">
        <v>1108</v>
      </c>
      <c r="K800" s="31" t="s">
        <v>48</v>
      </c>
    </row>
    <row r="801" customFormat="false" ht="15" hidden="false" customHeight="false" outlineLevel="0" collapsed="false">
      <c r="A801" s="31" t="s">
        <v>1106</v>
      </c>
      <c r="B801" s="31" t="s">
        <v>1107</v>
      </c>
      <c r="C801" s="31" t="s">
        <v>44</v>
      </c>
      <c r="D801" s="31" t="s">
        <v>44</v>
      </c>
      <c r="E801" s="31" t="n">
        <v>1</v>
      </c>
      <c r="F801" s="32" t="n">
        <v>5.95</v>
      </c>
      <c r="G801" s="32" t="n">
        <v>5.95</v>
      </c>
      <c r="H801" s="31" t="s">
        <v>184</v>
      </c>
      <c r="I801" s="31" t="s">
        <v>58</v>
      </c>
      <c r="J801" s="31" t="s">
        <v>1108</v>
      </c>
      <c r="K801" s="31" t="s">
        <v>48</v>
      </c>
    </row>
    <row r="802" customFormat="false" ht="15" hidden="false" customHeight="false" outlineLevel="0" collapsed="false">
      <c r="A802" s="31" t="s">
        <v>1109</v>
      </c>
      <c r="B802" s="31" t="s">
        <v>1110</v>
      </c>
      <c r="C802" s="31" t="s">
        <v>20</v>
      </c>
      <c r="D802" s="31" t="s">
        <v>66</v>
      </c>
      <c r="E802" s="31" t="n">
        <v>1</v>
      </c>
      <c r="F802" s="32" t="n">
        <v>32</v>
      </c>
      <c r="G802" s="32" t="n">
        <v>32</v>
      </c>
      <c r="H802" s="31" t="s">
        <v>45</v>
      </c>
      <c r="I802" s="31" t="s">
        <v>58</v>
      </c>
      <c r="J802" s="31"/>
      <c r="K802" s="31" t="s">
        <v>48</v>
      </c>
    </row>
    <row r="803" customFormat="false" ht="15" hidden="false" customHeight="false" outlineLevel="0" collapsed="false">
      <c r="A803" s="31" t="s">
        <v>1109</v>
      </c>
      <c r="B803" s="31" t="s">
        <v>1111</v>
      </c>
      <c r="C803" s="31" t="s">
        <v>20</v>
      </c>
      <c r="D803" s="31" t="s">
        <v>78</v>
      </c>
      <c r="E803" s="31" t="n">
        <v>1</v>
      </c>
      <c r="F803" s="32" t="n">
        <v>89</v>
      </c>
      <c r="G803" s="32" t="n">
        <v>89</v>
      </c>
      <c r="H803" s="31" t="s">
        <v>45</v>
      </c>
      <c r="I803" s="31" t="s">
        <v>58</v>
      </c>
      <c r="J803" s="31"/>
      <c r="K803" s="31" t="s">
        <v>48</v>
      </c>
    </row>
    <row r="804" customFormat="false" ht="15" hidden="false" customHeight="false" outlineLevel="0" collapsed="false">
      <c r="A804" s="31" t="s">
        <v>1109</v>
      </c>
      <c r="B804" s="31" t="s">
        <v>1111</v>
      </c>
      <c r="C804" s="31" t="s">
        <v>44</v>
      </c>
      <c r="D804" s="31" t="s">
        <v>44</v>
      </c>
      <c r="E804" s="31" t="n">
        <v>1</v>
      </c>
      <c r="F804" s="32" t="n">
        <v>0</v>
      </c>
      <c r="G804" s="32" t="n">
        <v>0</v>
      </c>
      <c r="H804" s="31" t="s">
        <v>45</v>
      </c>
      <c r="I804" s="31" t="s">
        <v>58</v>
      </c>
      <c r="J804" s="31"/>
      <c r="K804" s="31" t="s">
        <v>48</v>
      </c>
    </row>
    <row r="805" customFormat="false" ht="15" hidden="false" customHeight="false" outlineLevel="0" collapsed="false">
      <c r="A805" s="31" t="s">
        <v>1112</v>
      </c>
      <c r="B805" s="31" t="s">
        <v>1113</v>
      </c>
      <c r="C805" s="31" t="s">
        <v>20</v>
      </c>
      <c r="D805" s="31" t="s">
        <v>73</v>
      </c>
      <c r="E805" s="31" t="n">
        <v>2</v>
      </c>
      <c r="F805" s="32" t="n">
        <v>55.2</v>
      </c>
      <c r="G805" s="32" t="n">
        <v>110.4</v>
      </c>
      <c r="H805" s="31" t="s">
        <v>45</v>
      </c>
      <c r="I805" s="31" t="s">
        <v>46</v>
      </c>
      <c r="J805" s="31" t="s">
        <v>405</v>
      </c>
      <c r="K805" s="31" t="s">
        <v>48</v>
      </c>
    </row>
    <row r="806" customFormat="false" ht="15" hidden="false" customHeight="false" outlineLevel="0" collapsed="false">
      <c r="A806" s="31" t="s">
        <v>1112</v>
      </c>
      <c r="B806" s="31" t="s">
        <v>1113</v>
      </c>
      <c r="C806" s="31" t="s">
        <v>44</v>
      </c>
      <c r="D806" s="31" t="s">
        <v>44</v>
      </c>
      <c r="E806" s="31" t="n">
        <v>1</v>
      </c>
      <c r="F806" s="32" t="n">
        <v>0</v>
      </c>
      <c r="G806" s="32" t="n">
        <v>0</v>
      </c>
      <c r="H806" s="31" t="s">
        <v>45</v>
      </c>
      <c r="I806" s="31" t="s">
        <v>46</v>
      </c>
      <c r="J806" s="31" t="s">
        <v>405</v>
      </c>
      <c r="K806" s="31" t="s">
        <v>48</v>
      </c>
    </row>
    <row r="807" customFormat="false" ht="15" hidden="false" customHeight="false" outlineLevel="0" collapsed="false">
      <c r="A807" s="31" t="s">
        <v>1114</v>
      </c>
      <c r="B807" s="31" t="s">
        <v>1115</v>
      </c>
      <c r="C807" s="31" t="s">
        <v>20</v>
      </c>
      <c r="D807" s="31" t="s">
        <v>78</v>
      </c>
      <c r="E807" s="31" t="n">
        <v>1</v>
      </c>
      <c r="F807" s="32" t="n">
        <v>89</v>
      </c>
      <c r="G807" s="32" t="n">
        <v>89</v>
      </c>
      <c r="H807" s="31" t="s">
        <v>145</v>
      </c>
      <c r="I807" s="31" t="s">
        <v>121</v>
      </c>
      <c r="J807" s="31" t="s">
        <v>786</v>
      </c>
      <c r="K807" s="31" t="s">
        <v>48</v>
      </c>
    </row>
    <row r="808" customFormat="false" ht="15" hidden="false" customHeight="false" outlineLevel="0" collapsed="false">
      <c r="A808" s="31" t="s">
        <v>1114</v>
      </c>
      <c r="B808" s="31" t="s">
        <v>1116</v>
      </c>
      <c r="C808" s="31" t="s">
        <v>44</v>
      </c>
      <c r="D808" s="31" t="s">
        <v>44</v>
      </c>
      <c r="E808" s="31" t="n">
        <v>1</v>
      </c>
      <c r="F808" s="32" t="n">
        <v>0</v>
      </c>
      <c r="G808" s="32" t="n">
        <v>0</v>
      </c>
      <c r="H808" s="31" t="s">
        <v>145</v>
      </c>
      <c r="I808" s="31" t="s">
        <v>121</v>
      </c>
      <c r="J808" s="31" t="s">
        <v>786</v>
      </c>
      <c r="K808" s="31" t="s">
        <v>48</v>
      </c>
    </row>
    <row r="809" customFormat="false" ht="15" hidden="false" customHeight="false" outlineLevel="0" collapsed="false">
      <c r="A809" s="31" t="s">
        <v>1117</v>
      </c>
      <c r="B809" s="31" t="s">
        <v>1118</v>
      </c>
      <c r="C809" s="31" t="s">
        <v>44</v>
      </c>
      <c r="D809" s="31" t="s">
        <v>44</v>
      </c>
      <c r="E809" s="31" t="n">
        <v>1</v>
      </c>
      <c r="F809" s="32" t="n">
        <v>4.95</v>
      </c>
      <c r="G809" s="32" t="n">
        <v>4.95</v>
      </c>
      <c r="H809" s="31" t="s">
        <v>45</v>
      </c>
      <c r="I809" s="31" t="s">
        <v>58</v>
      </c>
      <c r="J809" s="31"/>
      <c r="K809" s="31" t="s">
        <v>48</v>
      </c>
    </row>
    <row r="810" customFormat="false" ht="15" hidden="false" customHeight="false" outlineLevel="0" collapsed="false">
      <c r="A810" s="31" t="s">
        <v>1117</v>
      </c>
      <c r="B810" s="31" t="s">
        <v>1118</v>
      </c>
      <c r="C810" s="31" t="s">
        <v>20</v>
      </c>
      <c r="D810" s="31" t="s">
        <v>73</v>
      </c>
      <c r="E810" s="31" t="n">
        <v>3</v>
      </c>
      <c r="F810" s="32" t="n">
        <v>69</v>
      </c>
      <c r="G810" s="32" t="n">
        <v>207</v>
      </c>
      <c r="H810" s="31" t="s">
        <v>45</v>
      </c>
      <c r="I810" s="31" t="s">
        <v>58</v>
      </c>
      <c r="J810" s="31"/>
      <c r="K810" s="31" t="s">
        <v>202</v>
      </c>
    </row>
    <row r="811" customFormat="false" ht="15" hidden="false" customHeight="false" outlineLevel="0" collapsed="false">
      <c r="A811" s="31" t="s">
        <v>1119</v>
      </c>
      <c r="B811" s="31" t="s">
        <v>1120</v>
      </c>
      <c r="C811" s="31" t="s">
        <v>20</v>
      </c>
      <c r="D811" s="31" t="s">
        <v>73</v>
      </c>
      <c r="E811" s="31" t="n">
        <v>1</v>
      </c>
      <c r="F811" s="32" t="n">
        <v>69</v>
      </c>
      <c r="G811" s="32" t="n">
        <v>69</v>
      </c>
      <c r="H811" s="31" t="s">
        <v>160</v>
      </c>
      <c r="I811" s="31" t="s">
        <v>58</v>
      </c>
      <c r="J811" s="31" t="s">
        <v>1121</v>
      </c>
      <c r="K811" s="31" t="s">
        <v>48</v>
      </c>
    </row>
    <row r="812" customFormat="false" ht="15" hidden="false" customHeight="false" outlineLevel="0" collapsed="false">
      <c r="A812" s="31" t="s">
        <v>1119</v>
      </c>
      <c r="B812" s="31" t="s">
        <v>1122</v>
      </c>
      <c r="C812" s="31" t="s">
        <v>20</v>
      </c>
      <c r="D812" s="31" t="s">
        <v>123</v>
      </c>
      <c r="E812" s="31" t="n">
        <v>2</v>
      </c>
      <c r="F812" s="32" t="n">
        <v>75</v>
      </c>
      <c r="G812" s="32" t="n">
        <v>150</v>
      </c>
      <c r="H812" s="31" t="s">
        <v>160</v>
      </c>
      <c r="I812" s="31" t="s">
        <v>58</v>
      </c>
      <c r="J812" s="31" t="s">
        <v>1121</v>
      </c>
      <c r="K812" s="31" t="s">
        <v>48</v>
      </c>
    </row>
    <row r="813" customFormat="false" ht="15" hidden="false" customHeight="false" outlineLevel="0" collapsed="false">
      <c r="A813" s="31" t="s">
        <v>1119</v>
      </c>
      <c r="B813" s="31" t="s">
        <v>1120</v>
      </c>
      <c r="C813" s="31" t="s">
        <v>44</v>
      </c>
      <c r="D813" s="31" t="s">
        <v>44</v>
      </c>
      <c r="E813" s="31" t="n">
        <v>1</v>
      </c>
      <c r="F813" s="32" t="n">
        <v>0</v>
      </c>
      <c r="G813" s="32" t="n">
        <v>0</v>
      </c>
      <c r="H813" s="31" t="s">
        <v>160</v>
      </c>
      <c r="I813" s="31" t="s">
        <v>58</v>
      </c>
      <c r="J813" s="31" t="s">
        <v>1121</v>
      </c>
      <c r="K813" s="31" t="s">
        <v>48</v>
      </c>
    </row>
    <row r="814" customFormat="false" ht="15" hidden="false" customHeight="false" outlineLevel="0" collapsed="false">
      <c r="A814" s="31" t="s">
        <v>1123</v>
      </c>
      <c r="B814" s="31" t="s">
        <v>1124</v>
      </c>
      <c r="C814" s="31" t="s">
        <v>20</v>
      </c>
      <c r="D814" s="31" t="s">
        <v>78</v>
      </c>
      <c r="E814" s="31" t="n">
        <v>2</v>
      </c>
      <c r="F814" s="32" t="n">
        <v>89</v>
      </c>
      <c r="G814" s="32" t="n">
        <v>178</v>
      </c>
      <c r="H814" s="31" t="s">
        <v>57</v>
      </c>
      <c r="I814" s="31" t="s">
        <v>58</v>
      </c>
      <c r="J814" s="31" t="s">
        <v>1125</v>
      </c>
      <c r="K814" s="31" t="s">
        <v>48</v>
      </c>
    </row>
    <row r="815" customFormat="false" ht="15" hidden="false" customHeight="false" outlineLevel="0" collapsed="false">
      <c r="A815" s="31" t="s">
        <v>1126</v>
      </c>
      <c r="B815" s="31" t="s">
        <v>1127</v>
      </c>
      <c r="C815" s="31" t="s">
        <v>20</v>
      </c>
      <c r="D815" s="31" t="s">
        <v>56</v>
      </c>
      <c r="E815" s="31" t="n">
        <v>1</v>
      </c>
      <c r="F815" s="32" t="n">
        <v>45</v>
      </c>
      <c r="G815" s="32" t="n">
        <v>45</v>
      </c>
      <c r="H815" s="31" t="s">
        <v>45</v>
      </c>
      <c r="I815" s="31" t="s">
        <v>58</v>
      </c>
      <c r="J815" s="31" t="s">
        <v>1128</v>
      </c>
      <c r="K815" s="31" t="s">
        <v>48</v>
      </c>
    </row>
    <row r="816" customFormat="false" ht="15" hidden="false" customHeight="false" outlineLevel="0" collapsed="false">
      <c r="A816" s="31" t="s">
        <v>1126</v>
      </c>
      <c r="B816" s="31" t="s">
        <v>1127</v>
      </c>
      <c r="C816" s="31" t="s">
        <v>20</v>
      </c>
      <c r="D816" s="31" t="s">
        <v>73</v>
      </c>
      <c r="E816" s="31" t="n">
        <v>1</v>
      </c>
      <c r="F816" s="32" t="n">
        <v>69</v>
      </c>
      <c r="G816" s="32" t="n">
        <v>69</v>
      </c>
      <c r="H816" s="31" t="s">
        <v>45</v>
      </c>
      <c r="I816" s="31" t="s">
        <v>58</v>
      </c>
      <c r="J816" s="31" t="s">
        <v>1128</v>
      </c>
      <c r="K816" s="31" t="s">
        <v>48</v>
      </c>
    </row>
    <row r="817" customFormat="false" ht="15" hidden="false" customHeight="false" outlineLevel="0" collapsed="false">
      <c r="A817" s="31" t="s">
        <v>1126</v>
      </c>
      <c r="B817" s="31" t="s">
        <v>1129</v>
      </c>
      <c r="C817" s="31" t="s">
        <v>44</v>
      </c>
      <c r="D817" s="31" t="s">
        <v>44</v>
      </c>
      <c r="E817" s="31" t="n">
        <v>1</v>
      </c>
      <c r="F817" s="32" t="n">
        <v>5.95</v>
      </c>
      <c r="G817" s="32" t="n">
        <v>5.95</v>
      </c>
      <c r="H817" s="31" t="s">
        <v>45</v>
      </c>
      <c r="I817" s="31" t="s">
        <v>58</v>
      </c>
      <c r="J817" s="31" t="s">
        <v>1128</v>
      </c>
      <c r="K817" s="31" t="s">
        <v>48</v>
      </c>
    </row>
    <row r="818" customFormat="false" ht="15" hidden="false" customHeight="false" outlineLevel="0" collapsed="false">
      <c r="A818" s="31" t="s">
        <v>1130</v>
      </c>
      <c r="B818" s="31" t="s">
        <v>1131</v>
      </c>
      <c r="C818" s="31" t="s">
        <v>20</v>
      </c>
      <c r="D818" s="31" t="s">
        <v>87</v>
      </c>
      <c r="E818" s="31" t="n">
        <v>1</v>
      </c>
      <c r="F818" s="32" t="n">
        <v>35</v>
      </c>
      <c r="G818" s="32" t="n">
        <v>35</v>
      </c>
      <c r="H818" s="31" t="s">
        <v>45</v>
      </c>
      <c r="I818" s="31" t="s">
        <v>104</v>
      </c>
      <c r="J818" s="31" t="s">
        <v>1132</v>
      </c>
      <c r="K818" s="31" t="s">
        <v>48</v>
      </c>
    </row>
    <row r="819" customFormat="false" ht="15" hidden="false" customHeight="false" outlineLevel="0" collapsed="false">
      <c r="A819" s="31" t="s">
        <v>1133</v>
      </c>
      <c r="B819" s="31" t="s">
        <v>1134</v>
      </c>
      <c r="C819" s="31" t="s">
        <v>20</v>
      </c>
      <c r="D819" s="31" t="s">
        <v>63</v>
      </c>
      <c r="E819" s="31" t="n">
        <v>4</v>
      </c>
      <c r="F819" s="32" t="n">
        <v>14</v>
      </c>
      <c r="G819" s="32" t="n">
        <v>56</v>
      </c>
      <c r="H819" s="31" t="s">
        <v>45</v>
      </c>
      <c r="I819" s="31" t="s">
        <v>58</v>
      </c>
      <c r="J819" s="31" t="s">
        <v>1135</v>
      </c>
      <c r="K819" s="31" t="s">
        <v>48</v>
      </c>
    </row>
    <row r="820" customFormat="false" ht="15" hidden="false" customHeight="false" outlineLevel="0" collapsed="false">
      <c r="A820" s="31" t="s">
        <v>1133</v>
      </c>
      <c r="B820" s="31" t="s">
        <v>1134</v>
      </c>
      <c r="C820" s="31" t="s">
        <v>44</v>
      </c>
      <c r="D820" s="31" t="s">
        <v>44</v>
      </c>
      <c r="E820" s="31" t="n">
        <v>1</v>
      </c>
      <c r="F820" s="32" t="n">
        <v>0</v>
      </c>
      <c r="G820" s="32" t="n">
        <v>0</v>
      </c>
      <c r="H820" s="31" t="s">
        <v>45</v>
      </c>
      <c r="I820" s="31" t="s">
        <v>58</v>
      </c>
      <c r="J820" s="31" t="s">
        <v>1135</v>
      </c>
      <c r="K820" s="31" t="s">
        <v>48</v>
      </c>
    </row>
    <row r="821" customFormat="false" ht="15" hidden="false" customHeight="false" outlineLevel="0" collapsed="false">
      <c r="A821" s="31" t="s">
        <v>1133</v>
      </c>
      <c r="B821" s="31" t="s">
        <v>1134</v>
      </c>
      <c r="C821" s="31" t="s">
        <v>50</v>
      </c>
      <c r="D821" s="31" t="s">
        <v>51</v>
      </c>
      <c r="E821" s="31" t="n">
        <v>1</v>
      </c>
      <c r="F821" s="32" t="n">
        <v>-10</v>
      </c>
      <c r="G821" s="32" t="n">
        <v>-10</v>
      </c>
      <c r="H821" s="31" t="s">
        <v>45</v>
      </c>
      <c r="I821" s="31" t="s">
        <v>58</v>
      </c>
      <c r="J821" s="31" t="s">
        <v>1135</v>
      </c>
      <c r="K821" s="31" t="s">
        <v>48</v>
      </c>
    </row>
    <row r="822" customFormat="false" ht="15" hidden="false" customHeight="false" outlineLevel="0" collapsed="false">
      <c r="A822" s="31" t="s">
        <v>1136</v>
      </c>
      <c r="B822" s="31" t="s">
        <v>1137</v>
      </c>
      <c r="C822" s="31" t="s">
        <v>20</v>
      </c>
      <c r="D822" s="31" t="s">
        <v>69</v>
      </c>
      <c r="E822" s="31" t="n">
        <v>1</v>
      </c>
      <c r="F822" s="32" t="n">
        <v>29</v>
      </c>
      <c r="G822" s="32" t="n">
        <v>29</v>
      </c>
      <c r="H822" s="31" t="s">
        <v>57</v>
      </c>
      <c r="I822" s="31" t="s">
        <v>58</v>
      </c>
      <c r="J822" s="31" t="s">
        <v>1138</v>
      </c>
      <c r="K822" s="31" t="s">
        <v>48</v>
      </c>
    </row>
    <row r="823" customFormat="false" ht="15" hidden="false" customHeight="false" outlineLevel="0" collapsed="false">
      <c r="A823" s="31" t="s">
        <v>1136</v>
      </c>
      <c r="B823" s="31" t="s">
        <v>1139</v>
      </c>
      <c r="C823" s="31" t="s">
        <v>20</v>
      </c>
      <c r="D823" s="31" t="s">
        <v>53</v>
      </c>
      <c r="E823" s="31" t="n">
        <v>1</v>
      </c>
      <c r="F823" s="32" t="n">
        <v>39</v>
      </c>
      <c r="G823" s="32" t="n">
        <v>39</v>
      </c>
      <c r="H823" s="31" t="s">
        <v>57</v>
      </c>
      <c r="I823" s="31" t="s">
        <v>58</v>
      </c>
      <c r="J823" s="31" t="s">
        <v>1138</v>
      </c>
      <c r="K823" s="31" t="s">
        <v>48</v>
      </c>
    </row>
    <row r="824" customFormat="false" ht="15" hidden="false" customHeight="false" outlineLevel="0" collapsed="false">
      <c r="A824" s="31" t="s">
        <v>1140</v>
      </c>
      <c r="B824" s="31" t="s">
        <v>1141</v>
      </c>
      <c r="C824" s="31" t="s">
        <v>20</v>
      </c>
      <c r="D824" s="31" t="s">
        <v>52</v>
      </c>
      <c r="E824" s="31" t="n">
        <v>1</v>
      </c>
      <c r="F824" s="32" t="n">
        <v>22</v>
      </c>
      <c r="G824" s="32" t="n">
        <v>22</v>
      </c>
      <c r="H824" s="31" t="s">
        <v>184</v>
      </c>
      <c r="I824" s="31" t="s">
        <v>84</v>
      </c>
      <c r="J824" s="31" t="s">
        <v>375</v>
      </c>
      <c r="K824" s="31" t="s">
        <v>48</v>
      </c>
    </row>
    <row r="825" customFormat="false" ht="15" hidden="false" customHeight="false" outlineLevel="0" collapsed="false">
      <c r="A825" s="31" t="s">
        <v>1140</v>
      </c>
      <c r="B825" s="31" t="s">
        <v>1141</v>
      </c>
      <c r="C825" s="31" t="s">
        <v>44</v>
      </c>
      <c r="D825" s="31" t="s">
        <v>44</v>
      </c>
      <c r="E825" s="31" t="n">
        <v>1</v>
      </c>
      <c r="F825" s="32" t="n">
        <v>0</v>
      </c>
      <c r="G825" s="32" t="n">
        <v>0</v>
      </c>
      <c r="H825" s="31" t="s">
        <v>184</v>
      </c>
      <c r="I825" s="31" t="s">
        <v>84</v>
      </c>
      <c r="J825" s="31" t="s">
        <v>375</v>
      </c>
      <c r="K825" s="31" t="s">
        <v>48</v>
      </c>
    </row>
    <row r="826" customFormat="false" ht="15" hidden="false" customHeight="false" outlineLevel="0" collapsed="false">
      <c r="A826" s="31" t="s">
        <v>1140</v>
      </c>
      <c r="B826" s="31" t="s">
        <v>1141</v>
      </c>
      <c r="C826" s="31" t="s">
        <v>20</v>
      </c>
      <c r="D826" s="31" t="s">
        <v>78</v>
      </c>
      <c r="E826" s="31" t="n">
        <v>2</v>
      </c>
      <c r="F826" s="32" t="n">
        <v>89</v>
      </c>
      <c r="G826" s="32" t="n">
        <v>178</v>
      </c>
      <c r="H826" s="31" t="s">
        <v>184</v>
      </c>
      <c r="I826" s="31" t="s">
        <v>84</v>
      </c>
      <c r="J826" s="31" t="s">
        <v>375</v>
      </c>
      <c r="K826" s="31" t="s">
        <v>48</v>
      </c>
    </row>
    <row r="827" customFormat="false" ht="15" hidden="false" customHeight="false" outlineLevel="0" collapsed="false">
      <c r="A827" s="31" t="s">
        <v>1142</v>
      </c>
      <c r="B827" s="31" t="s">
        <v>1143</v>
      </c>
      <c r="C827" s="31" t="s">
        <v>44</v>
      </c>
      <c r="D827" s="31" t="s">
        <v>44</v>
      </c>
      <c r="E827" s="31" t="n">
        <v>1</v>
      </c>
      <c r="F827" s="32" t="n">
        <v>0</v>
      </c>
      <c r="G827" s="32" t="n">
        <v>0</v>
      </c>
      <c r="H827" s="31" t="s">
        <v>45</v>
      </c>
      <c r="I827" s="31" t="s">
        <v>58</v>
      </c>
      <c r="J827" s="31" t="s">
        <v>1144</v>
      </c>
      <c r="K827" s="31" t="s">
        <v>48</v>
      </c>
    </row>
    <row r="828" customFormat="false" ht="15" hidden="false" customHeight="false" outlineLevel="0" collapsed="false">
      <c r="A828" s="31" t="s">
        <v>1142</v>
      </c>
      <c r="B828" s="31" t="s">
        <v>1145</v>
      </c>
      <c r="C828" s="31" t="s">
        <v>20</v>
      </c>
      <c r="D828" s="31" t="s">
        <v>78</v>
      </c>
      <c r="E828" s="31" t="n">
        <v>1</v>
      </c>
      <c r="F828" s="32" t="n">
        <v>80.1</v>
      </c>
      <c r="G828" s="32" t="n">
        <v>80.1</v>
      </c>
      <c r="H828" s="31" t="s">
        <v>45</v>
      </c>
      <c r="I828" s="31" t="s">
        <v>58</v>
      </c>
      <c r="J828" s="31" t="s">
        <v>1144</v>
      </c>
      <c r="K828" s="31" t="s">
        <v>48</v>
      </c>
    </row>
    <row r="829" customFormat="false" ht="15" hidden="false" customHeight="false" outlineLevel="0" collapsed="false">
      <c r="A829" s="31" t="s">
        <v>1146</v>
      </c>
      <c r="B829" s="31" t="s">
        <v>1147</v>
      </c>
      <c r="C829" s="31" t="s">
        <v>20</v>
      </c>
      <c r="D829" s="31" t="s">
        <v>69</v>
      </c>
      <c r="E829" s="31" t="n">
        <v>1</v>
      </c>
      <c r="F829" s="32" t="n">
        <v>26.1</v>
      </c>
      <c r="G829" s="32" t="n">
        <v>26.1</v>
      </c>
      <c r="H829" s="31" t="s">
        <v>45</v>
      </c>
      <c r="I829" s="31" t="s">
        <v>58</v>
      </c>
      <c r="J829" s="31" t="s">
        <v>1148</v>
      </c>
      <c r="K829" s="31" t="s">
        <v>48</v>
      </c>
    </row>
    <row r="830" customFormat="false" ht="15" hidden="false" customHeight="false" outlineLevel="0" collapsed="false">
      <c r="A830" s="31" t="s">
        <v>1146</v>
      </c>
      <c r="B830" s="31" t="s">
        <v>1147</v>
      </c>
      <c r="C830" s="31" t="s">
        <v>44</v>
      </c>
      <c r="D830" s="31" t="s">
        <v>44</v>
      </c>
      <c r="E830" s="31" t="n">
        <v>1</v>
      </c>
      <c r="F830" s="32" t="n">
        <v>5.95</v>
      </c>
      <c r="G830" s="32" t="n">
        <v>5.95</v>
      </c>
      <c r="H830" s="31" t="s">
        <v>45</v>
      </c>
      <c r="I830" s="31" t="s">
        <v>58</v>
      </c>
      <c r="J830" s="31" t="s">
        <v>1148</v>
      </c>
      <c r="K830" s="31" t="s">
        <v>48</v>
      </c>
    </row>
    <row r="831" customFormat="false" ht="15" hidden="false" customHeight="false" outlineLevel="0" collapsed="false">
      <c r="A831" s="31" t="s">
        <v>1149</v>
      </c>
      <c r="B831" s="31" t="s">
        <v>1150</v>
      </c>
      <c r="C831" s="31" t="s">
        <v>44</v>
      </c>
      <c r="D831" s="31" t="s">
        <v>44</v>
      </c>
      <c r="E831" s="31" t="n">
        <v>1</v>
      </c>
      <c r="F831" s="32" t="n">
        <v>3.95</v>
      </c>
      <c r="G831" s="32" t="n">
        <v>3.95</v>
      </c>
      <c r="H831" s="31" t="s">
        <v>160</v>
      </c>
      <c r="I831" s="31" t="s">
        <v>58</v>
      </c>
      <c r="J831" s="31" t="s">
        <v>1151</v>
      </c>
      <c r="K831" s="31" t="s">
        <v>48</v>
      </c>
    </row>
    <row r="832" customFormat="false" ht="15" hidden="false" customHeight="false" outlineLevel="0" collapsed="false">
      <c r="A832" s="31" t="s">
        <v>1149</v>
      </c>
      <c r="B832" s="31" t="s">
        <v>1152</v>
      </c>
      <c r="C832" s="31" t="s">
        <v>20</v>
      </c>
      <c r="D832" s="31" t="s">
        <v>123</v>
      </c>
      <c r="E832" s="31" t="n">
        <v>1</v>
      </c>
      <c r="F832" s="32" t="n">
        <v>75</v>
      </c>
      <c r="G832" s="32" t="n">
        <v>75</v>
      </c>
      <c r="H832" s="31" t="s">
        <v>160</v>
      </c>
      <c r="I832" s="31" t="s">
        <v>58</v>
      </c>
      <c r="J832" s="31" t="s">
        <v>1151</v>
      </c>
      <c r="K832" s="31" t="s">
        <v>48</v>
      </c>
    </row>
    <row r="833" customFormat="false" ht="15" hidden="false" customHeight="false" outlineLevel="0" collapsed="false">
      <c r="A833" s="31" t="s">
        <v>1149</v>
      </c>
      <c r="B833" s="31" t="s">
        <v>1150</v>
      </c>
      <c r="C833" s="31" t="s">
        <v>20</v>
      </c>
      <c r="D833" s="31" t="s">
        <v>53</v>
      </c>
      <c r="E833" s="31" t="n">
        <v>1</v>
      </c>
      <c r="F833" s="32" t="n">
        <v>39</v>
      </c>
      <c r="G833" s="32" t="n">
        <v>39</v>
      </c>
      <c r="H833" s="31" t="s">
        <v>160</v>
      </c>
      <c r="I833" s="31" t="s">
        <v>58</v>
      </c>
      <c r="J833" s="31" t="s">
        <v>1151</v>
      </c>
      <c r="K833" s="31" t="s">
        <v>48</v>
      </c>
    </row>
    <row r="834" customFormat="false" ht="15" hidden="false" customHeight="false" outlineLevel="0" collapsed="false">
      <c r="A834" s="31" t="s">
        <v>1153</v>
      </c>
      <c r="B834" s="31" t="s">
        <v>1154</v>
      </c>
      <c r="C834" s="31" t="s">
        <v>20</v>
      </c>
      <c r="D834" s="31" t="s">
        <v>53</v>
      </c>
      <c r="E834" s="31" t="n">
        <v>1</v>
      </c>
      <c r="F834" s="32" t="n">
        <v>39</v>
      </c>
      <c r="G834" s="32" t="n">
        <v>39</v>
      </c>
      <c r="H834" s="31" t="s">
        <v>145</v>
      </c>
      <c r="I834" s="31" t="s">
        <v>58</v>
      </c>
      <c r="J834" s="31" t="s">
        <v>723</v>
      </c>
      <c r="K834" s="31" t="s">
        <v>48</v>
      </c>
    </row>
    <row r="835" customFormat="false" ht="15" hidden="false" customHeight="false" outlineLevel="0" collapsed="false">
      <c r="A835" s="31" t="s">
        <v>1153</v>
      </c>
      <c r="B835" s="31" t="s">
        <v>1154</v>
      </c>
      <c r="C835" s="31" t="s">
        <v>44</v>
      </c>
      <c r="D835" s="31" t="s">
        <v>44</v>
      </c>
      <c r="E835" s="31" t="n">
        <v>1</v>
      </c>
      <c r="F835" s="32" t="n">
        <v>0</v>
      </c>
      <c r="G835" s="32" t="n">
        <v>0</v>
      </c>
      <c r="H835" s="31" t="s">
        <v>145</v>
      </c>
      <c r="I835" s="31" t="s">
        <v>58</v>
      </c>
      <c r="J835" s="31" t="s">
        <v>723</v>
      </c>
      <c r="K835" s="31" t="s">
        <v>48</v>
      </c>
    </row>
    <row r="836" customFormat="false" ht="15" hidden="false" customHeight="false" outlineLevel="0" collapsed="false">
      <c r="A836" s="31" t="s">
        <v>1155</v>
      </c>
      <c r="B836" s="31" t="s">
        <v>1156</v>
      </c>
      <c r="C836" s="31" t="s">
        <v>44</v>
      </c>
      <c r="D836" s="31" t="s">
        <v>44</v>
      </c>
      <c r="E836" s="31" t="n">
        <v>1</v>
      </c>
      <c r="F836" s="32" t="n">
        <v>4.95</v>
      </c>
      <c r="G836" s="32" t="n">
        <v>4.95</v>
      </c>
      <c r="H836" s="31" t="s">
        <v>45</v>
      </c>
      <c r="I836" s="31" t="s">
        <v>58</v>
      </c>
      <c r="J836" s="31" t="s">
        <v>1157</v>
      </c>
      <c r="K836" s="31" t="s">
        <v>48</v>
      </c>
    </row>
    <row r="837" customFormat="false" ht="15" hidden="false" customHeight="false" outlineLevel="0" collapsed="false">
      <c r="A837" s="31" t="s">
        <v>1155</v>
      </c>
      <c r="B837" s="31" t="s">
        <v>1158</v>
      </c>
      <c r="C837" s="31" t="s">
        <v>20</v>
      </c>
      <c r="D837" s="31" t="s">
        <v>63</v>
      </c>
      <c r="E837" s="31" t="n">
        <v>1</v>
      </c>
      <c r="F837" s="32" t="n">
        <v>14</v>
      </c>
      <c r="G837" s="32" t="n">
        <v>14</v>
      </c>
      <c r="H837" s="31" t="s">
        <v>45</v>
      </c>
      <c r="I837" s="31" t="s">
        <v>58</v>
      </c>
      <c r="J837" s="31" t="s">
        <v>1157</v>
      </c>
      <c r="K837" s="31" t="s">
        <v>48</v>
      </c>
    </row>
    <row r="838" customFormat="false" ht="15" hidden="false" customHeight="false" outlineLevel="0" collapsed="false">
      <c r="A838" s="31" t="s">
        <v>1159</v>
      </c>
      <c r="B838" s="31" t="s">
        <v>1160</v>
      </c>
      <c r="C838" s="31" t="s">
        <v>20</v>
      </c>
      <c r="D838" s="31" t="s">
        <v>53</v>
      </c>
      <c r="E838" s="31" t="n">
        <v>1</v>
      </c>
      <c r="F838" s="32" t="n">
        <v>39</v>
      </c>
      <c r="G838" s="32" t="n">
        <v>39</v>
      </c>
      <c r="H838" s="31" t="s">
        <v>145</v>
      </c>
      <c r="I838" s="31" t="s">
        <v>58</v>
      </c>
      <c r="J838" s="31" t="s">
        <v>1161</v>
      </c>
      <c r="K838" s="31" t="s">
        <v>48</v>
      </c>
    </row>
    <row r="839" customFormat="false" ht="15" hidden="false" customHeight="false" outlineLevel="0" collapsed="false">
      <c r="A839" s="31" t="s">
        <v>1159</v>
      </c>
      <c r="B839" s="31" t="s">
        <v>1160</v>
      </c>
      <c r="C839" s="31" t="s">
        <v>44</v>
      </c>
      <c r="D839" s="31" t="s">
        <v>44</v>
      </c>
      <c r="E839" s="31" t="n">
        <v>1</v>
      </c>
      <c r="F839" s="32" t="n">
        <v>0</v>
      </c>
      <c r="G839" s="32" t="n">
        <v>0</v>
      </c>
      <c r="H839" s="31" t="s">
        <v>145</v>
      </c>
      <c r="I839" s="31" t="s">
        <v>58</v>
      </c>
      <c r="J839" s="31" t="s">
        <v>1161</v>
      </c>
      <c r="K839" s="31" t="s">
        <v>48</v>
      </c>
    </row>
    <row r="840" customFormat="false" ht="15" hidden="false" customHeight="false" outlineLevel="0" collapsed="false">
      <c r="A840" s="31" t="s">
        <v>1162</v>
      </c>
      <c r="B840" s="31" t="s">
        <v>1163</v>
      </c>
      <c r="C840" s="31" t="s">
        <v>44</v>
      </c>
      <c r="D840" s="31" t="s">
        <v>44</v>
      </c>
      <c r="E840" s="31" t="n">
        <v>1</v>
      </c>
      <c r="F840" s="32" t="n">
        <v>0</v>
      </c>
      <c r="G840" s="32" t="n">
        <v>0</v>
      </c>
      <c r="H840" s="31" t="s">
        <v>45</v>
      </c>
      <c r="I840" s="31" t="s">
        <v>58</v>
      </c>
      <c r="J840" s="31" t="s">
        <v>1164</v>
      </c>
      <c r="K840" s="31" t="s">
        <v>48</v>
      </c>
    </row>
    <row r="841" customFormat="false" ht="15" hidden="false" customHeight="false" outlineLevel="0" collapsed="false">
      <c r="A841" s="31" t="s">
        <v>1162</v>
      </c>
      <c r="B841" s="31" t="s">
        <v>1163</v>
      </c>
      <c r="C841" s="31" t="s">
        <v>20</v>
      </c>
      <c r="D841" s="31" t="s">
        <v>78</v>
      </c>
      <c r="E841" s="31" t="n">
        <v>1</v>
      </c>
      <c r="F841" s="32" t="n">
        <v>89</v>
      </c>
      <c r="G841" s="32" t="n">
        <v>89</v>
      </c>
      <c r="H841" s="31" t="s">
        <v>45</v>
      </c>
      <c r="I841" s="31" t="s">
        <v>58</v>
      </c>
      <c r="J841" s="31" t="s">
        <v>1164</v>
      </c>
      <c r="K841" s="31" t="s">
        <v>48</v>
      </c>
    </row>
    <row r="842" customFormat="false" ht="15" hidden="false" customHeight="false" outlineLevel="0" collapsed="false">
      <c r="A842" s="31" t="s">
        <v>1055</v>
      </c>
      <c r="B842" s="31" t="s">
        <v>1165</v>
      </c>
      <c r="C842" s="31" t="s">
        <v>20</v>
      </c>
      <c r="D842" s="31" t="s">
        <v>69</v>
      </c>
      <c r="E842" s="31" t="n">
        <v>-2</v>
      </c>
      <c r="F842" s="32" t="n">
        <v>29</v>
      </c>
      <c r="G842" s="32" t="n">
        <v>-58</v>
      </c>
      <c r="H842" s="31" t="s">
        <v>45</v>
      </c>
      <c r="I842" s="31" t="s">
        <v>58</v>
      </c>
      <c r="J842" s="31" t="s">
        <v>1057</v>
      </c>
      <c r="K842" s="31" t="s">
        <v>243</v>
      </c>
    </row>
    <row r="843" customFormat="false" ht="15" hidden="false" customHeight="false" outlineLevel="0" collapsed="false">
      <c r="A843" s="31" t="s">
        <v>1166</v>
      </c>
      <c r="B843" s="31" t="s">
        <v>1167</v>
      </c>
      <c r="C843" s="31" t="s">
        <v>20</v>
      </c>
      <c r="D843" s="31" t="s">
        <v>56</v>
      </c>
      <c r="E843" s="31" t="n">
        <v>1</v>
      </c>
      <c r="F843" s="32" t="n">
        <v>45</v>
      </c>
      <c r="G843" s="32" t="n">
        <v>45</v>
      </c>
      <c r="H843" s="31" t="s">
        <v>145</v>
      </c>
      <c r="I843" s="31" t="s">
        <v>155</v>
      </c>
      <c r="J843" s="31" t="s">
        <v>1168</v>
      </c>
      <c r="K843" s="31" t="s">
        <v>48</v>
      </c>
    </row>
    <row r="844" customFormat="false" ht="15" hidden="false" customHeight="false" outlineLevel="0" collapsed="false">
      <c r="A844" s="31" t="s">
        <v>1166</v>
      </c>
      <c r="B844" s="31" t="s">
        <v>1167</v>
      </c>
      <c r="C844" s="31" t="s">
        <v>44</v>
      </c>
      <c r="D844" s="31" t="s">
        <v>44</v>
      </c>
      <c r="E844" s="31" t="n">
        <v>1</v>
      </c>
      <c r="F844" s="32" t="n">
        <v>5.95</v>
      </c>
      <c r="G844" s="32" t="n">
        <v>5.95</v>
      </c>
      <c r="H844" s="31" t="s">
        <v>145</v>
      </c>
      <c r="I844" s="31" t="s">
        <v>155</v>
      </c>
      <c r="J844" s="31" t="s">
        <v>1168</v>
      </c>
      <c r="K844" s="31" t="s">
        <v>48</v>
      </c>
    </row>
    <row r="845" customFormat="false" ht="15" hidden="false" customHeight="false" outlineLevel="0" collapsed="false">
      <c r="A845" s="31" t="s">
        <v>1169</v>
      </c>
      <c r="B845" s="31" t="s">
        <v>1170</v>
      </c>
      <c r="C845" s="31" t="s">
        <v>20</v>
      </c>
      <c r="D845" s="31" t="s">
        <v>52</v>
      </c>
      <c r="E845" s="31" t="n">
        <v>2</v>
      </c>
      <c r="F845" s="32" t="n">
        <v>22</v>
      </c>
      <c r="G845" s="32" t="n">
        <v>44</v>
      </c>
      <c r="H845" s="31" t="s">
        <v>45</v>
      </c>
      <c r="I845" s="31" t="s">
        <v>58</v>
      </c>
      <c r="J845" s="31" t="s">
        <v>801</v>
      </c>
      <c r="K845" s="31" t="s">
        <v>48</v>
      </c>
    </row>
    <row r="846" customFormat="false" ht="15" hidden="false" customHeight="false" outlineLevel="0" collapsed="false">
      <c r="A846" s="31" t="s">
        <v>1169</v>
      </c>
      <c r="B846" s="31" t="s">
        <v>1170</v>
      </c>
      <c r="C846" s="31" t="s">
        <v>20</v>
      </c>
      <c r="D846" s="31" t="s">
        <v>73</v>
      </c>
      <c r="E846" s="31" t="n">
        <v>1</v>
      </c>
      <c r="F846" s="32" t="n">
        <v>69</v>
      </c>
      <c r="G846" s="32" t="n">
        <v>69</v>
      </c>
      <c r="H846" s="31" t="s">
        <v>45</v>
      </c>
      <c r="I846" s="31" t="s">
        <v>58</v>
      </c>
      <c r="J846" s="31" t="s">
        <v>801</v>
      </c>
      <c r="K846" s="31" t="s">
        <v>48</v>
      </c>
    </row>
    <row r="847" customFormat="false" ht="15" hidden="false" customHeight="false" outlineLevel="0" collapsed="false">
      <c r="A847" s="31" t="s">
        <v>1169</v>
      </c>
      <c r="B847" s="31" t="s">
        <v>1171</v>
      </c>
      <c r="C847" s="31" t="s">
        <v>50</v>
      </c>
      <c r="D847" s="31" t="s">
        <v>51</v>
      </c>
      <c r="E847" s="31" t="n">
        <v>1</v>
      </c>
      <c r="F847" s="32" t="n">
        <v>-5</v>
      </c>
      <c r="G847" s="32" t="n">
        <v>-5</v>
      </c>
      <c r="H847" s="31" t="s">
        <v>45</v>
      </c>
      <c r="I847" s="31" t="s">
        <v>58</v>
      </c>
      <c r="J847" s="31" t="s">
        <v>801</v>
      </c>
      <c r="K847" s="31" t="s">
        <v>48</v>
      </c>
    </row>
    <row r="848" customFormat="false" ht="15" hidden="false" customHeight="false" outlineLevel="0" collapsed="false">
      <c r="A848" s="31" t="s">
        <v>1169</v>
      </c>
      <c r="B848" s="31" t="s">
        <v>1170</v>
      </c>
      <c r="C848" s="31" t="s">
        <v>50</v>
      </c>
      <c r="D848" s="31" t="s">
        <v>51</v>
      </c>
      <c r="E848" s="31" t="n">
        <v>1</v>
      </c>
      <c r="F848" s="32" t="n">
        <v>-5</v>
      </c>
      <c r="G848" s="32" t="n">
        <v>-5</v>
      </c>
      <c r="H848" s="31" t="s">
        <v>45</v>
      </c>
      <c r="I848" s="31" t="s">
        <v>58</v>
      </c>
      <c r="J848" s="31" t="s">
        <v>801</v>
      </c>
      <c r="K848" s="31" t="s">
        <v>48</v>
      </c>
    </row>
    <row r="849" customFormat="false" ht="15" hidden="false" customHeight="false" outlineLevel="0" collapsed="false">
      <c r="A849" s="31" t="s">
        <v>1172</v>
      </c>
      <c r="B849" s="31" t="s">
        <v>1173</v>
      </c>
      <c r="C849" s="31" t="s">
        <v>20</v>
      </c>
      <c r="D849" s="31" t="s">
        <v>63</v>
      </c>
      <c r="E849" s="31" t="n">
        <v>2</v>
      </c>
      <c r="F849" s="32" t="n">
        <v>11.2</v>
      </c>
      <c r="G849" s="32" t="n">
        <v>22.4</v>
      </c>
      <c r="H849" s="31" t="s">
        <v>45</v>
      </c>
      <c r="I849" s="31" t="s">
        <v>58</v>
      </c>
      <c r="J849" s="31" t="s">
        <v>1174</v>
      </c>
      <c r="K849" s="31" t="s">
        <v>48</v>
      </c>
    </row>
    <row r="850" customFormat="false" ht="15" hidden="false" customHeight="false" outlineLevel="0" collapsed="false">
      <c r="A850" s="31" t="s">
        <v>1172</v>
      </c>
      <c r="B850" s="31" t="s">
        <v>1173</v>
      </c>
      <c r="C850" s="31" t="s">
        <v>20</v>
      </c>
      <c r="D850" s="31" t="s">
        <v>53</v>
      </c>
      <c r="E850" s="31" t="n">
        <v>1</v>
      </c>
      <c r="F850" s="32" t="n">
        <v>39</v>
      </c>
      <c r="G850" s="32" t="n">
        <v>39</v>
      </c>
      <c r="H850" s="31" t="s">
        <v>45</v>
      </c>
      <c r="I850" s="31" t="s">
        <v>58</v>
      </c>
      <c r="J850" s="31" t="s">
        <v>1174</v>
      </c>
      <c r="K850" s="31" t="s">
        <v>48</v>
      </c>
    </row>
    <row r="851" customFormat="false" ht="15" hidden="false" customHeight="false" outlineLevel="0" collapsed="false">
      <c r="A851" s="31" t="s">
        <v>1172</v>
      </c>
      <c r="B851" s="31" t="s">
        <v>1173</v>
      </c>
      <c r="C851" s="31" t="s">
        <v>44</v>
      </c>
      <c r="D851" s="31" t="s">
        <v>44</v>
      </c>
      <c r="E851" s="31" t="n">
        <v>1</v>
      </c>
      <c r="F851" s="32" t="n">
        <v>4.95</v>
      </c>
      <c r="G851" s="32" t="n">
        <v>4.95</v>
      </c>
      <c r="H851" s="31" t="s">
        <v>45</v>
      </c>
      <c r="I851" s="31" t="s">
        <v>58</v>
      </c>
      <c r="J851" s="31" t="s">
        <v>1174</v>
      </c>
      <c r="K851" s="31" t="s">
        <v>48</v>
      </c>
    </row>
    <row r="852" customFormat="false" ht="15" hidden="false" customHeight="false" outlineLevel="0" collapsed="false">
      <c r="A852" s="31" t="s">
        <v>1172</v>
      </c>
      <c r="B852" s="31" t="s">
        <v>1175</v>
      </c>
      <c r="C852" s="31" t="s">
        <v>20</v>
      </c>
      <c r="D852" s="31" t="s">
        <v>53</v>
      </c>
      <c r="E852" s="31" t="n">
        <v>1</v>
      </c>
      <c r="F852" s="32" t="n">
        <v>39</v>
      </c>
      <c r="G852" s="32" t="n">
        <v>39</v>
      </c>
      <c r="H852" s="31" t="s">
        <v>45</v>
      </c>
      <c r="I852" s="31" t="s">
        <v>58</v>
      </c>
      <c r="J852" s="31" t="s">
        <v>1174</v>
      </c>
      <c r="K852" s="31" t="s">
        <v>48</v>
      </c>
    </row>
    <row r="853" customFormat="false" ht="15" hidden="false" customHeight="false" outlineLevel="0" collapsed="false">
      <c r="A853" s="31" t="s">
        <v>1176</v>
      </c>
      <c r="B853" s="31" t="s">
        <v>1177</v>
      </c>
      <c r="C853" s="31" t="s">
        <v>44</v>
      </c>
      <c r="D853" s="31" t="s">
        <v>44</v>
      </c>
      <c r="E853" s="31" t="n">
        <v>1</v>
      </c>
      <c r="F853" s="32" t="n">
        <v>5.95</v>
      </c>
      <c r="G853" s="32" t="n">
        <v>5.95</v>
      </c>
      <c r="H853" s="31" t="s">
        <v>45</v>
      </c>
      <c r="I853" s="31" t="s">
        <v>58</v>
      </c>
      <c r="J853" s="31"/>
      <c r="K853" s="31" t="s">
        <v>48</v>
      </c>
    </row>
    <row r="854" customFormat="false" ht="15" hidden="false" customHeight="false" outlineLevel="0" collapsed="false">
      <c r="A854" s="31" t="s">
        <v>1176</v>
      </c>
      <c r="B854" s="31" t="s">
        <v>1177</v>
      </c>
      <c r="C854" s="31" t="s">
        <v>20</v>
      </c>
      <c r="D854" s="31" t="s">
        <v>140</v>
      </c>
      <c r="E854" s="31" t="n">
        <v>1</v>
      </c>
      <c r="F854" s="32" t="n">
        <v>26</v>
      </c>
      <c r="G854" s="32" t="n">
        <v>26</v>
      </c>
      <c r="H854" s="31" t="s">
        <v>45</v>
      </c>
      <c r="I854" s="31" t="s">
        <v>58</v>
      </c>
      <c r="J854" s="31"/>
      <c r="K854" s="31" t="s">
        <v>48</v>
      </c>
    </row>
    <row r="855" customFormat="false" ht="15" hidden="false" customHeight="false" outlineLevel="0" collapsed="false">
      <c r="A855" s="31" t="s">
        <v>1176</v>
      </c>
      <c r="B855" s="31" t="s">
        <v>1177</v>
      </c>
      <c r="C855" s="31" t="s">
        <v>20</v>
      </c>
      <c r="D855" s="31" t="s">
        <v>56</v>
      </c>
      <c r="E855" s="31" t="n">
        <v>1</v>
      </c>
      <c r="F855" s="32" t="n">
        <v>45</v>
      </c>
      <c r="G855" s="32" t="n">
        <v>45</v>
      </c>
      <c r="H855" s="31" t="s">
        <v>45</v>
      </c>
      <c r="I855" s="31" t="s">
        <v>58</v>
      </c>
      <c r="J855" s="31"/>
      <c r="K855" s="31" t="s">
        <v>48</v>
      </c>
    </row>
    <row r="856" customFormat="false" ht="15" hidden="false" customHeight="false" outlineLevel="0" collapsed="false">
      <c r="A856" s="31" t="s">
        <v>1176</v>
      </c>
      <c r="B856" s="31" t="s">
        <v>1177</v>
      </c>
      <c r="C856" s="31" t="s">
        <v>20</v>
      </c>
      <c r="D856" s="31" t="s">
        <v>66</v>
      </c>
      <c r="E856" s="31" t="n">
        <v>1</v>
      </c>
      <c r="F856" s="32" t="n">
        <v>32</v>
      </c>
      <c r="G856" s="32" t="n">
        <v>32</v>
      </c>
      <c r="H856" s="31" t="s">
        <v>45</v>
      </c>
      <c r="I856" s="31" t="s">
        <v>58</v>
      </c>
      <c r="J856" s="31"/>
      <c r="K856" s="31" t="s">
        <v>48</v>
      </c>
    </row>
    <row r="857" customFormat="false" ht="15" hidden="false" customHeight="false" outlineLevel="0" collapsed="false">
      <c r="A857" s="31" t="s">
        <v>1178</v>
      </c>
      <c r="B857" s="31" t="s">
        <v>1179</v>
      </c>
      <c r="C857" s="31" t="s">
        <v>20</v>
      </c>
      <c r="D857" s="31" t="s">
        <v>69</v>
      </c>
      <c r="E857" s="31" t="n">
        <v>2</v>
      </c>
      <c r="F857" s="32" t="n">
        <v>29</v>
      </c>
      <c r="G857" s="32" t="n">
        <v>58</v>
      </c>
      <c r="H857" s="31" t="s">
        <v>45</v>
      </c>
      <c r="I857" s="31" t="s">
        <v>58</v>
      </c>
      <c r="J857" s="31" t="s">
        <v>1180</v>
      </c>
      <c r="K857" s="31" t="s">
        <v>48</v>
      </c>
    </row>
    <row r="858" customFormat="false" ht="15" hidden="false" customHeight="false" outlineLevel="0" collapsed="false">
      <c r="A858" s="31" t="s">
        <v>1178</v>
      </c>
      <c r="B858" s="31" t="s">
        <v>1181</v>
      </c>
      <c r="C858" s="31" t="s">
        <v>20</v>
      </c>
      <c r="D858" s="31" t="s">
        <v>56</v>
      </c>
      <c r="E858" s="31" t="n">
        <v>1</v>
      </c>
      <c r="F858" s="32" t="n">
        <v>45</v>
      </c>
      <c r="G858" s="32" t="n">
        <v>45</v>
      </c>
      <c r="H858" s="31" t="s">
        <v>45</v>
      </c>
      <c r="I858" s="31" t="s">
        <v>58</v>
      </c>
      <c r="J858" s="31" t="s">
        <v>1180</v>
      </c>
      <c r="K858" s="31" t="s">
        <v>48</v>
      </c>
    </row>
    <row r="859" customFormat="false" ht="15" hidden="false" customHeight="false" outlineLevel="0" collapsed="false">
      <c r="A859" s="31" t="s">
        <v>1178</v>
      </c>
      <c r="B859" s="31" t="s">
        <v>1181</v>
      </c>
      <c r="C859" s="31" t="s">
        <v>44</v>
      </c>
      <c r="D859" s="31" t="s">
        <v>44</v>
      </c>
      <c r="E859" s="31" t="n">
        <v>1</v>
      </c>
      <c r="F859" s="32" t="n">
        <v>4.95</v>
      </c>
      <c r="G859" s="32" t="n">
        <v>4.95</v>
      </c>
      <c r="H859" s="31" t="s">
        <v>45</v>
      </c>
      <c r="I859" s="31" t="s">
        <v>58</v>
      </c>
      <c r="J859" s="31" t="s">
        <v>1180</v>
      </c>
      <c r="K859" s="31" t="s">
        <v>48</v>
      </c>
    </row>
    <row r="860" customFormat="false" ht="15" hidden="false" customHeight="false" outlineLevel="0" collapsed="false">
      <c r="A860" s="31" t="s">
        <v>1182</v>
      </c>
      <c r="B860" s="31" t="s">
        <v>1183</v>
      </c>
      <c r="C860" s="31" t="s">
        <v>20</v>
      </c>
      <c r="D860" s="31" t="s">
        <v>73</v>
      </c>
      <c r="E860" s="31" t="n">
        <v>1</v>
      </c>
      <c r="F860" s="32" t="n">
        <v>69</v>
      </c>
      <c r="G860" s="32" t="n">
        <v>69</v>
      </c>
      <c r="H860" s="31" t="s">
        <v>45</v>
      </c>
      <c r="I860" s="31" t="s">
        <v>121</v>
      </c>
      <c r="J860" s="31" t="s">
        <v>303</v>
      </c>
      <c r="K860" s="31" t="s">
        <v>48</v>
      </c>
    </row>
    <row r="861" customFormat="false" ht="15" hidden="false" customHeight="false" outlineLevel="0" collapsed="false">
      <c r="A861" s="31" t="s">
        <v>1184</v>
      </c>
      <c r="B861" s="31" t="s">
        <v>1185</v>
      </c>
      <c r="C861" s="31" t="s">
        <v>20</v>
      </c>
      <c r="D861" s="31" t="s">
        <v>69</v>
      </c>
      <c r="E861" s="31" t="n">
        <v>1</v>
      </c>
      <c r="F861" s="32" t="n">
        <v>29</v>
      </c>
      <c r="G861" s="32" t="n">
        <v>29</v>
      </c>
      <c r="H861" s="31" t="s">
        <v>45</v>
      </c>
      <c r="I861" s="31" t="s">
        <v>58</v>
      </c>
      <c r="J861" s="31" t="s">
        <v>1186</v>
      </c>
      <c r="K861" s="31" t="s">
        <v>48</v>
      </c>
    </row>
    <row r="862" customFormat="false" ht="15" hidden="false" customHeight="false" outlineLevel="0" collapsed="false">
      <c r="A862" s="31" t="s">
        <v>1184</v>
      </c>
      <c r="B862" s="31" t="s">
        <v>1187</v>
      </c>
      <c r="C862" s="31" t="s">
        <v>44</v>
      </c>
      <c r="D862" s="31" t="s">
        <v>44</v>
      </c>
      <c r="E862" s="31" t="n">
        <v>1</v>
      </c>
      <c r="F862" s="32" t="n">
        <v>4.95</v>
      </c>
      <c r="G862" s="32" t="n">
        <v>4.95</v>
      </c>
      <c r="H862" s="31" t="s">
        <v>45</v>
      </c>
      <c r="I862" s="31" t="s">
        <v>58</v>
      </c>
      <c r="J862" s="31" t="s">
        <v>1186</v>
      </c>
      <c r="K862" s="31" t="s">
        <v>202</v>
      </c>
    </row>
    <row r="863" customFormat="false" ht="15" hidden="false" customHeight="false" outlineLevel="0" collapsed="false">
      <c r="A863" s="31" t="s">
        <v>1184</v>
      </c>
      <c r="B863" s="31" t="s">
        <v>1185</v>
      </c>
      <c r="C863" s="31" t="s">
        <v>20</v>
      </c>
      <c r="D863" s="31" t="s">
        <v>123</v>
      </c>
      <c r="E863" s="31" t="n">
        <v>1</v>
      </c>
      <c r="F863" s="32" t="n">
        <v>75</v>
      </c>
      <c r="G863" s="32" t="n">
        <v>75</v>
      </c>
      <c r="H863" s="31" t="s">
        <v>45</v>
      </c>
      <c r="I863" s="31" t="s">
        <v>58</v>
      </c>
      <c r="J863" s="31" t="s">
        <v>1186</v>
      </c>
      <c r="K863" s="31" t="s">
        <v>48</v>
      </c>
    </row>
    <row r="864" customFormat="false" ht="15" hidden="false" customHeight="false" outlineLevel="0" collapsed="false">
      <c r="A864" s="31" t="s">
        <v>1188</v>
      </c>
      <c r="B864" s="31" t="s">
        <v>1189</v>
      </c>
      <c r="C864" s="31" t="s">
        <v>44</v>
      </c>
      <c r="D864" s="31" t="s">
        <v>44</v>
      </c>
      <c r="E864" s="31" t="n">
        <v>1</v>
      </c>
      <c r="F864" s="32" t="n">
        <v>3.95</v>
      </c>
      <c r="G864" s="32" t="n">
        <v>3.95</v>
      </c>
      <c r="H864" s="31" t="s">
        <v>57</v>
      </c>
      <c r="I864" s="31" t="s">
        <v>121</v>
      </c>
      <c r="J864" s="31"/>
      <c r="K864" s="31" t="s">
        <v>48</v>
      </c>
    </row>
    <row r="865" customFormat="false" ht="15" hidden="false" customHeight="false" outlineLevel="0" collapsed="false">
      <c r="A865" s="31" t="s">
        <v>1188</v>
      </c>
      <c r="B865" s="31" t="s">
        <v>1189</v>
      </c>
      <c r="C865" s="31" t="s">
        <v>20</v>
      </c>
      <c r="D865" s="31" t="s">
        <v>69</v>
      </c>
      <c r="E865" s="31" t="n">
        <v>2</v>
      </c>
      <c r="F865" s="32" t="n">
        <v>29</v>
      </c>
      <c r="G865" s="32" t="n">
        <v>58</v>
      </c>
      <c r="H865" s="31" t="s">
        <v>57</v>
      </c>
      <c r="I865" s="31" t="s">
        <v>121</v>
      </c>
      <c r="J865" s="31"/>
      <c r="K865" s="31" t="s">
        <v>48</v>
      </c>
    </row>
    <row r="866" customFormat="false" ht="15" hidden="false" customHeight="false" outlineLevel="0" collapsed="false">
      <c r="A866" s="31" t="s">
        <v>1190</v>
      </c>
      <c r="B866" s="31" t="s">
        <v>1191</v>
      </c>
      <c r="C866" s="31" t="s">
        <v>20</v>
      </c>
      <c r="D866" s="31" t="s">
        <v>73</v>
      </c>
      <c r="E866" s="31" t="n">
        <v>2</v>
      </c>
      <c r="F866" s="32" t="n">
        <v>69</v>
      </c>
      <c r="G866" s="32" t="n">
        <v>138</v>
      </c>
      <c r="H866" s="31" t="s">
        <v>45</v>
      </c>
      <c r="I866" s="31" t="s">
        <v>58</v>
      </c>
      <c r="J866" s="31" t="s">
        <v>1192</v>
      </c>
      <c r="K866" s="31" t="s">
        <v>48</v>
      </c>
    </row>
    <row r="867" customFormat="false" ht="15" hidden="false" customHeight="false" outlineLevel="0" collapsed="false">
      <c r="A867" s="31" t="s">
        <v>1190</v>
      </c>
      <c r="B867" s="31" t="s">
        <v>1193</v>
      </c>
      <c r="C867" s="31" t="s">
        <v>44</v>
      </c>
      <c r="D867" s="31" t="s">
        <v>44</v>
      </c>
      <c r="E867" s="31" t="n">
        <v>1</v>
      </c>
      <c r="F867" s="32" t="n">
        <v>0</v>
      </c>
      <c r="G867" s="32" t="n">
        <v>0</v>
      </c>
      <c r="H867" s="31" t="s">
        <v>45</v>
      </c>
      <c r="I867" s="31" t="s">
        <v>58</v>
      </c>
      <c r="J867" s="31" t="s">
        <v>1192</v>
      </c>
      <c r="K867" s="31" t="s">
        <v>48</v>
      </c>
    </row>
    <row r="868" customFormat="false" ht="15" hidden="false" customHeight="false" outlineLevel="0" collapsed="false">
      <c r="A868" s="31" t="s">
        <v>1190</v>
      </c>
      <c r="B868" s="31" t="s">
        <v>1191</v>
      </c>
      <c r="C868" s="31" t="s">
        <v>20</v>
      </c>
      <c r="D868" s="31" t="s">
        <v>87</v>
      </c>
      <c r="E868" s="31" t="n">
        <v>2</v>
      </c>
      <c r="F868" s="32" t="n">
        <v>35</v>
      </c>
      <c r="G868" s="32" t="n">
        <v>70</v>
      </c>
      <c r="H868" s="31" t="s">
        <v>45</v>
      </c>
      <c r="I868" s="31" t="s">
        <v>58</v>
      </c>
      <c r="J868" s="31" t="s">
        <v>1192</v>
      </c>
      <c r="K868" s="31" t="s">
        <v>48</v>
      </c>
    </row>
    <row r="869" customFormat="false" ht="15" hidden="false" customHeight="false" outlineLevel="0" collapsed="false">
      <c r="A869" s="31" t="s">
        <v>1194</v>
      </c>
      <c r="B869" s="31" t="s">
        <v>1195</v>
      </c>
      <c r="C869" s="31" t="s">
        <v>20</v>
      </c>
      <c r="D869" s="31" t="s">
        <v>69</v>
      </c>
      <c r="E869" s="31" t="n">
        <v>1</v>
      </c>
      <c r="F869" s="32" t="n">
        <v>29</v>
      </c>
      <c r="G869" s="32" t="n">
        <v>29</v>
      </c>
      <c r="H869" s="31" t="s">
        <v>45</v>
      </c>
      <c r="I869" s="31" t="s">
        <v>58</v>
      </c>
      <c r="J869" s="31" t="s">
        <v>122</v>
      </c>
      <c r="K869" s="31" t="s">
        <v>48</v>
      </c>
    </row>
    <row r="870" customFormat="false" ht="15" hidden="false" customHeight="false" outlineLevel="0" collapsed="false">
      <c r="A870" s="31" t="s">
        <v>1194</v>
      </c>
      <c r="B870" s="31" t="s">
        <v>1195</v>
      </c>
      <c r="C870" s="31" t="s">
        <v>44</v>
      </c>
      <c r="D870" s="31" t="s">
        <v>44</v>
      </c>
      <c r="E870" s="31" t="n">
        <v>1</v>
      </c>
      <c r="F870" s="32" t="n">
        <v>0</v>
      </c>
      <c r="G870" s="32" t="n">
        <v>0</v>
      </c>
      <c r="H870" s="31" t="s">
        <v>45</v>
      </c>
      <c r="I870" s="31" t="s">
        <v>58</v>
      </c>
      <c r="J870" s="31" t="s">
        <v>122</v>
      </c>
      <c r="K870" s="31" t="s">
        <v>48</v>
      </c>
    </row>
    <row r="871" customFormat="false" ht="15" hidden="false" customHeight="false" outlineLevel="0" collapsed="false">
      <c r="A871" s="31" t="s">
        <v>1196</v>
      </c>
      <c r="B871" s="31" t="s">
        <v>1197</v>
      </c>
      <c r="C871" s="31" t="s">
        <v>44</v>
      </c>
      <c r="D871" s="31" t="s">
        <v>44</v>
      </c>
      <c r="E871" s="31" t="n">
        <v>1</v>
      </c>
      <c r="F871" s="32" t="n">
        <v>3.95</v>
      </c>
      <c r="G871" s="32" t="n">
        <v>3.95</v>
      </c>
      <c r="H871" s="31" t="s">
        <v>45</v>
      </c>
      <c r="I871" s="31" t="s">
        <v>58</v>
      </c>
      <c r="J871" s="31" t="s">
        <v>1198</v>
      </c>
      <c r="K871" s="31" t="s">
        <v>48</v>
      </c>
    </row>
    <row r="872" customFormat="false" ht="15" hidden="false" customHeight="false" outlineLevel="0" collapsed="false">
      <c r="A872" s="31" t="s">
        <v>1196</v>
      </c>
      <c r="B872" s="31" t="s">
        <v>1199</v>
      </c>
      <c r="C872" s="31" t="s">
        <v>20</v>
      </c>
      <c r="D872" s="31" t="s">
        <v>73</v>
      </c>
      <c r="E872" s="31" t="n">
        <v>1</v>
      </c>
      <c r="F872" s="32" t="n">
        <v>69</v>
      </c>
      <c r="G872" s="32" t="n">
        <v>69</v>
      </c>
      <c r="H872" s="31" t="s">
        <v>45</v>
      </c>
      <c r="I872" s="31" t="s">
        <v>58</v>
      </c>
      <c r="J872" s="31" t="s">
        <v>1198</v>
      </c>
      <c r="K872" s="31" t="s">
        <v>202</v>
      </c>
    </row>
    <row r="873" customFormat="false" ht="15" hidden="false" customHeight="false" outlineLevel="0" collapsed="false">
      <c r="A873" s="31" t="s">
        <v>1200</v>
      </c>
      <c r="B873" s="31" t="s">
        <v>1201</v>
      </c>
      <c r="C873" s="31" t="s">
        <v>20</v>
      </c>
      <c r="D873" s="31" t="s">
        <v>123</v>
      </c>
      <c r="E873" s="31" t="n">
        <v>1</v>
      </c>
      <c r="F873" s="32" t="n">
        <v>75</v>
      </c>
      <c r="G873" s="32" t="n">
        <v>75</v>
      </c>
      <c r="H873" s="31" t="s">
        <v>45</v>
      </c>
      <c r="I873" s="31" t="s">
        <v>58</v>
      </c>
      <c r="J873" s="31" t="s">
        <v>1202</v>
      </c>
      <c r="K873" s="31" t="s">
        <v>48</v>
      </c>
    </row>
    <row r="874" customFormat="false" ht="15" hidden="false" customHeight="false" outlineLevel="0" collapsed="false">
      <c r="A874" s="31" t="s">
        <v>1200</v>
      </c>
      <c r="B874" s="31" t="s">
        <v>1201</v>
      </c>
      <c r="C874" s="31" t="s">
        <v>44</v>
      </c>
      <c r="D874" s="31" t="s">
        <v>44</v>
      </c>
      <c r="E874" s="31" t="n">
        <v>1</v>
      </c>
      <c r="F874" s="32" t="n">
        <v>5.95</v>
      </c>
      <c r="G874" s="32" t="n">
        <v>5.95</v>
      </c>
      <c r="H874" s="31" t="s">
        <v>45</v>
      </c>
      <c r="I874" s="31" t="s">
        <v>58</v>
      </c>
      <c r="J874" s="31" t="s">
        <v>1202</v>
      </c>
      <c r="K874" s="31" t="s">
        <v>48</v>
      </c>
    </row>
    <row r="875" customFormat="false" ht="15" hidden="false" customHeight="false" outlineLevel="0" collapsed="false">
      <c r="A875" s="31" t="s">
        <v>1200</v>
      </c>
      <c r="B875" s="31" t="s">
        <v>1201</v>
      </c>
      <c r="C875" s="31" t="s">
        <v>20</v>
      </c>
      <c r="D875" s="31" t="s">
        <v>56</v>
      </c>
      <c r="E875" s="31" t="n">
        <v>1</v>
      </c>
      <c r="F875" s="32" t="n">
        <v>45</v>
      </c>
      <c r="G875" s="32" t="n">
        <v>45</v>
      </c>
      <c r="H875" s="31" t="s">
        <v>45</v>
      </c>
      <c r="I875" s="31" t="s">
        <v>58</v>
      </c>
      <c r="J875" s="31" t="s">
        <v>1202</v>
      </c>
      <c r="K875" s="31" t="s">
        <v>48</v>
      </c>
    </row>
    <row r="876" customFormat="false" ht="15" hidden="false" customHeight="false" outlineLevel="0" collapsed="false">
      <c r="A876" s="31" t="s">
        <v>1200</v>
      </c>
      <c r="B876" s="31" t="s">
        <v>1201</v>
      </c>
      <c r="C876" s="31" t="s">
        <v>20</v>
      </c>
      <c r="D876" s="31" t="s">
        <v>56</v>
      </c>
      <c r="E876" s="31" t="n">
        <v>1</v>
      </c>
      <c r="F876" s="32" t="n">
        <v>45</v>
      </c>
      <c r="G876" s="32" t="n">
        <v>45</v>
      </c>
      <c r="H876" s="31" t="s">
        <v>45</v>
      </c>
      <c r="I876" s="31" t="s">
        <v>58</v>
      </c>
      <c r="J876" s="31" t="s">
        <v>1202</v>
      </c>
      <c r="K876" s="31" t="s">
        <v>48</v>
      </c>
    </row>
    <row r="877" customFormat="false" ht="15" hidden="false" customHeight="false" outlineLevel="0" collapsed="false">
      <c r="A877" s="31" t="s">
        <v>1203</v>
      </c>
      <c r="B877" s="31" t="s">
        <v>1204</v>
      </c>
      <c r="C877" s="31" t="s">
        <v>44</v>
      </c>
      <c r="D877" s="31" t="s">
        <v>44</v>
      </c>
      <c r="E877" s="31" t="n">
        <v>1</v>
      </c>
      <c r="F877" s="32" t="n">
        <v>3.95</v>
      </c>
      <c r="G877" s="32" t="n">
        <v>3.95</v>
      </c>
      <c r="H877" s="31" t="s">
        <v>45</v>
      </c>
      <c r="I877" s="31" t="s">
        <v>46</v>
      </c>
      <c r="J877" s="31" t="s">
        <v>845</v>
      </c>
      <c r="K877" s="31" t="s">
        <v>48</v>
      </c>
    </row>
    <row r="878" customFormat="false" ht="15" hidden="false" customHeight="false" outlineLevel="0" collapsed="false">
      <c r="A878" s="31" t="s">
        <v>1203</v>
      </c>
      <c r="B878" s="31" t="s">
        <v>1205</v>
      </c>
      <c r="C878" s="31" t="s">
        <v>20</v>
      </c>
      <c r="D878" s="31" t="s">
        <v>73</v>
      </c>
      <c r="E878" s="31" t="n">
        <v>1</v>
      </c>
      <c r="F878" s="32" t="n">
        <v>69</v>
      </c>
      <c r="G878" s="32" t="n">
        <v>69</v>
      </c>
      <c r="H878" s="31" t="s">
        <v>45</v>
      </c>
      <c r="I878" s="31" t="s">
        <v>46</v>
      </c>
      <c r="J878" s="31" t="s">
        <v>845</v>
      </c>
      <c r="K878" s="31" t="s">
        <v>48</v>
      </c>
    </row>
    <row r="879" customFormat="false" ht="15" hidden="false" customHeight="false" outlineLevel="0" collapsed="false">
      <c r="A879" s="31" t="s">
        <v>1206</v>
      </c>
      <c r="B879" s="31" t="s">
        <v>1207</v>
      </c>
      <c r="C879" s="31" t="s">
        <v>50</v>
      </c>
      <c r="D879" s="31" t="s">
        <v>51</v>
      </c>
      <c r="E879" s="31" t="n">
        <v>1</v>
      </c>
      <c r="F879" s="32" t="n">
        <v>-10</v>
      </c>
      <c r="G879" s="32" t="n">
        <v>-10</v>
      </c>
      <c r="H879" s="31" t="s">
        <v>45</v>
      </c>
      <c r="I879" s="31" t="s">
        <v>58</v>
      </c>
      <c r="J879" s="31" t="s">
        <v>1208</v>
      </c>
      <c r="K879" s="31" t="s">
        <v>48</v>
      </c>
    </row>
    <row r="880" customFormat="false" ht="15" hidden="false" customHeight="false" outlineLevel="0" collapsed="false">
      <c r="A880" s="31" t="s">
        <v>1206</v>
      </c>
      <c r="B880" s="31" t="s">
        <v>1207</v>
      </c>
      <c r="C880" s="31" t="s">
        <v>20</v>
      </c>
      <c r="D880" s="31" t="s">
        <v>66</v>
      </c>
      <c r="E880" s="31" t="n">
        <v>1</v>
      </c>
      <c r="F880" s="32" t="n">
        <v>32</v>
      </c>
      <c r="G880" s="32" t="n">
        <v>32</v>
      </c>
      <c r="H880" s="31" t="s">
        <v>45</v>
      </c>
      <c r="I880" s="31" t="s">
        <v>58</v>
      </c>
      <c r="J880" s="31" t="s">
        <v>1208</v>
      </c>
      <c r="K880" s="31" t="s">
        <v>48</v>
      </c>
    </row>
    <row r="881" customFormat="false" ht="15" hidden="false" customHeight="false" outlineLevel="0" collapsed="false">
      <c r="A881" s="31" t="s">
        <v>1206</v>
      </c>
      <c r="B881" s="31" t="s">
        <v>1207</v>
      </c>
      <c r="C881" s="31" t="s">
        <v>20</v>
      </c>
      <c r="D881" s="31" t="s">
        <v>78</v>
      </c>
      <c r="E881" s="31" t="n">
        <v>1</v>
      </c>
      <c r="F881" s="32" t="n">
        <v>89</v>
      </c>
      <c r="G881" s="32" t="n">
        <v>89</v>
      </c>
      <c r="H881" s="31" t="s">
        <v>45</v>
      </c>
      <c r="I881" s="31" t="s">
        <v>58</v>
      </c>
      <c r="J881" s="31" t="s">
        <v>1208</v>
      </c>
      <c r="K881" s="31" t="s">
        <v>48</v>
      </c>
    </row>
    <row r="882" customFormat="false" ht="15" hidden="false" customHeight="false" outlineLevel="0" collapsed="false">
      <c r="A882" s="31" t="s">
        <v>1206</v>
      </c>
      <c r="B882" s="31" t="s">
        <v>1209</v>
      </c>
      <c r="C882" s="31" t="s">
        <v>20</v>
      </c>
      <c r="D882" s="31" t="s">
        <v>53</v>
      </c>
      <c r="E882" s="31" t="n">
        <v>1</v>
      </c>
      <c r="F882" s="32" t="n">
        <v>39</v>
      </c>
      <c r="G882" s="32" t="n">
        <v>39</v>
      </c>
      <c r="H882" s="31" t="s">
        <v>45</v>
      </c>
      <c r="I882" s="31" t="s">
        <v>58</v>
      </c>
      <c r="J882" s="31" t="s">
        <v>1208</v>
      </c>
      <c r="K882" s="31" t="s">
        <v>48</v>
      </c>
    </row>
    <row r="883" customFormat="false" ht="15" hidden="false" customHeight="false" outlineLevel="0" collapsed="false">
      <c r="A883" s="31" t="s">
        <v>1210</v>
      </c>
      <c r="B883" s="31" t="s">
        <v>1211</v>
      </c>
      <c r="C883" s="31" t="s">
        <v>44</v>
      </c>
      <c r="D883" s="31" t="s">
        <v>44</v>
      </c>
      <c r="E883" s="31" t="n">
        <v>1</v>
      </c>
      <c r="F883" s="32" t="n">
        <v>5.95</v>
      </c>
      <c r="G883" s="32" t="n">
        <v>5.95</v>
      </c>
      <c r="H883" s="31" t="s">
        <v>145</v>
      </c>
      <c r="I883" s="31" t="s">
        <v>58</v>
      </c>
      <c r="J883" s="31" t="s">
        <v>811</v>
      </c>
      <c r="K883" s="31" t="s">
        <v>48</v>
      </c>
    </row>
    <row r="884" customFormat="false" ht="15" hidden="false" customHeight="false" outlineLevel="0" collapsed="false">
      <c r="A884" s="31" t="s">
        <v>1210</v>
      </c>
      <c r="B884" s="31" t="s">
        <v>1211</v>
      </c>
      <c r="C884" s="31" t="s">
        <v>20</v>
      </c>
      <c r="D884" s="31" t="s">
        <v>78</v>
      </c>
      <c r="E884" s="31" t="n">
        <v>1</v>
      </c>
      <c r="F884" s="32" t="n">
        <v>89</v>
      </c>
      <c r="G884" s="32" t="n">
        <v>89</v>
      </c>
      <c r="H884" s="31" t="s">
        <v>145</v>
      </c>
      <c r="I884" s="31" t="s">
        <v>58</v>
      </c>
      <c r="J884" s="31" t="s">
        <v>811</v>
      </c>
      <c r="K884" s="31" t="s">
        <v>48</v>
      </c>
    </row>
    <row r="885" customFormat="false" ht="15" hidden="false" customHeight="false" outlineLevel="0" collapsed="false">
      <c r="A885" s="31" t="s">
        <v>1212</v>
      </c>
      <c r="B885" s="31" t="s">
        <v>1213</v>
      </c>
      <c r="C885" s="31" t="s">
        <v>44</v>
      </c>
      <c r="D885" s="31" t="s">
        <v>44</v>
      </c>
      <c r="E885" s="31" t="n">
        <v>1</v>
      </c>
      <c r="F885" s="32" t="n">
        <v>0</v>
      </c>
      <c r="G885" s="32" t="n">
        <v>0</v>
      </c>
      <c r="H885" s="31" t="s">
        <v>57</v>
      </c>
      <c r="I885" s="31" t="s">
        <v>58</v>
      </c>
      <c r="J885" s="31" t="s">
        <v>1214</v>
      </c>
      <c r="K885" s="31" t="s">
        <v>48</v>
      </c>
    </row>
    <row r="886" customFormat="false" ht="15" hidden="false" customHeight="false" outlineLevel="0" collapsed="false">
      <c r="A886" s="31" t="s">
        <v>1212</v>
      </c>
      <c r="B886" s="31" t="s">
        <v>1213</v>
      </c>
      <c r="C886" s="31" t="s">
        <v>20</v>
      </c>
      <c r="D886" s="31" t="s">
        <v>53</v>
      </c>
      <c r="E886" s="31" t="n">
        <v>1</v>
      </c>
      <c r="F886" s="32" t="n">
        <v>39</v>
      </c>
      <c r="G886" s="32" t="n">
        <v>39</v>
      </c>
      <c r="H886" s="31" t="s">
        <v>57</v>
      </c>
      <c r="I886" s="31" t="s">
        <v>58</v>
      </c>
      <c r="J886" s="31" t="s">
        <v>1214</v>
      </c>
      <c r="K886" s="31" t="s">
        <v>48</v>
      </c>
    </row>
    <row r="887" customFormat="false" ht="15" hidden="false" customHeight="false" outlineLevel="0" collapsed="false">
      <c r="A887" s="31" t="s">
        <v>1215</v>
      </c>
      <c r="B887" s="31" t="s">
        <v>1216</v>
      </c>
      <c r="C887" s="31" t="s">
        <v>20</v>
      </c>
      <c r="D887" s="31" t="s">
        <v>56</v>
      </c>
      <c r="E887" s="31" t="n">
        <v>2</v>
      </c>
      <c r="F887" s="32" t="n">
        <v>45</v>
      </c>
      <c r="G887" s="32" t="n">
        <v>90</v>
      </c>
      <c r="H887" s="31" t="s">
        <v>57</v>
      </c>
      <c r="I887" s="31" t="s">
        <v>84</v>
      </c>
      <c r="J887" s="31" t="s">
        <v>684</v>
      </c>
      <c r="K887" s="31" t="s">
        <v>48</v>
      </c>
    </row>
    <row r="888" customFormat="false" ht="15" hidden="false" customHeight="false" outlineLevel="0" collapsed="false">
      <c r="A888" s="31" t="s">
        <v>1215</v>
      </c>
      <c r="B888" s="31" t="s">
        <v>1217</v>
      </c>
      <c r="C888" s="31" t="s">
        <v>20</v>
      </c>
      <c r="D888" s="31" t="s">
        <v>78</v>
      </c>
      <c r="E888" s="31" t="n">
        <v>1</v>
      </c>
      <c r="F888" s="32" t="n">
        <v>80.1</v>
      </c>
      <c r="G888" s="32" t="n">
        <v>80.1</v>
      </c>
      <c r="H888" s="31" t="s">
        <v>57</v>
      </c>
      <c r="I888" s="31" t="s">
        <v>84</v>
      </c>
      <c r="J888" s="31" t="s">
        <v>684</v>
      </c>
      <c r="K888" s="31" t="s">
        <v>48</v>
      </c>
    </row>
    <row r="889" customFormat="false" ht="15" hidden="false" customHeight="false" outlineLevel="0" collapsed="false">
      <c r="A889" s="31" t="s">
        <v>1215</v>
      </c>
      <c r="B889" s="31" t="s">
        <v>1217</v>
      </c>
      <c r="C889" s="31" t="s">
        <v>44</v>
      </c>
      <c r="D889" s="31" t="s">
        <v>44</v>
      </c>
      <c r="E889" s="31" t="n">
        <v>1</v>
      </c>
      <c r="F889" s="32" t="n">
        <v>0</v>
      </c>
      <c r="G889" s="32" t="n">
        <v>0</v>
      </c>
      <c r="H889" s="31" t="s">
        <v>57</v>
      </c>
      <c r="I889" s="31" t="s">
        <v>84</v>
      </c>
      <c r="J889" s="31" t="s">
        <v>684</v>
      </c>
      <c r="K889" s="31" t="s">
        <v>48</v>
      </c>
    </row>
    <row r="890" customFormat="false" ht="15" hidden="false" customHeight="false" outlineLevel="0" collapsed="false">
      <c r="A890" s="31" t="s">
        <v>1215</v>
      </c>
      <c r="B890" s="31" t="s">
        <v>1217</v>
      </c>
      <c r="C890" s="31" t="s">
        <v>20</v>
      </c>
      <c r="D890" s="31" t="s">
        <v>63</v>
      </c>
      <c r="E890" s="31" t="n">
        <v>1</v>
      </c>
      <c r="F890" s="32" t="n">
        <v>14</v>
      </c>
      <c r="G890" s="32" t="n">
        <v>14</v>
      </c>
      <c r="H890" s="31" t="s">
        <v>57</v>
      </c>
      <c r="I890" s="31" t="s">
        <v>84</v>
      </c>
      <c r="J890" s="31" t="s">
        <v>684</v>
      </c>
      <c r="K890" s="31" t="s">
        <v>48</v>
      </c>
    </row>
    <row r="891" customFormat="false" ht="15" hidden="false" customHeight="false" outlineLevel="0" collapsed="false">
      <c r="A891" s="31" t="s">
        <v>1215</v>
      </c>
      <c r="B891" s="31" t="s">
        <v>1217</v>
      </c>
      <c r="C891" s="31" t="s">
        <v>20</v>
      </c>
      <c r="D891" s="31" t="s">
        <v>123</v>
      </c>
      <c r="E891" s="31" t="n">
        <v>1</v>
      </c>
      <c r="F891" s="32" t="n">
        <v>75</v>
      </c>
      <c r="G891" s="32" t="n">
        <v>75</v>
      </c>
      <c r="H891" s="31" t="s">
        <v>57</v>
      </c>
      <c r="I891" s="31" t="s">
        <v>84</v>
      </c>
      <c r="J891" s="31" t="s">
        <v>684</v>
      </c>
      <c r="K891" s="31" t="s">
        <v>48</v>
      </c>
    </row>
    <row r="892" customFormat="false" ht="15" hidden="false" customHeight="false" outlineLevel="0" collapsed="false">
      <c r="A892" s="31" t="s">
        <v>1218</v>
      </c>
      <c r="B892" s="31" t="s">
        <v>1219</v>
      </c>
      <c r="C892" s="31" t="s">
        <v>44</v>
      </c>
      <c r="D892" s="31" t="s">
        <v>44</v>
      </c>
      <c r="E892" s="31" t="n">
        <v>1</v>
      </c>
      <c r="F892" s="32" t="n">
        <v>3.95</v>
      </c>
      <c r="G892" s="32" t="n">
        <v>3.95</v>
      </c>
      <c r="H892" s="31" t="s">
        <v>145</v>
      </c>
      <c r="I892" s="31" t="s">
        <v>58</v>
      </c>
      <c r="J892" s="31" t="s">
        <v>1220</v>
      </c>
      <c r="K892" s="31" t="s">
        <v>48</v>
      </c>
    </row>
    <row r="893" customFormat="false" ht="15" hidden="false" customHeight="false" outlineLevel="0" collapsed="false">
      <c r="A893" s="31" t="s">
        <v>1218</v>
      </c>
      <c r="B893" s="31" t="s">
        <v>1221</v>
      </c>
      <c r="C893" s="31" t="s">
        <v>20</v>
      </c>
      <c r="D893" s="31" t="s">
        <v>69</v>
      </c>
      <c r="E893" s="31" t="n">
        <v>1</v>
      </c>
      <c r="F893" s="32" t="n">
        <v>29</v>
      </c>
      <c r="G893" s="32" t="n">
        <v>29</v>
      </c>
      <c r="H893" s="31" t="s">
        <v>145</v>
      </c>
      <c r="I893" s="31" t="s">
        <v>58</v>
      </c>
      <c r="J893" s="31" t="s">
        <v>1220</v>
      </c>
      <c r="K893" s="31" t="s">
        <v>48</v>
      </c>
    </row>
    <row r="894" customFormat="false" ht="15" hidden="false" customHeight="false" outlineLevel="0" collapsed="false">
      <c r="A894" s="31" t="s">
        <v>1222</v>
      </c>
      <c r="B894" s="31" t="s">
        <v>1223</v>
      </c>
      <c r="C894" s="31" t="s">
        <v>20</v>
      </c>
      <c r="D894" s="31" t="s">
        <v>56</v>
      </c>
      <c r="E894" s="31" t="n">
        <v>1</v>
      </c>
      <c r="F894" s="32" t="n">
        <v>45</v>
      </c>
      <c r="G894" s="32" t="n">
        <v>45</v>
      </c>
      <c r="H894" s="31" t="s">
        <v>45</v>
      </c>
      <c r="I894" s="31" t="s">
        <v>58</v>
      </c>
      <c r="J894" s="31" t="s">
        <v>1224</v>
      </c>
      <c r="K894" s="31" t="s">
        <v>48</v>
      </c>
    </row>
    <row r="895" customFormat="false" ht="15" hidden="false" customHeight="false" outlineLevel="0" collapsed="false">
      <c r="A895" s="31" t="s">
        <v>1222</v>
      </c>
      <c r="B895" s="31" t="s">
        <v>1223</v>
      </c>
      <c r="C895" s="31" t="s">
        <v>44</v>
      </c>
      <c r="D895" s="31" t="s">
        <v>44</v>
      </c>
      <c r="E895" s="31" t="n">
        <v>1</v>
      </c>
      <c r="F895" s="32" t="n">
        <v>0</v>
      </c>
      <c r="G895" s="32" t="n">
        <v>0</v>
      </c>
      <c r="H895" s="31" t="s">
        <v>45</v>
      </c>
      <c r="I895" s="31" t="s">
        <v>58</v>
      </c>
      <c r="J895" s="31" t="s">
        <v>1224</v>
      </c>
      <c r="K895" s="31" t="s">
        <v>48</v>
      </c>
    </row>
    <row r="896" customFormat="false" ht="15" hidden="false" customHeight="false" outlineLevel="0" collapsed="false">
      <c r="A896" s="31" t="s">
        <v>1225</v>
      </c>
      <c r="B896" s="31" t="s">
        <v>1226</v>
      </c>
      <c r="C896" s="31" t="s">
        <v>20</v>
      </c>
      <c r="D896" s="31" t="s">
        <v>69</v>
      </c>
      <c r="E896" s="31" t="n">
        <v>1</v>
      </c>
      <c r="F896" s="32" t="n">
        <v>29</v>
      </c>
      <c r="G896" s="32" t="n">
        <v>29</v>
      </c>
      <c r="H896" s="31" t="s">
        <v>45</v>
      </c>
      <c r="I896" s="31" t="s">
        <v>84</v>
      </c>
      <c r="J896" s="31"/>
      <c r="K896" s="31" t="s">
        <v>48</v>
      </c>
    </row>
    <row r="897" customFormat="false" ht="15" hidden="false" customHeight="false" outlineLevel="0" collapsed="false">
      <c r="A897" s="31" t="s">
        <v>1225</v>
      </c>
      <c r="B897" s="31" t="s">
        <v>1227</v>
      </c>
      <c r="C897" s="31" t="s">
        <v>50</v>
      </c>
      <c r="D897" s="31" t="s">
        <v>51</v>
      </c>
      <c r="E897" s="31" t="n">
        <v>1</v>
      </c>
      <c r="F897" s="32" t="n">
        <v>-5</v>
      </c>
      <c r="G897" s="32" t="n">
        <v>-5</v>
      </c>
      <c r="H897" s="31" t="s">
        <v>45</v>
      </c>
      <c r="I897" s="31" t="s">
        <v>84</v>
      </c>
      <c r="J897" s="31"/>
      <c r="K897" s="31" t="s">
        <v>48</v>
      </c>
    </row>
    <row r="898" customFormat="false" ht="15" hidden="false" customHeight="false" outlineLevel="0" collapsed="false">
      <c r="A898" s="31" t="s">
        <v>1225</v>
      </c>
      <c r="B898" s="31" t="s">
        <v>1226</v>
      </c>
      <c r="C898" s="31" t="s">
        <v>44</v>
      </c>
      <c r="D898" s="31" t="s">
        <v>44</v>
      </c>
      <c r="E898" s="31" t="n">
        <v>1</v>
      </c>
      <c r="F898" s="32" t="n">
        <v>5.95</v>
      </c>
      <c r="G898" s="32" t="n">
        <v>5.95</v>
      </c>
      <c r="H898" s="31" t="s">
        <v>45</v>
      </c>
      <c r="I898" s="31" t="s">
        <v>84</v>
      </c>
      <c r="J898" s="31"/>
      <c r="K898" s="31" t="s">
        <v>48</v>
      </c>
    </row>
    <row r="899" customFormat="false" ht="15" hidden="false" customHeight="false" outlineLevel="0" collapsed="false">
      <c r="A899" s="31" t="s">
        <v>1228</v>
      </c>
      <c r="B899" s="31" t="s">
        <v>1229</v>
      </c>
      <c r="C899" s="31" t="s">
        <v>44</v>
      </c>
      <c r="D899" s="31" t="s">
        <v>44</v>
      </c>
      <c r="E899" s="31" t="n">
        <v>1</v>
      </c>
      <c r="F899" s="32" t="n">
        <v>4.95</v>
      </c>
      <c r="G899" s="32" t="n">
        <v>4.95</v>
      </c>
      <c r="H899" s="31" t="s">
        <v>45</v>
      </c>
      <c r="I899" s="31" t="s">
        <v>58</v>
      </c>
      <c r="J899" s="31" t="s">
        <v>1230</v>
      </c>
      <c r="K899" s="31" t="s">
        <v>48</v>
      </c>
    </row>
    <row r="900" customFormat="false" ht="15" hidden="false" customHeight="false" outlineLevel="0" collapsed="false">
      <c r="A900" s="31" t="s">
        <v>1228</v>
      </c>
      <c r="B900" s="31" t="s">
        <v>1229</v>
      </c>
      <c r="C900" s="31" t="s">
        <v>20</v>
      </c>
      <c r="D900" s="31" t="s">
        <v>87</v>
      </c>
      <c r="E900" s="31" t="n">
        <v>1</v>
      </c>
      <c r="F900" s="32" t="n">
        <v>28</v>
      </c>
      <c r="G900" s="32" t="n">
        <v>28</v>
      </c>
      <c r="H900" s="31" t="s">
        <v>45</v>
      </c>
      <c r="I900" s="31" t="s">
        <v>58</v>
      </c>
      <c r="J900" s="31" t="s">
        <v>1230</v>
      </c>
      <c r="K900" s="31" t="s">
        <v>48</v>
      </c>
    </row>
    <row r="901" customFormat="false" ht="15" hidden="false" customHeight="false" outlineLevel="0" collapsed="false">
      <c r="A901" s="31" t="s">
        <v>1231</v>
      </c>
      <c r="B901" s="31" t="s">
        <v>1232</v>
      </c>
      <c r="C901" s="31" t="s">
        <v>20</v>
      </c>
      <c r="D901" s="31" t="s">
        <v>78</v>
      </c>
      <c r="E901" s="31" t="n">
        <v>2</v>
      </c>
      <c r="F901" s="32" t="n">
        <v>89</v>
      </c>
      <c r="G901" s="32" t="n">
        <v>178</v>
      </c>
      <c r="H901" s="31" t="s">
        <v>45</v>
      </c>
      <c r="I901" s="31" t="s">
        <v>58</v>
      </c>
      <c r="J901" s="31" t="s">
        <v>1233</v>
      </c>
      <c r="K901" s="31" t="s">
        <v>48</v>
      </c>
    </row>
    <row r="902" customFormat="false" ht="15" hidden="false" customHeight="false" outlineLevel="0" collapsed="false">
      <c r="A902" s="31" t="s">
        <v>1231</v>
      </c>
      <c r="B902" s="31" t="s">
        <v>1234</v>
      </c>
      <c r="C902" s="31" t="s">
        <v>20</v>
      </c>
      <c r="D902" s="31" t="s">
        <v>66</v>
      </c>
      <c r="E902" s="31" t="n">
        <v>1</v>
      </c>
      <c r="F902" s="32" t="n">
        <v>32</v>
      </c>
      <c r="G902" s="32" t="n">
        <v>32</v>
      </c>
      <c r="H902" s="31" t="s">
        <v>45</v>
      </c>
      <c r="I902" s="31" t="s">
        <v>58</v>
      </c>
      <c r="J902" s="31" t="s">
        <v>1233</v>
      </c>
      <c r="K902" s="31" t="s">
        <v>48</v>
      </c>
    </row>
    <row r="903" customFormat="false" ht="15" hidden="false" customHeight="false" outlineLevel="0" collapsed="false">
      <c r="A903" s="31" t="s">
        <v>1231</v>
      </c>
      <c r="B903" s="31" t="s">
        <v>1232</v>
      </c>
      <c r="C903" s="31" t="s">
        <v>20</v>
      </c>
      <c r="D903" s="31" t="s">
        <v>69</v>
      </c>
      <c r="E903" s="31" t="n">
        <v>1</v>
      </c>
      <c r="F903" s="32" t="n">
        <v>26.1</v>
      </c>
      <c r="G903" s="32" t="n">
        <v>26.1</v>
      </c>
      <c r="H903" s="31" t="s">
        <v>45</v>
      </c>
      <c r="I903" s="31" t="s">
        <v>58</v>
      </c>
      <c r="J903" s="31" t="s">
        <v>1233</v>
      </c>
      <c r="K903" s="31" t="s">
        <v>48</v>
      </c>
    </row>
    <row r="904" customFormat="false" ht="15" hidden="false" customHeight="false" outlineLevel="0" collapsed="false">
      <c r="A904" s="31" t="s">
        <v>1231</v>
      </c>
      <c r="B904" s="31" t="s">
        <v>1232</v>
      </c>
      <c r="C904" s="31" t="s">
        <v>20</v>
      </c>
      <c r="D904" s="31" t="s">
        <v>87</v>
      </c>
      <c r="E904" s="31" t="n">
        <v>1</v>
      </c>
      <c r="F904" s="32" t="n">
        <v>35</v>
      </c>
      <c r="G904" s="32" t="n">
        <v>35</v>
      </c>
      <c r="H904" s="31" t="s">
        <v>45</v>
      </c>
      <c r="I904" s="31" t="s">
        <v>58</v>
      </c>
      <c r="J904" s="31" t="s">
        <v>1233</v>
      </c>
      <c r="K904" s="31" t="s">
        <v>48</v>
      </c>
    </row>
    <row r="905" customFormat="false" ht="15" hidden="false" customHeight="false" outlineLevel="0" collapsed="false">
      <c r="A905" s="31" t="s">
        <v>1231</v>
      </c>
      <c r="B905" s="31" t="s">
        <v>1232</v>
      </c>
      <c r="C905" s="31" t="s">
        <v>44</v>
      </c>
      <c r="D905" s="31" t="s">
        <v>44</v>
      </c>
      <c r="E905" s="31" t="n">
        <v>1</v>
      </c>
      <c r="F905" s="32" t="n">
        <v>5.95</v>
      </c>
      <c r="G905" s="32" t="n">
        <v>5.95</v>
      </c>
      <c r="H905" s="31" t="s">
        <v>45</v>
      </c>
      <c r="I905" s="31" t="s">
        <v>58</v>
      </c>
      <c r="J905" s="31" t="s">
        <v>1233</v>
      </c>
      <c r="K905" s="31" t="s">
        <v>48</v>
      </c>
    </row>
    <row r="906" customFormat="false" ht="15" hidden="false" customHeight="false" outlineLevel="0" collapsed="false">
      <c r="A906" s="31" t="s">
        <v>1231</v>
      </c>
      <c r="B906" s="31" t="s">
        <v>1232</v>
      </c>
      <c r="C906" s="31" t="s">
        <v>50</v>
      </c>
      <c r="D906" s="31" t="s">
        <v>51</v>
      </c>
      <c r="E906" s="31" t="n">
        <v>1</v>
      </c>
      <c r="F906" s="32" t="n">
        <v>-15</v>
      </c>
      <c r="G906" s="32" t="n">
        <v>-15</v>
      </c>
      <c r="H906" s="31" t="s">
        <v>45</v>
      </c>
      <c r="I906" s="31" t="s">
        <v>58</v>
      </c>
      <c r="J906" s="31" t="s">
        <v>1233</v>
      </c>
      <c r="K906" s="31" t="s">
        <v>48</v>
      </c>
    </row>
    <row r="907" customFormat="false" ht="15" hidden="false" customHeight="false" outlineLevel="0" collapsed="false">
      <c r="A907" s="31" t="s">
        <v>1235</v>
      </c>
      <c r="B907" s="31" t="s">
        <v>1236</v>
      </c>
      <c r="C907" s="31" t="s">
        <v>20</v>
      </c>
      <c r="D907" s="31" t="s">
        <v>78</v>
      </c>
      <c r="E907" s="31" t="n">
        <v>1</v>
      </c>
      <c r="F907" s="32" t="n">
        <v>89</v>
      </c>
      <c r="G907" s="32" t="n">
        <v>89</v>
      </c>
      <c r="H907" s="31" t="s">
        <v>45</v>
      </c>
      <c r="I907" s="31" t="s">
        <v>58</v>
      </c>
      <c r="J907" s="31" t="s">
        <v>1237</v>
      </c>
      <c r="K907" s="31" t="s">
        <v>48</v>
      </c>
    </row>
    <row r="908" customFormat="false" ht="15" hidden="false" customHeight="false" outlineLevel="0" collapsed="false">
      <c r="A908" s="31" t="s">
        <v>1235</v>
      </c>
      <c r="B908" s="31" t="s">
        <v>1238</v>
      </c>
      <c r="C908" s="31" t="s">
        <v>20</v>
      </c>
      <c r="D908" s="31" t="s">
        <v>66</v>
      </c>
      <c r="E908" s="31" t="n">
        <v>1</v>
      </c>
      <c r="F908" s="32" t="n">
        <v>25.6</v>
      </c>
      <c r="G908" s="32" t="n">
        <v>25.6</v>
      </c>
      <c r="H908" s="31" t="s">
        <v>45</v>
      </c>
      <c r="I908" s="31" t="s">
        <v>58</v>
      </c>
      <c r="J908" s="31" t="s">
        <v>1237</v>
      </c>
      <c r="K908" s="31" t="s">
        <v>48</v>
      </c>
    </row>
    <row r="909" customFormat="false" ht="15" hidden="false" customHeight="false" outlineLevel="0" collapsed="false">
      <c r="A909" s="31" t="s">
        <v>1235</v>
      </c>
      <c r="B909" s="31" t="s">
        <v>1238</v>
      </c>
      <c r="C909" s="31" t="s">
        <v>44</v>
      </c>
      <c r="D909" s="31" t="s">
        <v>44</v>
      </c>
      <c r="E909" s="31" t="n">
        <v>1</v>
      </c>
      <c r="F909" s="32" t="n">
        <v>3.95</v>
      </c>
      <c r="G909" s="32" t="n">
        <v>3.95</v>
      </c>
      <c r="H909" s="31" t="s">
        <v>45</v>
      </c>
      <c r="I909" s="31" t="s">
        <v>58</v>
      </c>
      <c r="J909" s="31" t="s">
        <v>1237</v>
      </c>
      <c r="K909" s="31" t="s">
        <v>48</v>
      </c>
    </row>
    <row r="910" customFormat="false" ht="15" hidden="false" customHeight="false" outlineLevel="0" collapsed="false">
      <c r="A910" s="31" t="s">
        <v>1239</v>
      </c>
      <c r="B910" s="31" t="s">
        <v>1240</v>
      </c>
      <c r="C910" s="31" t="s">
        <v>44</v>
      </c>
      <c r="D910" s="31" t="s">
        <v>44</v>
      </c>
      <c r="E910" s="31" t="n">
        <v>1</v>
      </c>
      <c r="F910" s="32" t="n">
        <v>4.95</v>
      </c>
      <c r="G910" s="32" t="n">
        <v>4.95</v>
      </c>
      <c r="H910" s="31" t="s">
        <v>57</v>
      </c>
      <c r="I910" s="31" t="s">
        <v>58</v>
      </c>
      <c r="J910" s="31"/>
      <c r="K910" s="31" t="s">
        <v>48</v>
      </c>
    </row>
    <row r="911" customFormat="false" ht="15" hidden="false" customHeight="false" outlineLevel="0" collapsed="false">
      <c r="A911" s="31" t="s">
        <v>1239</v>
      </c>
      <c r="B911" s="31" t="s">
        <v>1240</v>
      </c>
      <c r="C911" s="31" t="s">
        <v>20</v>
      </c>
      <c r="D911" s="31" t="s">
        <v>78</v>
      </c>
      <c r="E911" s="31" t="n">
        <v>1</v>
      </c>
      <c r="F911" s="32" t="n">
        <v>89</v>
      </c>
      <c r="G911" s="32" t="n">
        <v>89</v>
      </c>
      <c r="H911" s="31" t="s">
        <v>57</v>
      </c>
      <c r="I911" s="31" t="s">
        <v>58</v>
      </c>
      <c r="J911" s="31"/>
      <c r="K911" s="31" t="s">
        <v>48</v>
      </c>
    </row>
    <row r="912" customFormat="false" ht="15" hidden="false" customHeight="false" outlineLevel="0" collapsed="false">
      <c r="A912" s="31" t="s">
        <v>1239</v>
      </c>
      <c r="B912" s="31" t="s">
        <v>1241</v>
      </c>
      <c r="C912" s="31" t="s">
        <v>20</v>
      </c>
      <c r="D912" s="31" t="s">
        <v>73</v>
      </c>
      <c r="E912" s="31" t="n">
        <v>1</v>
      </c>
      <c r="F912" s="32" t="n">
        <v>69</v>
      </c>
      <c r="G912" s="32" t="n">
        <v>69</v>
      </c>
      <c r="H912" s="31" t="s">
        <v>57</v>
      </c>
      <c r="I912" s="31" t="s">
        <v>58</v>
      </c>
      <c r="J912" s="31"/>
      <c r="K912" s="31" t="s">
        <v>48</v>
      </c>
    </row>
    <row r="913" customFormat="false" ht="15" hidden="false" customHeight="false" outlineLevel="0" collapsed="false">
      <c r="A913" s="31" t="s">
        <v>1242</v>
      </c>
      <c r="B913" s="31" t="s">
        <v>1243</v>
      </c>
      <c r="C913" s="31" t="s">
        <v>20</v>
      </c>
      <c r="D913" s="31" t="s">
        <v>53</v>
      </c>
      <c r="E913" s="31" t="n">
        <v>2</v>
      </c>
      <c r="F913" s="32" t="n">
        <v>39</v>
      </c>
      <c r="G913" s="32" t="n">
        <v>78</v>
      </c>
      <c r="H913" s="31" t="s">
        <v>45</v>
      </c>
      <c r="I913" s="31" t="s">
        <v>58</v>
      </c>
      <c r="J913" s="31" t="s">
        <v>1244</v>
      </c>
      <c r="K913" s="31" t="s">
        <v>48</v>
      </c>
    </row>
    <row r="914" customFormat="false" ht="15" hidden="false" customHeight="false" outlineLevel="0" collapsed="false">
      <c r="A914" s="31" t="s">
        <v>1242</v>
      </c>
      <c r="B914" s="31" t="s">
        <v>1243</v>
      </c>
      <c r="C914" s="31" t="s">
        <v>44</v>
      </c>
      <c r="D914" s="31" t="s">
        <v>44</v>
      </c>
      <c r="E914" s="31" t="n">
        <v>1</v>
      </c>
      <c r="F914" s="32" t="n">
        <v>3.95</v>
      </c>
      <c r="G914" s="32" t="n">
        <v>3.95</v>
      </c>
      <c r="H914" s="31" t="s">
        <v>45</v>
      </c>
      <c r="I914" s="31" t="s">
        <v>58</v>
      </c>
      <c r="J914" s="31" t="s">
        <v>1244</v>
      </c>
      <c r="K914" s="31" t="s">
        <v>48</v>
      </c>
    </row>
    <row r="915" customFormat="false" ht="15" hidden="false" customHeight="false" outlineLevel="0" collapsed="false">
      <c r="A915" s="31" t="s">
        <v>1245</v>
      </c>
      <c r="B915" s="31" t="s">
        <v>1246</v>
      </c>
      <c r="C915" s="31" t="s">
        <v>20</v>
      </c>
      <c r="D915" s="31" t="s">
        <v>78</v>
      </c>
      <c r="E915" s="31" t="n">
        <v>1</v>
      </c>
      <c r="F915" s="32" t="n">
        <v>80.1</v>
      </c>
      <c r="G915" s="32" t="n">
        <v>80.1</v>
      </c>
      <c r="H915" s="31" t="s">
        <v>45</v>
      </c>
      <c r="I915" s="31" t="s">
        <v>58</v>
      </c>
      <c r="J915" s="31" t="s">
        <v>1247</v>
      </c>
      <c r="K915" s="31" t="s">
        <v>48</v>
      </c>
    </row>
    <row r="916" customFormat="false" ht="15" hidden="false" customHeight="false" outlineLevel="0" collapsed="false">
      <c r="A916" s="31" t="s">
        <v>1248</v>
      </c>
      <c r="B916" s="31" t="s">
        <v>1249</v>
      </c>
      <c r="C916" s="31" t="s">
        <v>20</v>
      </c>
      <c r="D916" s="31" t="s">
        <v>140</v>
      </c>
      <c r="E916" s="31" t="n">
        <v>2</v>
      </c>
      <c r="F916" s="32" t="n">
        <v>26</v>
      </c>
      <c r="G916" s="32" t="n">
        <v>52</v>
      </c>
      <c r="H916" s="31" t="s">
        <v>45</v>
      </c>
      <c r="I916" s="31" t="s">
        <v>58</v>
      </c>
      <c r="J916" s="31" t="s">
        <v>1250</v>
      </c>
      <c r="K916" s="31" t="s">
        <v>48</v>
      </c>
    </row>
    <row r="917" customFormat="false" ht="15" hidden="false" customHeight="false" outlineLevel="0" collapsed="false">
      <c r="A917" s="31" t="s">
        <v>1248</v>
      </c>
      <c r="B917" s="31" t="s">
        <v>1251</v>
      </c>
      <c r="C917" s="31" t="s">
        <v>44</v>
      </c>
      <c r="D917" s="31" t="s">
        <v>44</v>
      </c>
      <c r="E917" s="31" t="n">
        <v>1</v>
      </c>
      <c r="F917" s="32" t="n">
        <v>3.95</v>
      </c>
      <c r="G917" s="32" t="n">
        <v>3.95</v>
      </c>
      <c r="H917" s="31" t="s">
        <v>45</v>
      </c>
      <c r="I917" s="31" t="s">
        <v>58</v>
      </c>
      <c r="J917" s="31" t="s">
        <v>1250</v>
      </c>
      <c r="K917" s="31" t="s">
        <v>48</v>
      </c>
    </row>
    <row r="918" customFormat="false" ht="15" hidden="false" customHeight="false" outlineLevel="0" collapsed="false">
      <c r="A918" s="31" t="s">
        <v>1248</v>
      </c>
      <c r="B918" s="31" t="s">
        <v>1249</v>
      </c>
      <c r="C918" s="31" t="s">
        <v>20</v>
      </c>
      <c r="D918" s="31" t="s">
        <v>78</v>
      </c>
      <c r="E918" s="31" t="n">
        <v>1</v>
      </c>
      <c r="F918" s="32" t="n">
        <v>89</v>
      </c>
      <c r="G918" s="32" t="n">
        <v>89</v>
      </c>
      <c r="H918" s="31" t="s">
        <v>45</v>
      </c>
      <c r="I918" s="31" t="s">
        <v>58</v>
      </c>
      <c r="J918" s="31" t="s">
        <v>1250</v>
      </c>
      <c r="K918" s="31" t="s">
        <v>48</v>
      </c>
    </row>
    <row r="919" customFormat="false" ht="15" hidden="false" customHeight="false" outlineLevel="0" collapsed="false">
      <c r="A919" s="31" t="s">
        <v>1252</v>
      </c>
      <c r="B919" s="31" t="s">
        <v>1253</v>
      </c>
      <c r="C919" s="31" t="s">
        <v>20</v>
      </c>
      <c r="D919" s="31" t="s">
        <v>53</v>
      </c>
      <c r="E919" s="31" t="n">
        <v>1</v>
      </c>
      <c r="F919" s="32" t="n">
        <v>39</v>
      </c>
      <c r="G919" s="32" t="n">
        <v>39</v>
      </c>
      <c r="H919" s="31" t="s">
        <v>145</v>
      </c>
      <c r="I919" s="31" t="s">
        <v>84</v>
      </c>
      <c r="J919" s="31" t="s">
        <v>1254</v>
      </c>
      <c r="K919" s="31" t="s">
        <v>48</v>
      </c>
    </row>
    <row r="920" customFormat="false" ht="15" hidden="false" customHeight="false" outlineLevel="0" collapsed="false">
      <c r="A920" s="31" t="s">
        <v>1255</v>
      </c>
      <c r="B920" s="31" t="s">
        <v>1256</v>
      </c>
      <c r="C920" s="31" t="s">
        <v>20</v>
      </c>
      <c r="D920" s="31" t="s">
        <v>78</v>
      </c>
      <c r="E920" s="31" t="n">
        <v>1</v>
      </c>
      <c r="F920" s="32" t="n">
        <v>89</v>
      </c>
      <c r="G920" s="32" t="n">
        <v>89</v>
      </c>
      <c r="H920" s="31" t="s">
        <v>45</v>
      </c>
      <c r="I920" s="31" t="s">
        <v>58</v>
      </c>
      <c r="J920" s="31" t="s">
        <v>1257</v>
      </c>
      <c r="K920" s="31" t="s">
        <v>48</v>
      </c>
    </row>
    <row r="921" customFormat="false" ht="15" hidden="false" customHeight="false" outlineLevel="0" collapsed="false">
      <c r="A921" s="31" t="s">
        <v>1258</v>
      </c>
      <c r="B921" s="31" t="s">
        <v>1259</v>
      </c>
      <c r="C921" s="31" t="s">
        <v>20</v>
      </c>
      <c r="D921" s="31" t="s">
        <v>56</v>
      </c>
      <c r="E921" s="31" t="n">
        <v>2</v>
      </c>
      <c r="F921" s="32" t="n">
        <v>45</v>
      </c>
      <c r="G921" s="32" t="n">
        <v>90</v>
      </c>
      <c r="H921" s="31" t="s">
        <v>45</v>
      </c>
      <c r="I921" s="31" t="s">
        <v>58</v>
      </c>
      <c r="J921" s="31" t="s">
        <v>1260</v>
      </c>
      <c r="K921" s="31" t="s">
        <v>48</v>
      </c>
    </row>
    <row r="922" customFormat="false" ht="15" hidden="false" customHeight="false" outlineLevel="0" collapsed="false">
      <c r="A922" s="31" t="s">
        <v>1258</v>
      </c>
      <c r="B922" s="31" t="s">
        <v>1261</v>
      </c>
      <c r="C922" s="31" t="s">
        <v>50</v>
      </c>
      <c r="D922" s="31" t="s">
        <v>51</v>
      </c>
      <c r="E922" s="31" t="n">
        <v>1</v>
      </c>
      <c r="F922" s="32" t="n">
        <v>-5</v>
      </c>
      <c r="G922" s="32" t="n">
        <v>-5</v>
      </c>
      <c r="H922" s="31" t="s">
        <v>45</v>
      </c>
      <c r="I922" s="31" t="s">
        <v>58</v>
      </c>
      <c r="J922" s="31" t="s">
        <v>1260</v>
      </c>
      <c r="K922" s="31" t="s">
        <v>48</v>
      </c>
    </row>
    <row r="923" customFormat="false" ht="15" hidden="false" customHeight="false" outlineLevel="0" collapsed="false">
      <c r="A923" s="31" t="s">
        <v>1262</v>
      </c>
      <c r="B923" s="31" t="s">
        <v>1263</v>
      </c>
      <c r="C923" s="31" t="s">
        <v>20</v>
      </c>
      <c r="D923" s="31" t="s">
        <v>78</v>
      </c>
      <c r="E923" s="31" t="n">
        <v>1</v>
      </c>
      <c r="F923" s="32" t="n">
        <v>89</v>
      </c>
      <c r="G923" s="32" t="n">
        <v>89</v>
      </c>
      <c r="H923" s="31" t="s">
        <v>45</v>
      </c>
      <c r="I923" s="31" t="s">
        <v>104</v>
      </c>
      <c r="J923" s="31" t="s">
        <v>1264</v>
      </c>
      <c r="K923" s="31" t="s">
        <v>48</v>
      </c>
    </row>
    <row r="924" customFormat="false" ht="15" hidden="false" customHeight="false" outlineLevel="0" collapsed="false">
      <c r="A924" s="31" t="s">
        <v>1262</v>
      </c>
      <c r="B924" s="31" t="s">
        <v>1263</v>
      </c>
      <c r="C924" s="31" t="s">
        <v>20</v>
      </c>
      <c r="D924" s="31" t="s">
        <v>87</v>
      </c>
      <c r="E924" s="31" t="n">
        <v>3</v>
      </c>
      <c r="F924" s="32" t="n">
        <v>35</v>
      </c>
      <c r="G924" s="32" t="n">
        <v>105</v>
      </c>
      <c r="H924" s="31" t="s">
        <v>45</v>
      </c>
      <c r="I924" s="31" t="s">
        <v>104</v>
      </c>
      <c r="J924" s="31" t="s">
        <v>1264</v>
      </c>
      <c r="K924" s="31" t="s">
        <v>48</v>
      </c>
    </row>
    <row r="925" customFormat="false" ht="15" hidden="false" customHeight="false" outlineLevel="0" collapsed="false">
      <c r="A925" s="31" t="s">
        <v>1262</v>
      </c>
      <c r="B925" s="31" t="s">
        <v>1263</v>
      </c>
      <c r="C925" s="31" t="s">
        <v>44</v>
      </c>
      <c r="D925" s="31" t="s">
        <v>44</v>
      </c>
      <c r="E925" s="31" t="n">
        <v>1</v>
      </c>
      <c r="F925" s="32" t="n">
        <v>5.95</v>
      </c>
      <c r="G925" s="32" t="n">
        <v>5.95</v>
      </c>
      <c r="H925" s="31" t="s">
        <v>45</v>
      </c>
      <c r="I925" s="31" t="s">
        <v>104</v>
      </c>
      <c r="J925" s="31" t="s">
        <v>1264</v>
      </c>
      <c r="K925" s="31" t="s">
        <v>48</v>
      </c>
    </row>
    <row r="926" customFormat="false" ht="15" hidden="false" customHeight="false" outlineLevel="0" collapsed="false">
      <c r="A926" s="31" t="s">
        <v>1265</v>
      </c>
      <c r="B926" s="31" t="s">
        <v>1266</v>
      </c>
      <c r="C926" s="31" t="s">
        <v>44</v>
      </c>
      <c r="D926" s="31" t="s">
        <v>44</v>
      </c>
      <c r="E926" s="31" t="n">
        <v>1</v>
      </c>
      <c r="F926" s="32" t="n">
        <v>4.95</v>
      </c>
      <c r="G926" s="32" t="n">
        <v>4.95</v>
      </c>
      <c r="H926" s="31" t="s">
        <v>45</v>
      </c>
      <c r="I926" s="31" t="s">
        <v>58</v>
      </c>
      <c r="J926" s="31" t="s">
        <v>1267</v>
      </c>
      <c r="K926" s="31" t="s">
        <v>48</v>
      </c>
    </row>
    <row r="927" customFormat="false" ht="15" hidden="false" customHeight="false" outlineLevel="0" collapsed="false">
      <c r="A927" s="31" t="s">
        <v>1265</v>
      </c>
      <c r="B927" s="31" t="s">
        <v>1268</v>
      </c>
      <c r="C927" s="31" t="s">
        <v>20</v>
      </c>
      <c r="D927" s="31" t="s">
        <v>53</v>
      </c>
      <c r="E927" s="31" t="n">
        <v>1</v>
      </c>
      <c r="F927" s="32" t="n">
        <v>39</v>
      </c>
      <c r="G927" s="32" t="n">
        <v>39</v>
      </c>
      <c r="H927" s="31" t="s">
        <v>45</v>
      </c>
      <c r="I927" s="31" t="s">
        <v>58</v>
      </c>
      <c r="J927" s="31" t="s">
        <v>1267</v>
      </c>
      <c r="K927" s="31" t="s">
        <v>48</v>
      </c>
    </row>
    <row r="928" customFormat="false" ht="15" hidden="false" customHeight="false" outlineLevel="0" collapsed="false">
      <c r="A928" s="31" t="s">
        <v>1178</v>
      </c>
      <c r="B928" s="31" t="s">
        <v>1269</v>
      </c>
      <c r="C928" s="31" t="s">
        <v>20</v>
      </c>
      <c r="D928" s="31" t="s">
        <v>56</v>
      </c>
      <c r="E928" s="31" t="n">
        <v>-1</v>
      </c>
      <c r="F928" s="32" t="n">
        <v>45</v>
      </c>
      <c r="G928" s="32" t="n">
        <v>-45</v>
      </c>
      <c r="H928" s="31" t="s">
        <v>45</v>
      </c>
      <c r="I928" s="31" t="s">
        <v>58</v>
      </c>
      <c r="J928" s="31" t="s">
        <v>1180</v>
      </c>
      <c r="K928" s="31" t="s">
        <v>202</v>
      </c>
    </row>
    <row r="929" customFormat="false" ht="15" hidden="false" customHeight="false" outlineLevel="0" collapsed="false">
      <c r="A929" s="31" t="s">
        <v>1270</v>
      </c>
      <c r="B929" s="31" t="s">
        <v>1271</v>
      </c>
      <c r="C929" s="31" t="s">
        <v>44</v>
      </c>
      <c r="D929" s="31" t="s">
        <v>44</v>
      </c>
      <c r="E929" s="31" t="n">
        <v>1</v>
      </c>
      <c r="F929" s="32" t="n">
        <v>4.95</v>
      </c>
      <c r="G929" s="32" t="n">
        <v>4.95</v>
      </c>
      <c r="H929" s="31" t="s">
        <v>45</v>
      </c>
      <c r="I929" s="31" t="s">
        <v>58</v>
      </c>
      <c r="J929" s="31" t="s">
        <v>1272</v>
      </c>
      <c r="K929" s="31" t="s">
        <v>48</v>
      </c>
    </row>
    <row r="930" customFormat="false" ht="15" hidden="false" customHeight="false" outlineLevel="0" collapsed="false">
      <c r="A930" s="31" t="s">
        <v>1270</v>
      </c>
      <c r="B930" s="31" t="s">
        <v>1271</v>
      </c>
      <c r="C930" s="31" t="s">
        <v>20</v>
      </c>
      <c r="D930" s="31" t="s">
        <v>56</v>
      </c>
      <c r="E930" s="31" t="n">
        <v>1</v>
      </c>
      <c r="F930" s="32" t="n">
        <v>45</v>
      </c>
      <c r="G930" s="32" t="n">
        <v>45</v>
      </c>
      <c r="H930" s="31" t="s">
        <v>45</v>
      </c>
      <c r="I930" s="31" t="s">
        <v>58</v>
      </c>
      <c r="J930" s="31" t="s">
        <v>1272</v>
      </c>
      <c r="K930" s="31" t="s">
        <v>48</v>
      </c>
    </row>
    <row r="931" customFormat="false" ht="15" hidden="false" customHeight="false" outlineLevel="0" collapsed="false">
      <c r="A931" s="31" t="s">
        <v>1270</v>
      </c>
      <c r="B931" s="31" t="s">
        <v>1271</v>
      </c>
      <c r="C931" s="31" t="s">
        <v>20</v>
      </c>
      <c r="D931" s="31" t="s">
        <v>78</v>
      </c>
      <c r="E931" s="31" t="n">
        <v>1</v>
      </c>
      <c r="F931" s="32" t="n">
        <v>89</v>
      </c>
      <c r="G931" s="32" t="n">
        <v>89</v>
      </c>
      <c r="H931" s="31" t="s">
        <v>45</v>
      </c>
      <c r="I931" s="31" t="s">
        <v>58</v>
      </c>
      <c r="J931" s="31" t="s">
        <v>1272</v>
      </c>
      <c r="K931" s="31" t="s">
        <v>48</v>
      </c>
    </row>
    <row r="932" customFormat="false" ht="15" hidden="false" customHeight="false" outlineLevel="0" collapsed="false">
      <c r="A932" s="31" t="s">
        <v>1273</v>
      </c>
      <c r="B932" s="31" t="s">
        <v>1274</v>
      </c>
      <c r="C932" s="31" t="s">
        <v>44</v>
      </c>
      <c r="D932" s="31" t="s">
        <v>44</v>
      </c>
      <c r="E932" s="31" t="n">
        <v>1</v>
      </c>
      <c r="F932" s="32" t="n">
        <v>0</v>
      </c>
      <c r="G932" s="32" t="n">
        <v>0</v>
      </c>
      <c r="H932" s="31" t="s">
        <v>45</v>
      </c>
      <c r="I932" s="31" t="s">
        <v>58</v>
      </c>
      <c r="J932" s="31" t="s">
        <v>1275</v>
      </c>
      <c r="K932" s="31" t="s">
        <v>48</v>
      </c>
    </row>
    <row r="933" customFormat="false" ht="15" hidden="false" customHeight="false" outlineLevel="0" collapsed="false">
      <c r="A933" s="31" t="s">
        <v>1273</v>
      </c>
      <c r="B933" s="31" t="s">
        <v>1276</v>
      </c>
      <c r="C933" s="31" t="s">
        <v>20</v>
      </c>
      <c r="D933" s="31" t="s">
        <v>140</v>
      </c>
      <c r="E933" s="31" t="n">
        <v>2</v>
      </c>
      <c r="F933" s="32" t="n">
        <v>26</v>
      </c>
      <c r="G933" s="32" t="n">
        <v>52</v>
      </c>
      <c r="H933" s="31" t="s">
        <v>45</v>
      </c>
      <c r="I933" s="31" t="s">
        <v>58</v>
      </c>
      <c r="J933" s="31" t="s">
        <v>1275</v>
      </c>
      <c r="K933" s="31" t="s">
        <v>48</v>
      </c>
    </row>
    <row r="934" customFormat="false" ht="15" hidden="false" customHeight="false" outlineLevel="0" collapsed="false">
      <c r="A934" s="31" t="s">
        <v>1277</v>
      </c>
      <c r="B934" s="31" t="s">
        <v>1278</v>
      </c>
      <c r="C934" s="31" t="s">
        <v>44</v>
      </c>
      <c r="D934" s="31" t="s">
        <v>44</v>
      </c>
      <c r="E934" s="31" t="n">
        <v>1</v>
      </c>
      <c r="F934" s="32" t="n">
        <v>0</v>
      </c>
      <c r="G934" s="32" t="n">
        <v>0</v>
      </c>
      <c r="H934" s="31" t="s">
        <v>57</v>
      </c>
      <c r="I934" s="31" t="s">
        <v>46</v>
      </c>
      <c r="J934" s="31" t="s">
        <v>962</v>
      </c>
      <c r="K934" s="31" t="s">
        <v>48</v>
      </c>
    </row>
    <row r="935" customFormat="false" ht="15" hidden="false" customHeight="false" outlineLevel="0" collapsed="false">
      <c r="A935" s="31" t="s">
        <v>1277</v>
      </c>
      <c r="B935" s="31" t="s">
        <v>1278</v>
      </c>
      <c r="C935" s="31" t="s">
        <v>20</v>
      </c>
      <c r="D935" s="31" t="s">
        <v>123</v>
      </c>
      <c r="E935" s="31" t="n">
        <v>1</v>
      </c>
      <c r="F935" s="32" t="n">
        <v>75</v>
      </c>
      <c r="G935" s="32" t="n">
        <v>75</v>
      </c>
      <c r="H935" s="31" t="s">
        <v>57</v>
      </c>
      <c r="I935" s="31" t="s">
        <v>46</v>
      </c>
      <c r="J935" s="31" t="s">
        <v>962</v>
      </c>
      <c r="K935" s="31" t="s">
        <v>48</v>
      </c>
    </row>
    <row r="936" customFormat="false" ht="15" hidden="false" customHeight="false" outlineLevel="0" collapsed="false">
      <c r="A936" s="31" t="s">
        <v>1277</v>
      </c>
      <c r="B936" s="31" t="s">
        <v>1278</v>
      </c>
      <c r="C936" s="31" t="s">
        <v>20</v>
      </c>
      <c r="D936" s="31" t="s">
        <v>56</v>
      </c>
      <c r="E936" s="31" t="n">
        <v>1</v>
      </c>
      <c r="F936" s="32" t="n">
        <v>45</v>
      </c>
      <c r="G936" s="32" t="n">
        <v>45</v>
      </c>
      <c r="H936" s="31" t="s">
        <v>57</v>
      </c>
      <c r="I936" s="31" t="s">
        <v>46</v>
      </c>
      <c r="J936" s="31" t="s">
        <v>962</v>
      </c>
      <c r="K936" s="31" t="s">
        <v>48</v>
      </c>
    </row>
    <row r="937" customFormat="false" ht="15" hidden="false" customHeight="false" outlineLevel="0" collapsed="false">
      <c r="A937" s="31" t="s">
        <v>1279</v>
      </c>
      <c r="B937" s="31" t="s">
        <v>1280</v>
      </c>
      <c r="C937" s="31" t="s">
        <v>20</v>
      </c>
      <c r="D937" s="31" t="s">
        <v>52</v>
      </c>
      <c r="E937" s="31" t="n">
        <v>2</v>
      </c>
      <c r="F937" s="32" t="n">
        <v>22</v>
      </c>
      <c r="G937" s="32" t="n">
        <v>44</v>
      </c>
      <c r="H937" s="31" t="s">
        <v>57</v>
      </c>
      <c r="I937" s="31" t="s">
        <v>84</v>
      </c>
      <c r="J937" s="31"/>
      <c r="K937" s="31" t="s">
        <v>48</v>
      </c>
    </row>
    <row r="938" customFormat="false" ht="15" hidden="false" customHeight="false" outlineLevel="0" collapsed="false">
      <c r="A938" s="31" t="s">
        <v>1279</v>
      </c>
      <c r="B938" s="31" t="s">
        <v>1281</v>
      </c>
      <c r="C938" s="31" t="s">
        <v>44</v>
      </c>
      <c r="D938" s="31" t="s">
        <v>44</v>
      </c>
      <c r="E938" s="31" t="n">
        <v>1</v>
      </c>
      <c r="F938" s="32" t="n">
        <v>3.95</v>
      </c>
      <c r="G938" s="32" t="n">
        <v>3.95</v>
      </c>
      <c r="H938" s="31" t="s">
        <v>57</v>
      </c>
      <c r="I938" s="31" t="s">
        <v>84</v>
      </c>
      <c r="J938" s="31"/>
      <c r="K938" s="31" t="s">
        <v>48</v>
      </c>
    </row>
    <row r="939" customFormat="false" ht="15" hidden="false" customHeight="false" outlineLevel="0" collapsed="false">
      <c r="A939" s="31" t="s">
        <v>1279</v>
      </c>
      <c r="B939" s="31" t="s">
        <v>1281</v>
      </c>
      <c r="C939" s="31" t="s">
        <v>20</v>
      </c>
      <c r="D939" s="31" t="s">
        <v>53</v>
      </c>
      <c r="E939" s="31" t="n">
        <v>2</v>
      </c>
      <c r="F939" s="32" t="n">
        <v>31.2</v>
      </c>
      <c r="G939" s="32" t="n">
        <v>62.4</v>
      </c>
      <c r="H939" s="31" t="s">
        <v>57</v>
      </c>
      <c r="I939" s="31" t="s">
        <v>84</v>
      </c>
      <c r="J939" s="31"/>
      <c r="K939" s="31" t="s">
        <v>48</v>
      </c>
    </row>
    <row r="940" customFormat="false" ht="15" hidden="false" customHeight="false" outlineLevel="0" collapsed="false">
      <c r="A940" s="31" t="s">
        <v>1282</v>
      </c>
      <c r="B940" s="31" t="s">
        <v>1283</v>
      </c>
      <c r="C940" s="31" t="s">
        <v>20</v>
      </c>
      <c r="D940" s="31" t="s">
        <v>69</v>
      </c>
      <c r="E940" s="31" t="n">
        <v>1</v>
      </c>
      <c r="F940" s="32" t="n">
        <v>29</v>
      </c>
      <c r="G940" s="32" t="n">
        <v>29</v>
      </c>
      <c r="H940" s="31" t="s">
        <v>45</v>
      </c>
      <c r="I940" s="31" t="s">
        <v>155</v>
      </c>
      <c r="J940" s="31" t="s">
        <v>1284</v>
      </c>
      <c r="K940" s="31" t="s">
        <v>48</v>
      </c>
    </row>
    <row r="941" customFormat="false" ht="15" hidden="false" customHeight="false" outlineLevel="0" collapsed="false">
      <c r="A941" s="31" t="s">
        <v>1282</v>
      </c>
      <c r="B941" s="31" t="s">
        <v>1283</v>
      </c>
      <c r="C941" s="31" t="s">
        <v>44</v>
      </c>
      <c r="D941" s="31" t="s">
        <v>44</v>
      </c>
      <c r="E941" s="31" t="n">
        <v>1</v>
      </c>
      <c r="F941" s="32" t="n">
        <v>3.95</v>
      </c>
      <c r="G941" s="32" t="n">
        <v>3.95</v>
      </c>
      <c r="H941" s="31" t="s">
        <v>45</v>
      </c>
      <c r="I941" s="31" t="s">
        <v>155</v>
      </c>
      <c r="J941" s="31" t="s">
        <v>1284</v>
      </c>
      <c r="K941" s="31" t="s">
        <v>48</v>
      </c>
    </row>
    <row r="942" customFormat="false" ht="15" hidden="false" customHeight="false" outlineLevel="0" collapsed="false">
      <c r="A942" s="31" t="s">
        <v>1282</v>
      </c>
      <c r="B942" s="31" t="s">
        <v>1285</v>
      </c>
      <c r="C942" s="31" t="s">
        <v>20</v>
      </c>
      <c r="D942" s="31" t="s">
        <v>53</v>
      </c>
      <c r="E942" s="31" t="n">
        <v>4</v>
      </c>
      <c r="F942" s="32" t="n">
        <v>39</v>
      </c>
      <c r="G942" s="32" t="n">
        <v>156</v>
      </c>
      <c r="H942" s="31" t="s">
        <v>45</v>
      </c>
      <c r="I942" s="31" t="s">
        <v>155</v>
      </c>
      <c r="J942" s="31" t="s">
        <v>1284</v>
      </c>
      <c r="K942" s="31" t="s">
        <v>48</v>
      </c>
    </row>
    <row r="943" customFormat="false" ht="15" hidden="false" customHeight="false" outlineLevel="0" collapsed="false">
      <c r="A943" s="31" t="s">
        <v>1286</v>
      </c>
      <c r="B943" s="31" t="s">
        <v>1287</v>
      </c>
      <c r="C943" s="31" t="s">
        <v>44</v>
      </c>
      <c r="D943" s="31" t="s">
        <v>44</v>
      </c>
      <c r="E943" s="31" t="n">
        <v>1</v>
      </c>
      <c r="F943" s="32" t="n">
        <v>3.95</v>
      </c>
      <c r="G943" s="32" t="n">
        <v>3.95</v>
      </c>
      <c r="H943" s="31" t="s">
        <v>45</v>
      </c>
      <c r="I943" s="31" t="s">
        <v>58</v>
      </c>
      <c r="J943" s="31" t="s">
        <v>1288</v>
      </c>
      <c r="K943" s="31" t="s">
        <v>48</v>
      </c>
    </row>
    <row r="944" customFormat="false" ht="15" hidden="false" customHeight="false" outlineLevel="0" collapsed="false">
      <c r="A944" s="31" t="s">
        <v>1286</v>
      </c>
      <c r="B944" s="31" t="s">
        <v>1287</v>
      </c>
      <c r="C944" s="31" t="s">
        <v>20</v>
      </c>
      <c r="D944" s="31" t="s">
        <v>87</v>
      </c>
      <c r="E944" s="31" t="n">
        <v>3</v>
      </c>
      <c r="F944" s="32" t="n">
        <v>35</v>
      </c>
      <c r="G944" s="32" t="n">
        <v>105</v>
      </c>
      <c r="H944" s="31" t="s">
        <v>45</v>
      </c>
      <c r="I944" s="31" t="s">
        <v>58</v>
      </c>
      <c r="J944" s="31" t="s">
        <v>1288</v>
      </c>
      <c r="K944" s="31" t="s">
        <v>48</v>
      </c>
    </row>
    <row r="945" customFormat="false" ht="15" hidden="false" customHeight="false" outlineLevel="0" collapsed="false">
      <c r="A945" s="31" t="s">
        <v>1289</v>
      </c>
      <c r="B945" s="31" t="s">
        <v>1290</v>
      </c>
      <c r="C945" s="31" t="s">
        <v>44</v>
      </c>
      <c r="D945" s="31" t="s">
        <v>44</v>
      </c>
      <c r="E945" s="31" t="n">
        <v>1</v>
      </c>
      <c r="F945" s="32" t="n">
        <v>3.95</v>
      </c>
      <c r="G945" s="32" t="n">
        <v>3.95</v>
      </c>
      <c r="H945" s="31" t="s">
        <v>145</v>
      </c>
      <c r="I945" s="31" t="s">
        <v>104</v>
      </c>
      <c r="J945" s="31" t="s">
        <v>1291</v>
      </c>
      <c r="K945" s="31" t="s">
        <v>48</v>
      </c>
    </row>
    <row r="946" customFormat="false" ht="15" hidden="false" customHeight="false" outlineLevel="0" collapsed="false">
      <c r="A946" s="31" t="s">
        <v>1289</v>
      </c>
      <c r="B946" s="31" t="s">
        <v>1290</v>
      </c>
      <c r="C946" s="31" t="s">
        <v>20</v>
      </c>
      <c r="D946" s="31" t="s">
        <v>53</v>
      </c>
      <c r="E946" s="31" t="n">
        <v>1</v>
      </c>
      <c r="F946" s="32" t="n">
        <v>39</v>
      </c>
      <c r="G946" s="32" t="n">
        <v>39</v>
      </c>
      <c r="H946" s="31" t="s">
        <v>145</v>
      </c>
      <c r="I946" s="31" t="s">
        <v>104</v>
      </c>
      <c r="J946" s="31" t="s">
        <v>1291</v>
      </c>
      <c r="K946" s="31" t="s">
        <v>48</v>
      </c>
    </row>
    <row r="947" customFormat="false" ht="15" hidden="false" customHeight="false" outlineLevel="0" collapsed="false">
      <c r="A947" s="31" t="s">
        <v>1184</v>
      </c>
      <c r="B947" s="31" t="s">
        <v>1292</v>
      </c>
      <c r="C947" s="31" t="s">
        <v>20</v>
      </c>
      <c r="D947" s="31" t="s">
        <v>69</v>
      </c>
      <c r="E947" s="31" t="n">
        <v>-1</v>
      </c>
      <c r="F947" s="32" t="n">
        <v>29</v>
      </c>
      <c r="G947" s="32" t="n">
        <v>-29</v>
      </c>
      <c r="H947" s="31" t="s">
        <v>45</v>
      </c>
      <c r="I947" s="31" t="s">
        <v>58</v>
      </c>
      <c r="J947" s="31" t="s">
        <v>1186</v>
      </c>
      <c r="K947" s="31" t="s">
        <v>243</v>
      </c>
    </row>
    <row r="948" customFormat="false" ht="15" hidden="false" customHeight="false" outlineLevel="0" collapsed="false">
      <c r="A948" s="31" t="s">
        <v>1293</v>
      </c>
      <c r="B948" s="31" t="s">
        <v>1294</v>
      </c>
      <c r="C948" s="31" t="s">
        <v>20</v>
      </c>
      <c r="D948" s="31" t="s">
        <v>52</v>
      </c>
      <c r="E948" s="31" t="n">
        <v>2</v>
      </c>
      <c r="F948" s="32" t="n">
        <v>22</v>
      </c>
      <c r="G948" s="32" t="n">
        <v>44</v>
      </c>
      <c r="H948" s="31" t="s">
        <v>145</v>
      </c>
      <c r="I948" s="31" t="s">
        <v>155</v>
      </c>
      <c r="J948" s="31" t="s">
        <v>953</v>
      </c>
      <c r="K948" s="31" t="s">
        <v>48</v>
      </c>
    </row>
    <row r="949" customFormat="false" ht="15" hidden="false" customHeight="false" outlineLevel="0" collapsed="false">
      <c r="A949" s="31" t="s">
        <v>1295</v>
      </c>
      <c r="B949" s="31" t="s">
        <v>1296</v>
      </c>
      <c r="C949" s="31" t="s">
        <v>50</v>
      </c>
      <c r="D949" s="31" t="s">
        <v>51</v>
      </c>
      <c r="E949" s="31" t="n">
        <v>1</v>
      </c>
      <c r="F949" s="32" t="n">
        <v>-10</v>
      </c>
      <c r="G949" s="32" t="n">
        <v>-10</v>
      </c>
      <c r="H949" s="31" t="s">
        <v>145</v>
      </c>
      <c r="I949" s="31" t="s">
        <v>58</v>
      </c>
      <c r="J949" s="31" t="s">
        <v>1297</v>
      </c>
      <c r="K949" s="31" t="s">
        <v>48</v>
      </c>
    </row>
    <row r="950" customFormat="false" ht="15" hidden="false" customHeight="false" outlineLevel="0" collapsed="false">
      <c r="A950" s="31" t="s">
        <v>1295</v>
      </c>
      <c r="B950" s="31" t="s">
        <v>1296</v>
      </c>
      <c r="C950" s="31" t="s">
        <v>20</v>
      </c>
      <c r="D950" s="31" t="s">
        <v>123</v>
      </c>
      <c r="E950" s="31" t="n">
        <v>2</v>
      </c>
      <c r="F950" s="32" t="n">
        <v>75</v>
      </c>
      <c r="G950" s="32" t="n">
        <v>150</v>
      </c>
      <c r="H950" s="31" t="s">
        <v>145</v>
      </c>
      <c r="I950" s="31" t="s">
        <v>58</v>
      </c>
      <c r="J950" s="31" t="s">
        <v>1297</v>
      </c>
      <c r="K950" s="31" t="s">
        <v>48</v>
      </c>
    </row>
    <row r="951" customFormat="false" ht="15" hidden="false" customHeight="false" outlineLevel="0" collapsed="false">
      <c r="A951" s="31" t="s">
        <v>1298</v>
      </c>
      <c r="B951" s="31" t="s">
        <v>1299</v>
      </c>
      <c r="C951" s="31" t="s">
        <v>20</v>
      </c>
      <c r="D951" s="31" t="s">
        <v>69</v>
      </c>
      <c r="E951" s="31" t="n">
        <v>1</v>
      </c>
      <c r="F951" s="32" t="n">
        <v>29</v>
      </c>
      <c r="G951" s="32" t="n">
        <v>29</v>
      </c>
      <c r="H951" s="31" t="s">
        <v>45</v>
      </c>
      <c r="I951" s="31" t="s">
        <v>104</v>
      </c>
      <c r="J951" s="31" t="s">
        <v>1300</v>
      </c>
      <c r="K951" s="31" t="s">
        <v>48</v>
      </c>
    </row>
    <row r="952" customFormat="false" ht="15" hidden="false" customHeight="false" outlineLevel="0" collapsed="false">
      <c r="A952" s="31" t="s">
        <v>1298</v>
      </c>
      <c r="B952" s="31" t="s">
        <v>1301</v>
      </c>
      <c r="C952" s="31" t="s">
        <v>20</v>
      </c>
      <c r="D952" s="31" t="s">
        <v>56</v>
      </c>
      <c r="E952" s="31" t="n">
        <v>1</v>
      </c>
      <c r="F952" s="32" t="n">
        <v>45</v>
      </c>
      <c r="G952" s="32" t="n">
        <v>45</v>
      </c>
      <c r="H952" s="31" t="s">
        <v>45</v>
      </c>
      <c r="I952" s="31" t="s">
        <v>104</v>
      </c>
      <c r="J952" s="31" t="s">
        <v>1300</v>
      </c>
      <c r="K952" s="31" t="s">
        <v>48</v>
      </c>
    </row>
    <row r="953" customFormat="false" ht="15" hidden="false" customHeight="false" outlineLevel="0" collapsed="false">
      <c r="A953" s="31" t="s">
        <v>1302</v>
      </c>
      <c r="B953" s="31" t="s">
        <v>1303</v>
      </c>
      <c r="C953" s="31" t="s">
        <v>20</v>
      </c>
      <c r="D953" s="31" t="s">
        <v>53</v>
      </c>
      <c r="E953" s="31" t="n">
        <v>1</v>
      </c>
      <c r="F953" s="32" t="n">
        <v>39</v>
      </c>
      <c r="G953" s="32" t="n">
        <v>39</v>
      </c>
      <c r="H953" s="31" t="s">
        <v>45</v>
      </c>
      <c r="I953" s="31" t="s">
        <v>58</v>
      </c>
      <c r="J953" s="31" t="s">
        <v>1304</v>
      </c>
      <c r="K953" s="31" t="s">
        <v>48</v>
      </c>
    </row>
    <row r="954" customFormat="false" ht="15" hidden="false" customHeight="false" outlineLevel="0" collapsed="false">
      <c r="A954" s="31" t="s">
        <v>1305</v>
      </c>
      <c r="B954" s="31" t="s">
        <v>1306</v>
      </c>
      <c r="C954" s="31" t="s">
        <v>20</v>
      </c>
      <c r="D954" s="31" t="s">
        <v>140</v>
      </c>
      <c r="E954" s="31" t="n">
        <v>1</v>
      </c>
      <c r="F954" s="32" t="n">
        <v>26</v>
      </c>
      <c r="G954" s="32" t="n">
        <v>26</v>
      </c>
      <c r="H954" s="31" t="s">
        <v>45</v>
      </c>
      <c r="I954" s="31" t="s">
        <v>84</v>
      </c>
      <c r="J954" s="31" t="s">
        <v>1307</v>
      </c>
      <c r="K954" s="31" t="s">
        <v>48</v>
      </c>
    </row>
    <row r="955" customFormat="false" ht="15" hidden="false" customHeight="false" outlineLevel="0" collapsed="false">
      <c r="A955" s="31" t="s">
        <v>1305</v>
      </c>
      <c r="B955" s="31" t="s">
        <v>1306</v>
      </c>
      <c r="C955" s="31" t="s">
        <v>44</v>
      </c>
      <c r="D955" s="31" t="s">
        <v>44</v>
      </c>
      <c r="E955" s="31" t="n">
        <v>1</v>
      </c>
      <c r="F955" s="32" t="n">
        <v>5.95</v>
      </c>
      <c r="G955" s="32" t="n">
        <v>5.95</v>
      </c>
      <c r="H955" s="31" t="s">
        <v>45</v>
      </c>
      <c r="I955" s="31" t="s">
        <v>84</v>
      </c>
      <c r="J955" s="31" t="s">
        <v>1307</v>
      </c>
      <c r="K955" s="31" t="s">
        <v>48</v>
      </c>
    </row>
    <row r="956" customFormat="false" ht="15" hidden="false" customHeight="false" outlineLevel="0" collapsed="false">
      <c r="A956" s="31" t="s">
        <v>1308</v>
      </c>
      <c r="B956" s="31" t="s">
        <v>1309</v>
      </c>
      <c r="C956" s="31" t="s">
        <v>50</v>
      </c>
      <c r="D956" s="31" t="s">
        <v>51</v>
      </c>
      <c r="E956" s="31" t="n">
        <v>1</v>
      </c>
      <c r="F956" s="32" t="n">
        <v>-10</v>
      </c>
      <c r="G956" s="32" t="n">
        <v>-10</v>
      </c>
      <c r="H956" s="31" t="s">
        <v>45</v>
      </c>
      <c r="I956" s="31" t="s">
        <v>58</v>
      </c>
      <c r="J956" s="31" t="s">
        <v>1310</v>
      </c>
      <c r="K956" s="31" t="s">
        <v>48</v>
      </c>
    </row>
    <row r="957" customFormat="false" ht="15" hidden="false" customHeight="false" outlineLevel="0" collapsed="false">
      <c r="A957" s="31" t="s">
        <v>1308</v>
      </c>
      <c r="B957" s="31" t="s">
        <v>1311</v>
      </c>
      <c r="C957" s="31" t="s">
        <v>20</v>
      </c>
      <c r="D957" s="31" t="s">
        <v>78</v>
      </c>
      <c r="E957" s="31" t="n">
        <v>2</v>
      </c>
      <c r="F957" s="32" t="n">
        <v>89</v>
      </c>
      <c r="G957" s="32" t="n">
        <v>178</v>
      </c>
      <c r="H957" s="31" t="s">
        <v>45</v>
      </c>
      <c r="I957" s="31" t="s">
        <v>58</v>
      </c>
      <c r="J957" s="31" t="s">
        <v>1310</v>
      </c>
      <c r="K957" s="31" t="s">
        <v>48</v>
      </c>
    </row>
    <row r="958" customFormat="false" ht="15" hidden="false" customHeight="false" outlineLevel="0" collapsed="false">
      <c r="A958" s="31" t="s">
        <v>1312</v>
      </c>
      <c r="B958" s="31" t="s">
        <v>1313</v>
      </c>
      <c r="C958" s="31" t="s">
        <v>20</v>
      </c>
      <c r="D958" s="31" t="s">
        <v>56</v>
      </c>
      <c r="E958" s="31" t="n">
        <v>1</v>
      </c>
      <c r="F958" s="32" t="n">
        <v>45</v>
      </c>
      <c r="G958" s="32" t="n">
        <v>45</v>
      </c>
      <c r="H958" s="31" t="s">
        <v>45</v>
      </c>
      <c r="I958" s="31" t="s">
        <v>58</v>
      </c>
      <c r="J958" s="31" t="s">
        <v>1314</v>
      </c>
      <c r="K958" s="31" t="s">
        <v>48</v>
      </c>
    </row>
    <row r="959" customFormat="false" ht="15" hidden="false" customHeight="false" outlineLevel="0" collapsed="false">
      <c r="A959" s="31" t="s">
        <v>1312</v>
      </c>
      <c r="B959" s="31" t="s">
        <v>1313</v>
      </c>
      <c r="C959" s="31" t="s">
        <v>20</v>
      </c>
      <c r="D959" s="31" t="s">
        <v>123</v>
      </c>
      <c r="E959" s="31" t="n">
        <v>1</v>
      </c>
      <c r="F959" s="32" t="n">
        <v>75</v>
      </c>
      <c r="G959" s="32" t="n">
        <v>75</v>
      </c>
      <c r="H959" s="31" t="s">
        <v>45</v>
      </c>
      <c r="I959" s="31" t="s">
        <v>58</v>
      </c>
      <c r="J959" s="31" t="s">
        <v>1314</v>
      </c>
      <c r="K959" s="31" t="s">
        <v>48</v>
      </c>
    </row>
    <row r="960" customFormat="false" ht="15" hidden="false" customHeight="false" outlineLevel="0" collapsed="false">
      <c r="A960" s="31" t="s">
        <v>1315</v>
      </c>
      <c r="B960" s="31" t="s">
        <v>1316</v>
      </c>
      <c r="C960" s="31" t="s">
        <v>20</v>
      </c>
      <c r="D960" s="31" t="s">
        <v>66</v>
      </c>
      <c r="E960" s="31" t="n">
        <v>2</v>
      </c>
      <c r="F960" s="32" t="n">
        <v>32</v>
      </c>
      <c r="G960" s="32" t="n">
        <v>64</v>
      </c>
      <c r="H960" s="31" t="s">
        <v>45</v>
      </c>
      <c r="I960" s="31" t="s">
        <v>58</v>
      </c>
      <c r="J960" s="31" t="s">
        <v>1046</v>
      </c>
      <c r="K960" s="31" t="s">
        <v>48</v>
      </c>
    </row>
    <row r="961" customFormat="false" ht="15" hidden="false" customHeight="false" outlineLevel="0" collapsed="false">
      <c r="A961" s="31" t="s">
        <v>1315</v>
      </c>
      <c r="B961" s="31" t="s">
        <v>1316</v>
      </c>
      <c r="C961" s="31" t="s">
        <v>44</v>
      </c>
      <c r="D961" s="31" t="s">
        <v>44</v>
      </c>
      <c r="E961" s="31" t="n">
        <v>1</v>
      </c>
      <c r="F961" s="32" t="n">
        <v>4.95</v>
      </c>
      <c r="G961" s="32" t="n">
        <v>4.95</v>
      </c>
      <c r="H961" s="31" t="s">
        <v>45</v>
      </c>
      <c r="I961" s="31" t="s">
        <v>58</v>
      </c>
      <c r="J961" s="31" t="s">
        <v>1046</v>
      </c>
      <c r="K961" s="31" t="s">
        <v>48</v>
      </c>
    </row>
    <row r="962" customFormat="false" ht="15" hidden="false" customHeight="false" outlineLevel="0" collapsed="false">
      <c r="A962" s="31" t="s">
        <v>1317</v>
      </c>
      <c r="B962" s="31" t="s">
        <v>1318</v>
      </c>
      <c r="C962" s="31" t="s">
        <v>20</v>
      </c>
      <c r="D962" s="31" t="s">
        <v>63</v>
      </c>
      <c r="E962" s="31" t="n">
        <v>1</v>
      </c>
      <c r="F962" s="32" t="n">
        <v>14</v>
      </c>
      <c r="G962" s="32" t="n">
        <v>14</v>
      </c>
      <c r="H962" s="31" t="s">
        <v>45</v>
      </c>
      <c r="I962" s="31" t="s">
        <v>84</v>
      </c>
      <c r="J962" s="31" t="s">
        <v>1319</v>
      </c>
      <c r="K962" s="31" t="s">
        <v>202</v>
      </c>
    </row>
    <row r="963" customFormat="false" ht="15" hidden="false" customHeight="false" outlineLevel="0" collapsed="false">
      <c r="A963" s="31" t="s">
        <v>1317</v>
      </c>
      <c r="B963" s="31" t="s">
        <v>1320</v>
      </c>
      <c r="C963" s="31" t="s">
        <v>44</v>
      </c>
      <c r="D963" s="31" t="s">
        <v>44</v>
      </c>
      <c r="E963" s="31" t="n">
        <v>1</v>
      </c>
      <c r="F963" s="32" t="n">
        <v>3.95</v>
      </c>
      <c r="G963" s="32" t="n">
        <v>3.95</v>
      </c>
      <c r="H963" s="31" t="s">
        <v>45</v>
      </c>
      <c r="I963" s="31" t="s">
        <v>84</v>
      </c>
      <c r="J963" s="31" t="s">
        <v>1319</v>
      </c>
      <c r="K963" s="31" t="s">
        <v>48</v>
      </c>
    </row>
    <row r="964" customFormat="false" ht="15" hidden="false" customHeight="false" outlineLevel="0" collapsed="false">
      <c r="A964" s="31" t="s">
        <v>1321</v>
      </c>
      <c r="B964" s="31" t="s">
        <v>1322</v>
      </c>
      <c r="C964" s="31" t="s">
        <v>20</v>
      </c>
      <c r="D964" s="31" t="s">
        <v>87</v>
      </c>
      <c r="E964" s="31" t="n">
        <v>2</v>
      </c>
      <c r="F964" s="32" t="n">
        <v>28</v>
      </c>
      <c r="G964" s="32" t="n">
        <v>56</v>
      </c>
      <c r="H964" s="31" t="s">
        <v>57</v>
      </c>
      <c r="I964" s="31" t="s">
        <v>58</v>
      </c>
      <c r="J964" s="31" t="s">
        <v>1323</v>
      </c>
      <c r="K964" s="31" t="s">
        <v>48</v>
      </c>
    </row>
    <row r="965" customFormat="false" ht="15" hidden="false" customHeight="false" outlineLevel="0" collapsed="false">
      <c r="A965" s="31" t="s">
        <v>1321</v>
      </c>
      <c r="B965" s="31" t="s">
        <v>1322</v>
      </c>
      <c r="C965" s="31" t="s">
        <v>20</v>
      </c>
      <c r="D965" s="31" t="s">
        <v>78</v>
      </c>
      <c r="E965" s="31" t="n">
        <v>1</v>
      </c>
      <c r="F965" s="32" t="n">
        <v>89</v>
      </c>
      <c r="G965" s="32" t="n">
        <v>89</v>
      </c>
      <c r="H965" s="31" t="s">
        <v>57</v>
      </c>
      <c r="I965" s="31" t="s">
        <v>58</v>
      </c>
      <c r="J965" s="31" t="s">
        <v>1323</v>
      </c>
      <c r="K965" s="31" t="s">
        <v>48</v>
      </c>
    </row>
    <row r="966" customFormat="false" ht="15" hidden="false" customHeight="false" outlineLevel="0" collapsed="false">
      <c r="A966" s="31" t="s">
        <v>1324</v>
      </c>
      <c r="B966" s="31" t="s">
        <v>1325</v>
      </c>
      <c r="C966" s="31" t="s">
        <v>20</v>
      </c>
      <c r="D966" s="31" t="s">
        <v>123</v>
      </c>
      <c r="E966" s="31" t="n">
        <v>2</v>
      </c>
      <c r="F966" s="32" t="n">
        <v>75</v>
      </c>
      <c r="G966" s="32" t="n">
        <v>150</v>
      </c>
      <c r="H966" s="31" t="s">
        <v>45</v>
      </c>
      <c r="I966" s="31" t="s">
        <v>58</v>
      </c>
      <c r="J966" s="31" t="s">
        <v>1326</v>
      </c>
      <c r="K966" s="31" t="s">
        <v>48</v>
      </c>
    </row>
    <row r="967" customFormat="false" ht="15" hidden="false" customHeight="false" outlineLevel="0" collapsed="false">
      <c r="A967" s="31" t="s">
        <v>1324</v>
      </c>
      <c r="B967" s="31" t="s">
        <v>1327</v>
      </c>
      <c r="C967" s="31" t="s">
        <v>20</v>
      </c>
      <c r="D967" s="31" t="s">
        <v>73</v>
      </c>
      <c r="E967" s="31" t="n">
        <v>1</v>
      </c>
      <c r="F967" s="32" t="n">
        <v>69</v>
      </c>
      <c r="G967" s="32" t="n">
        <v>69</v>
      </c>
      <c r="H967" s="31" t="s">
        <v>45</v>
      </c>
      <c r="I967" s="31" t="s">
        <v>58</v>
      </c>
      <c r="J967" s="31" t="s">
        <v>1326</v>
      </c>
      <c r="K967" s="31" t="s">
        <v>48</v>
      </c>
    </row>
    <row r="968" customFormat="false" ht="15" hidden="false" customHeight="false" outlineLevel="0" collapsed="false">
      <c r="A968" s="31" t="s">
        <v>1324</v>
      </c>
      <c r="B968" s="31" t="s">
        <v>1325</v>
      </c>
      <c r="C968" s="31" t="s">
        <v>50</v>
      </c>
      <c r="D968" s="31" t="s">
        <v>51</v>
      </c>
      <c r="E968" s="31" t="n">
        <v>1</v>
      </c>
      <c r="F968" s="32" t="n">
        <v>-15</v>
      </c>
      <c r="G968" s="32" t="n">
        <v>-15</v>
      </c>
      <c r="H968" s="31" t="s">
        <v>45</v>
      </c>
      <c r="I968" s="31" t="s">
        <v>58</v>
      </c>
      <c r="J968" s="31" t="s">
        <v>1326</v>
      </c>
      <c r="K968" s="31" t="s">
        <v>48</v>
      </c>
    </row>
    <row r="969" customFormat="false" ht="15" hidden="false" customHeight="false" outlineLevel="0" collapsed="false">
      <c r="A969" s="31" t="s">
        <v>1324</v>
      </c>
      <c r="B969" s="31" t="s">
        <v>1325</v>
      </c>
      <c r="C969" s="31" t="s">
        <v>20</v>
      </c>
      <c r="D969" s="31" t="s">
        <v>53</v>
      </c>
      <c r="E969" s="31" t="n">
        <v>1</v>
      </c>
      <c r="F969" s="32" t="n">
        <v>39</v>
      </c>
      <c r="G969" s="32" t="n">
        <v>39</v>
      </c>
      <c r="H969" s="31" t="s">
        <v>45</v>
      </c>
      <c r="I969" s="31" t="s">
        <v>58</v>
      </c>
      <c r="J969" s="31" t="s">
        <v>1326</v>
      </c>
      <c r="K969" s="31" t="s">
        <v>48</v>
      </c>
    </row>
    <row r="970" customFormat="false" ht="15" hidden="false" customHeight="false" outlineLevel="0" collapsed="false">
      <c r="A970" s="31" t="s">
        <v>1324</v>
      </c>
      <c r="B970" s="31" t="s">
        <v>1325</v>
      </c>
      <c r="C970" s="31" t="s">
        <v>44</v>
      </c>
      <c r="D970" s="31" t="s">
        <v>44</v>
      </c>
      <c r="E970" s="31" t="n">
        <v>1</v>
      </c>
      <c r="F970" s="32" t="n">
        <v>0</v>
      </c>
      <c r="G970" s="32" t="n">
        <v>0</v>
      </c>
      <c r="H970" s="31" t="s">
        <v>45</v>
      </c>
      <c r="I970" s="31" t="s">
        <v>58</v>
      </c>
      <c r="J970" s="31" t="s">
        <v>1326</v>
      </c>
      <c r="K970" s="31" t="s">
        <v>48</v>
      </c>
    </row>
    <row r="971" customFormat="false" ht="15" hidden="false" customHeight="false" outlineLevel="0" collapsed="false">
      <c r="A971" s="31" t="s">
        <v>1324</v>
      </c>
      <c r="B971" s="31" t="s">
        <v>1325</v>
      </c>
      <c r="C971" s="31" t="s">
        <v>50</v>
      </c>
      <c r="D971" s="31" t="s">
        <v>51</v>
      </c>
      <c r="E971" s="31" t="n">
        <v>1</v>
      </c>
      <c r="F971" s="32" t="n">
        <v>-15</v>
      </c>
      <c r="G971" s="32" t="n">
        <v>-15</v>
      </c>
      <c r="H971" s="31" t="s">
        <v>45</v>
      </c>
      <c r="I971" s="31" t="s">
        <v>58</v>
      </c>
      <c r="J971" s="31" t="s">
        <v>1326</v>
      </c>
      <c r="K971" s="31" t="s">
        <v>48</v>
      </c>
    </row>
    <row r="972" customFormat="false" ht="15" hidden="false" customHeight="false" outlineLevel="0" collapsed="false">
      <c r="A972" s="31" t="s">
        <v>1328</v>
      </c>
      <c r="B972" s="31" t="s">
        <v>1329</v>
      </c>
      <c r="C972" s="31" t="s">
        <v>20</v>
      </c>
      <c r="D972" s="31" t="s">
        <v>73</v>
      </c>
      <c r="E972" s="31" t="n">
        <v>1</v>
      </c>
      <c r="F972" s="32" t="n">
        <v>69</v>
      </c>
      <c r="G972" s="32" t="n">
        <v>69</v>
      </c>
      <c r="H972" s="31" t="s">
        <v>57</v>
      </c>
      <c r="I972" s="31" t="s">
        <v>58</v>
      </c>
      <c r="J972" s="31" t="s">
        <v>1330</v>
      </c>
      <c r="K972" s="31" t="s">
        <v>48</v>
      </c>
    </row>
    <row r="973" customFormat="false" ht="15" hidden="false" customHeight="false" outlineLevel="0" collapsed="false">
      <c r="A973" s="31" t="s">
        <v>1328</v>
      </c>
      <c r="B973" s="31" t="s">
        <v>1331</v>
      </c>
      <c r="C973" s="31" t="s">
        <v>20</v>
      </c>
      <c r="D973" s="31" t="s">
        <v>53</v>
      </c>
      <c r="E973" s="31" t="n">
        <v>1</v>
      </c>
      <c r="F973" s="32" t="n">
        <v>39</v>
      </c>
      <c r="G973" s="32" t="n">
        <v>39</v>
      </c>
      <c r="H973" s="31" t="s">
        <v>57</v>
      </c>
      <c r="I973" s="31" t="s">
        <v>58</v>
      </c>
      <c r="J973" s="31" t="s">
        <v>1330</v>
      </c>
      <c r="K973" s="31" t="s">
        <v>48</v>
      </c>
    </row>
    <row r="974" customFormat="false" ht="15" hidden="false" customHeight="false" outlineLevel="0" collapsed="false">
      <c r="A974" s="31" t="s">
        <v>1328</v>
      </c>
      <c r="B974" s="31" t="s">
        <v>1331</v>
      </c>
      <c r="C974" s="31" t="s">
        <v>20</v>
      </c>
      <c r="D974" s="31" t="s">
        <v>56</v>
      </c>
      <c r="E974" s="31" t="n">
        <v>1</v>
      </c>
      <c r="F974" s="32" t="n">
        <v>45</v>
      </c>
      <c r="G974" s="32" t="n">
        <v>45</v>
      </c>
      <c r="H974" s="31" t="s">
        <v>57</v>
      </c>
      <c r="I974" s="31" t="s">
        <v>58</v>
      </c>
      <c r="J974" s="31" t="s">
        <v>1330</v>
      </c>
      <c r="K974" s="31" t="s">
        <v>48</v>
      </c>
    </row>
    <row r="975" customFormat="false" ht="15" hidden="false" customHeight="false" outlineLevel="0" collapsed="false">
      <c r="A975" s="31" t="s">
        <v>1332</v>
      </c>
      <c r="B975" s="31" t="s">
        <v>1333</v>
      </c>
      <c r="C975" s="31" t="s">
        <v>20</v>
      </c>
      <c r="D975" s="31" t="s">
        <v>123</v>
      </c>
      <c r="E975" s="31" t="n">
        <v>1</v>
      </c>
      <c r="F975" s="32" t="n">
        <v>75</v>
      </c>
      <c r="G975" s="32" t="n">
        <v>75</v>
      </c>
      <c r="H975" s="31" t="s">
        <v>145</v>
      </c>
      <c r="I975" s="31" t="s">
        <v>58</v>
      </c>
      <c r="J975" s="31" t="s">
        <v>1334</v>
      </c>
      <c r="K975" s="31" t="s">
        <v>48</v>
      </c>
    </row>
    <row r="976" customFormat="false" ht="15" hidden="false" customHeight="false" outlineLevel="0" collapsed="false">
      <c r="A976" s="31" t="s">
        <v>1332</v>
      </c>
      <c r="B976" s="31" t="s">
        <v>1333</v>
      </c>
      <c r="C976" s="31" t="s">
        <v>20</v>
      </c>
      <c r="D976" s="31" t="s">
        <v>66</v>
      </c>
      <c r="E976" s="31" t="n">
        <v>2</v>
      </c>
      <c r="F976" s="32" t="n">
        <v>32</v>
      </c>
      <c r="G976" s="32" t="n">
        <v>64</v>
      </c>
      <c r="H976" s="31" t="s">
        <v>145</v>
      </c>
      <c r="I976" s="31" t="s">
        <v>58</v>
      </c>
      <c r="J976" s="31" t="s">
        <v>1334</v>
      </c>
      <c r="K976" s="31" t="s">
        <v>48</v>
      </c>
    </row>
    <row r="977" customFormat="false" ht="15" hidden="false" customHeight="false" outlineLevel="0" collapsed="false">
      <c r="A977" s="31" t="s">
        <v>1332</v>
      </c>
      <c r="B977" s="31" t="s">
        <v>1335</v>
      </c>
      <c r="C977" s="31" t="s">
        <v>44</v>
      </c>
      <c r="D977" s="31" t="s">
        <v>44</v>
      </c>
      <c r="E977" s="31" t="n">
        <v>1</v>
      </c>
      <c r="F977" s="32" t="n">
        <v>0</v>
      </c>
      <c r="G977" s="32" t="n">
        <v>0</v>
      </c>
      <c r="H977" s="31" t="s">
        <v>145</v>
      </c>
      <c r="I977" s="31" t="s">
        <v>58</v>
      </c>
      <c r="J977" s="31" t="s">
        <v>1334</v>
      </c>
      <c r="K977" s="31" t="s">
        <v>48</v>
      </c>
    </row>
    <row r="978" customFormat="false" ht="15" hidden="false" customHeight="false" outlineLevel="0" collapsed="false">
      <c r="A978" s="31" t="s">
        <v>1336</v>
      </c>
      <c r="B978" s="31" t="s">
        <v>1337</v>
      </c>
      <c r="C978" s="31" t="s">
        <v>44</v>
      </c>
      <c r="D978" s="31" t="s">
        <v>44</v>
      </c>
      <c r="E978" s="31" t="n">
        <v>1</v>
      </c>
      <c r="F978" s="32" t="n">
        <v>0</v>
      </c>
      <c r="G978" s="32" t="n">
        <v>0</v>
      </c>
      <c r="H978" s="31" t="s">
        <v>45</v>
      </c>
      <c r="I978" s="31" t="s">
        <v>58</v>
      </c>
      <c r="J978" s="31" t="s">
        <v>1338</v>
      </c>
      <c r="K978" s="31" t="s">
        <v>48</v>
      </c>
    </row>
    <row r="979" customFormat="false" ht="15" hidden="false" customHeight="false" outlineLevel="0" collapsed="false">
      <c r="A979" s="31" t="s">
        <v>1336</v>
      </c>
      <c r="B979" s="31" t="s">
        <v>1337</v>
      </c>
      <c r="C979" s="31" t="s">
        <v>20</v>
      </c>
      <c r="D979" s="31" t="s">
        <v>63</v>
      </c>
      <c r="E979" s="31" t="n">
        <v>1</v>
      </c>
      <c r="F979" s="32" t="n">
        <v>14</v>
      </c>
      <c r="G979" s="32" t="n">
        <v>14</v>
      </c>
      <c r="H979" s="31" t="s">
        <v>45</v>
      </c>
      <c r="I979" s="31" t="s">
        <v>58</v>
      </c>
      <c r="J979" s="31" t="s">
        <v>1338</v>
      </c>
      <c r="K979" s="31" t="s">
        <v>48</v>
      </c>
    </row>
    <row r="980" customFormat="false" ht="15" hidden="false" customHeight="false" outlineLevel="0" collapsed="false">
      <c r="A980" s="31" t="s">
        <v>1215</v>
      </c>
      <c r="B980" s="31" t="s">
        <v>1339</v>
      </c>
      <c r="C980" s="31" t="s">
        <v>20</v>
      </c>
      <c r="D980" s="31" t="s">
        <v>63</v>
      </c>
      <c r="E980" s="31" t="n">
        <v>-1</v>
      </c>
      <c r="F980" s="32" t="n">
        <v>14</v>
      </c>
      <c r="G980" s="32" t="n">
        <v>-14</v>
      </c>
      <c r="H980" s="31" t="s">
        <v>57</v>
      </c>
      <c r="I980" s="31" t="s">
        <v>84</v>
      </c>
      <c r="J980" s="31" t="s">
        <v>684</v>
      </c>
      <c r="K980" s="31" t="s">
        <v>243</v>
      </c>
    </row>
    <row r="981" customFormat="false" ht="15" hidden="false" customHeight="false" outlineLevel="0" collapsed="false">
      <c r="A981" s="31" t="s">
        <v>1340</v>
      </c>
      <c r="B981" s="31" t="s">
        <v>1341</v>
      </c>
      <c r="C981" s="31" t="s">
        <v>20</v>
      </c>
      <c r="D981" s="31" t="s">
        <v>78</v>
      </c>
      <c r="E981" s="31" t="n">
        <v>1</v>
      </c>
      <c r="F981" s="32" t="n">
        <v>71.2</v>
      </c>
      <c r="G981" s="32" t="n">
        <v>71.2</v>
      </c>
      <c r="H981" s="31" t="s">
        <v>45</v>
      </c>
      <c r="I981" s="31" t="s">
        <v>121</v>
      </c>
      <c r="J981" s="31" t="s">
        <v>1342</v>
      </c>
      <c r="K981" s="31" t="s">
        <v>48</v>
      </c>
    </row>
    <row r="982" customFormat="false" ht="15" hidden="false" customHeight="false" outlineLevel="0" collapsed="false">
      <c r="A982" s="31" t="s">
        <v>1340</v>
      </c>
      <c r="B982" s="31" t="s">
        <v>1343</v>
      </c>
      <c r="C982" s="31" t="s">
        <v>44</v>
      </c>
      <c r="D982" s="31" t="s">
        <v>44</v>
      </c>
      <c r="E982" s="31" t="n">
        <v>1</v>
      </c>
      <c r="F982" s="32" t="n">
        <v>4.95</v>
      </c>
      <c r="G982" s="32" t="n">
        <v>4.95</v>
      </c>
      <c r="H982" s="31" t="s">
        <v>45</v>
      </c>
      <c r="I982" s="31" t="s">
        <v>121</v>
      </c>
      <c r="J982" s="31" t="s">
        <v>1342</v>
      </c>
      <c r="K982" s="31" t="s">
        <v>48</v>
      </c>
    </row>
    <row r="983" customFormat="false" ht="15" hidden="false" customHeight="false" outlineLevel="0" collapsed="false">
      <c r="A983" s="31" t="s">
        <v>1340</v>
      </c>
      <c r="B983" s="31" t="s">
        <v>1341</v>
      </c>
      <c r="C983" s="31" t="s">
        <v>20</v>
      </c>
      <c r="D983" s="31" t="s">
        <v>123</v>
      </c>
      <c r="E983" s="31" t="n">
        <v>1</v>
      </c>
      <c r="F983" s="32" t="n">
        <v>75</v>
      </c>
      <c r="G983" s="32" t="n">
        <v>75</v>
      </c>
      <c r="H983" s="31" t="s">
        <v>45</v>
      </c>
      <c r="I983" s="31" t="s">
        <v>121</v>
      </c>
      <c r="J983" s="31" t="s">
        <v>1342</v>
      </c>
      <c r="K983" s="31" t="s">
        <v>48</v>
      </c>
    </row>
    <row r="984" customFormat="false" ht="15" hidden="false" customHeight="false" outlineLevel="0" collapsed="false">
      <c r="A984" s="31" t="s">
        <v>1340</v>
      </c>
      <c r="B984" s="31" t="s">
        <v>1341</v>
      </c>
      <c r="C984" s="31" t="s">
        <v>20</v>
      </c>
      <c r="D984" s="31" t="s">
        <v>53</v>
      </c>
      <c r="E984" s="31" t="n">
        <v>1</v>
      </c>
      <c r="F984" s="32" t="n">
        <v>33.15</v>
      </c>
      <c r="G984" s="32" t="n">
        <v>33.15</v>
      </c>
      <c r="H984" s="31" t="s">
        <v>45</v>
      </c>
      <c r="I984" s="31" t="s">
        <v>121</v>
      </c>
      <c r="J984" s="31" t="s">
        <v>1342</v>
      </c>
      <c r="K984" s="31" t="s">
        <v>48</v>
      </c>
    </row>
    <row r="985" customFormat="false" ht="15" hidden="false" customHeight="false" outlineLevel="0" collapsed="false">
      <c r="A985" s="31" t="s">
        <v>1344</v>
      </c>
      <c r="B985" s="31" t="s">
        <v>1345</v>
      </c>
      <c r="C985" s="31" t="s">
        <v>20</v>
      </c>
      <c r="D985" s="31" t="s">
        <v>56</v>
      </c>
      <c r="E985" s="31" t="n">
        <v>1</v>
      </c>
      <c r="F985" s="32" t="n">
        <v>45</v>
      </c>
      <c r="G985" s="32" t="n">
        <v>45</v>
      </c>
      <c r="H985" s="31" t="s">
        <v>45</v>
      </c>
      <c r="I985" s="31" t="s">
        <v>58</v>
      </c>
      <c r="J985" s="31"/>
      <c r="K985" s="31" t="s">
        <v>48</v>
      </c>
    </row>
    <row r="986" customFormat="false" ht="15" hidden="false" customHeight="false" outlineLevel="0" collapsed="false">
      <c r="A986" s="31" t="s">
        <v>1344</v>
      </c>
      <c r="B986" s="31" t="s">
        <v>1345</v>
      </c>
      <c r="C986" s="31" t="s">
        <v>44</v>
      </c>
      <c r="D986" s="31" t="s">
        <v>44</v>
      </c>
      <c r="E986" s="31" t="n">
        <v>1</v>
      </c>
      <c r="F986" s="32" t="n">
        <v>3.95</v>
      </c>
      <c r="G986" s="32" t="n">
        <v>3.95</v>
      </c>
      <c r="H986" s="31" t="s">
        <v>45</v>
      </c>
      <c r="I986" s="31" t="s">
        <v>58</v>
      </c>
      <c r="J986" s="31"/>
      <c r="K986" s="31" t="s">
        <v>48</v>
      </c>
    </row>
    <row r="987" customFormat="false" ht="15" hidden="false" customHeight="false" outlineLevel="0" collapsed="false">
      <c r="A987" s="31" t="s">
        <v>1344</v>
      </c>
      <c r="B987" s="31" t="s">
        <v>1346</v>
      </c>
      <c r="C987" s="31" t="s">
        <v>20</v>
      </c>
      <c r="D987" s="31" t="s">
        <v>140</v>
      </c>
      <c r="E987" s="31" t="n">
        <v>2</v>
      </c>
      <c r="F987" s="32" t="n">
        <v>26</v>
      </c>
      <c r="G987" s="32" t="n">
        <v>52</v>
      </c>
      <c r="H987" s="31" t="s">
        <v>45</v>
      </c>
      <c r="I987" s="31" t="s">
        <v>58</v>
      </c>
      <c r="J987" s="31"/>
      <c r="K987" s="31" t="s">
        <v>48</v>
      </c>
    </row>
    <row r="988" customFormat="false" ht="15" hidden="false" customHeight="false" outlineLevel="0" collapsed="false">
      <c r="A988" s="31" t="s">
        <v>1344</v>
      </c>
      <c r="B988" s="31" t="s">
        <v>1345</v>
      </c>
      <c r="C988" s="31" t="s">
        <v>20</v>
      </c>
      <c r="D988" s="31" t="s">
        <v>56</v>
      </c>
      <c r="E988" s="31" t="n">
        <v>1</v>
      </c>
      <c r="F988" s="32" t="n">
        <v>45</v>
      </c>
      <c r="G988" s="32" t="n">
        <v>45</v>
      </c>
      <c r="H988" s="31" t="s">
        <v>45</v>
      </c>
      <c r="I988" s="31" t="s">
        <v>58</v>
      </c>
      <c r="J988" s="31"/>
      <c r="K988" s="31" t="s">
        <v>48</v>
      </c>
    </row>
    <row r="989" customFormat="false" ht="15" hidden="false" customHeight="false" outlineLevel="0" collapsed="false">
      <c r="A989" s="31" t="s">
        <v>1347</v>
      </c>
      <c r="B989" s="31" t="s">
        <v>1348</v>
      </c>
      <c r="C989" s="31" t="s">
        <v>20</v>
      </c>
      <c r="D989" s="31" t="s">
        <v>66</v>
      </c>
      <c r="E989" s="31" t="n">
        <v>1</v>
      </c>
      <c r="F989" s="32" t="n">
        <v>32</v>
      </c>
      <c r="G989" s="32" t="n">
        <v>32</v>
      </c>
      <c r="H989" s="31" t="s">
        <v>45</v>
      </c>
      <c r="I989" s="31" t="s">
        <v>58</v>
      </c>
      <c r="J989" s="31" t="s">
        <v>1349</v>
      </c>
      <c r="K989" s="31" t="s">
        <v>48</v>
      </c>
    </row>
    <row r="990" customFormat="false" ht="15" hidden="false" customHeight="false" outlineLevel="0" collapsed="false">
      <c r="A990" s="31" t="s">
        <v>1347</v>
      </c>
      <c r="B990" s="31" t="s">
        <v>1348</v>
      </c>
      <c r="C990" s="31" t="s">
        <v>44</v>
      </c>
      <c r="D990" s="31" t="s">
        <v>44</v>
      </c>
      <c r="E990" s="31" t="n">
        <v>1</v>
      </c>
      <c r="F990" s="32" t="n">
        <v>5.95</v>
      </c>
      <c r="G990" s="32" t="n">
        <v>5.95</v>
      </c>
      <c r="H990" s="31" t="s">
        <v>45</v>
      </c>
      <c r="I990" s="31" t="s">
        <v>58</v>
      </c>
      <c r="J990" s="31" t="s">
        <v>1349</v>
      </c>
      <c r="K990" s="31" t="s">
        <v>48</v>
      </c>
    </row>
    <row r="991" customFormat="false" ht="15" hidden="false" customHeight="false" outlineLevel="0" collapsed="false">
      <c r="A991" s="31" t="s">
        <v>1350</v>
      </c>
      <c r="B991" s="31" t="s">
        <v>1351</v>
      </c>
      <c r="C991" s="31" t="s">
        <v>44</v>
      </c>
      <c r="D991" s="31" t="s">
        <v>44</v>
      </c>
      <c r="E991" s="31" t="n">
        <v>1</v>
      </c>
      <c r="F991" s="32" t="n">
        <v>5.95</v>
      </c>
      <c r="G991" s="32" t="n">
        <v>5.95</v>
      </c>
      <c r="H991" s="31" t="s">
        <v>145</v>
      </c>
      <c r="I991" s="31" t="s">
        <v>58</v>
      </c>
      <c r="J991" s="31" t="s">
        <v>1352</v>
      </c>
      <c r="K991" s="31" t="s">
        <v>48</v>
      </c>
    </row>
    <row r="992" customFormat="false" ht="15" hidden="false" customHeight="false" outlineLevel="0" collapsed="false">
      <c r="A992" s="31" t="s">
        <v>1350</v>
      </c>
      <c r="B992" s="31" t="s">
        <v>1353</v>
      </c>
      <c r="C992" s="31" t="s">
        <v>20</v>
      </c>
      <c r="D992" s="31" t="s">
        <v>73</v>
      </c>
      <c r="E992" s="31" t="n">
        <v>1</v>
      </c>
      <c r="F992" s="32" t="n">
        <v>69</v>
      </c>
      <c r="G992" s="32" t="n">
        <v>69</v>
      </c>
      <c r="H992" s="31" t="s">
        <v>145</v>
      </c>
      <c r="I992" s="31" t="s">
        <v>58</v>
      </c>
      <c r="J992" s="31" t="s">
        <v>1352</v>
      </c>
      <c r="K992" s="31" t="s">
        <v>48</v>
      </c>
    </row>
    <row r="993" customFormat="false" ht="15" hidden="false" customHeight="false" outlineLevel="0" collapsed="false">
      <c r="A993" s="31" t="s">
        <v>1354</v>
      </c>
      <c r="B993" s="31" t="s">
        <v>1355</v>
      </c>
      <c r="C993" s="31" t="s">
        <v>20</v>
      </c>
      <c r="D993" s="31" t="s">
        <v>69</v>
      </c>
      <c r="E993" s="31" t="n">
        <v>2</v>
      </c>
      <c r="F993" s="32" t="n">
        <v>29</v>
      </c>
      <c r="G993" s="32" t="n">
        <v>58</v>
      </c>
      <c r="H993" s="31" t="s">
        <v>57</v>
      </c>
      <c r="I993" s="31" t="s">
        <v>58</v>
      </c>
      <c r="J993" s="31"/>
      <c r="K993" s="31" t="s">
        <v>48</v>
      </c>
    </row>
    <row r="994" customFormat="false" ht="15" hidden="false" customHeight="false" outlineLevel="0" collapsed="false">
      <c r="A994" s="31" t="s">
        <v>1239</v>
      </c>
      <c r="B994" s="31" t="s">
        <v>1356</v>
      </c>
      <c r="C994" s="31" t="s">
        <v>20</v>
      </c>
      <c r="D994" s="31" t="s">
        <v>78</v>
      </c>
      <c r="E994" s="31" t="n">
        <v>-1</v>
      </c>
      <c r="F994" s="32" t="n">
        <v>89</v>
      </c>
      <c r="G994" s="32" t="n">
        <v>-89</v>
      </c>
      <c r="H994" s="31" t="s">
        <v>57</v>
      </c>
      <c r="I994" s="31" t="s">
        <v>58</v>
      </c>
      <c r="J994" s="31"/>
      <c r="K994" s="31" t="s">
        <v>243</v>
      </c>
    </row>
    <row r="995" customFormat="false" ht="15" hidden="false" customHeight="false" outlineLevel="0" collapsed="false">
      <c r="A995" s="31" t="s">
        <v>1357</v>
      </c>
      <c r="B995" s="31" t="s">
        <v>1358</v>
      </c>
      <c r="C995" s="31" t="s">
        <v>44</v>
      </c>
      <c r="D995" s="31" t="s">
        <v>44</v>
      </c>
      <c r="E995" s="31" t="n">
        <v>1</v>
      </c>
      <c r="F995" s="32" t="n">
        <v>5.95</v>
      </c>
      <c r="G995" s="32" t="n">
        <v>5.95</v>
      </c>
      <c r="H995" s="31" t="s">
        <v>45</v>
      </c>
      <c r="I995" s="31" t="s">
        <v>58</v>
      </c>
      <c r="J995" s="31" t="s">
        <v>789</v>
      </c>
      <c r="K995" s="31" t="s">
        <v>48</v>
      </c>
    </row>
    <row r="996" customFormat="false" ht="15" hidden="false" customHeight="false" outlineLevel="0" collapsed="false">
      <c r="A996" s="31" t="s">
        <v>1357</v>
      </c>
      <c r="B996" s="31" t="s">
        <v>1358</v>
      </c>
      <c r="C996" s="31" t="s">
        <v>20</v>
      </c>
      <c r="D996" s="31" t="s">
        <v>53</v>
      </c>
      <c r="E996" s="31" t="n">
        <v>1</v>
      </c>
      <c r="F996" s="32" t="n">
        <v>39</v>
      </c>
      <c r="G996" s="32" t="n">
        <v>39</v>
      </c>
      <c r="H996" s="31" t="s">
        <v>45</v>
      </c>
      <c r="I996" s="31" t="s">
        <v>58</v>
      </c>
      <c r="J996" s="31" t="s">
        <v>789</v>
      </c>
      <c r="K996" s="31" t="s">
        <v>48</v>
      </c>
    </row>
    <row r="997" customFormat="false" ht="15" hidden="false" customHeight="false" outlineLevel="0" collapsed="false">
      <c r="A997" s="31" t="s">
        <v>1357</v>
      </c>
      <c r="B997" s="31" t="s">
        <v>1359</v>
      </c>
      <c r="C997" s="31" t="s">
        <v>20</v>
      </c>
      <c r="D997" s="31" t="s">
        <v>87</v>
      </c>
      <c r="E997" s="31" t="n">
        <v>2</v>
      </c>
      <c r="F997" s="32" t="n">
        <v>35</v>
      </c>
      <c r="G997" s="32" t="n">
        <v>70</v>
      </c>
      <c r="H997" s="31" t="s">
        <v>45</v>
      </c>
      <c r="I997" s="31" t="s">
        <v>58</v>
      </c>
      <c r="J997" s="31" t="s">
        <v>789</v>
      </c>
      <c r="K997" s="31" t="s">
        <v>48</v>
      </c>
    </row>
    <row r="998" customFormat="false" ht="15" hidden="false" customHeight="false" outlineLevel="0" collapsed="false">
      <c r="A998" s="31" t="s">
        <v>1360</v>
      </c>
      <c r="B998" s="31" t="s">
        <v>1361</v>
      </c>
      <c r="C998" s="31" t="s">
        <v>20</v>
      </c>
      <c r="D998" s="31" t="s">
        <v>56</v>
      </c>
      <c r="E998" s="31" t="n">
        <v>1</v>
      </c>
      <c r="F998" s="32" t="n">
        <v>45</v>
      </c>
      <c r="G998" s="32" t="n">
        <v>45</v>
      </c>
      <c r="H998" s="31" t="s">
        <v>45</v>
      </c>
      <c r="I998" s="31" t="s">
        <v>58</v>
      </c>
      <c r="J998" s="31" t="s">
        <v>1307</v>
      </c>
      <c r="K998" s="31" t="s">
        <v>48</v>
      </c>
    </row>
    <row r="999" customFormat="false" ht="15" hidden="false" customHeight="false" outlineLevel="0" collapsed="false">
      <c r="A999" s="31" t="s">
        <v>1360</v>
      </c>
      <c r="B999" s="31" t="s">
        <v>1361</v>
      </c>
      <c r="C999" s="31" t="s">
        <v>44</v>
      </c>
      <c r="D999" s="31" t="s">
        <v>44</v>
      </c>
      <c r="E999" s="31" t="n">
        <v>1</v>
      </c>
      <c r="F999" s="32" t="n">
        <v>3.95</v>
      </c>
      <c r="G999" s="32" t="n">
        <v>3.95</v>
      </c>
      <c r="H999" s="31" t="s">
        <v>45</v>
      </c>
      <c r="I999" s="31" t="s">
        <v>58</v>
      </c>
      <c r="J999" s="31" t="s">
        <v>1307</v>
      </c>
      <c r="K999" s="31" t="s">
        <v>48</v>
      </c>
    </row>
    <row r="1000" customFormat="false" ht="15" hidden="false" customHeight="false" outlineLevel="0" collapsed="false">
      <c r="A1000" s="31" t="s">
        <v>1362</v>
      </c>
      <c r="B1000" s="31" t="s">
        <v>1363</v>
      </c>
      <c r="C1000" s="31" t="s">
        <v>20</v>
      </c>
      <c r="D1000" s="31" t="s">
        <v>73</v>
      </c>
      <c r="E1000" s="31" t="n">
        <v>1</v>
      </c>
      <c r="F1000" s="32" t="n">
        <v>69</v>
      </c>
      <c r="G1000" s="32" t="n">
        <v>69</v>
      </c>
      <c r="H1000" s="31" t="s">
        <v>57</v>
      </c>
      <c r="I1000" s="31" t="s">
        <v>58</v>
      </c>
      <c r="J1000" s="31" t="s">
        <v>1364</v>
      </c>
      <c r="K1000" s="31" t="s">
        <v>48</v>
      </c>
    </row>
    <row r="1001" customFormat="false" ht="15" hidden="false" customHeight="false" outlineLevel="0" collapsed="false">
      <c r="A1001" s="31" t="s">
        <v>1362</v>
      </c>
      <c r="B1001" s="31" t="s">
        <v>1363</v>
      </c>
      <c r="C1001" s="31" t="s">
        <v>44</v>
      </c>
      <c r="D1001" s="31" t="s">
        <v>44</v>
      </c>
      <c r="E1001" s="31" t="n">
        <v>1</v>
      </c>
      <c r="F1001" s="32" t="n">
        <v>3.95</v>
      </c>
      <c r="G1001" s="32" t="n">
        <v>3.95</v>
      </c>
      <c r="H1001" s="31" t="s">
        <v>57</v>
      </c>
      <c r="I1001" s="31" t="s">
        <v>58</v>
      </c>
      <c r="J1001" s="31" t="s">
        <v>1364</v>
      </c>
      <c r="K1001" s="31" t="s">
        <v>48</v>
      </c>
    </row>
    <row r="1002" customFormat="false" ht="15" hidden="false" customHeight="false" outlineLevel="0" collapsed="false">
      <c r="A1002" s="31" t="s">
        <v>1362</v>
      </c>
      <c r="B1002" s="31" t="s">
        <v>1365</v>
      </c>
      <c r="C1002" s="31" t="s">
        <v>20</v>
      </c>
      <c r="D1002" s="31" t="s">
        <v>78</v>
      </c>
      <c r="E1002" s="31" t="n">
        <v>1</v>
      </c>
      <c r="F1002" s="32" t="n">
        <v>89</v>
      </c>
      <c r="G1002" s="32" t="n">
        <v>89</v>
      </c>
      <c r="H1002" s="31" t="s">
        <v>57</v>
      </c>
      <c r="I1002" s="31" t="s">
        <v>58</v>
      </c>
      <c r="J1002" s="31" t="s">
        <v>1364</v>
      </c>
      <c r="K1002" s="31" t="s">
        <v>48</v>
      </c>
    </row>
    <row r="1003" customFormat="false" ht="15" hidden="false" customHeight="false" outlineLevel="0" collapsed="false">
      <c r="A1003" s="31" t="s">
        <v>1248</v>
      </c>
      <c r="B1003" s="31" t="s">
        <v>1366</v>
      </c>
      <c r="C1003" s="31" t="s">
        <v>20</v>
      </c>
      <c r="D1003" s="31" t="s">
        <v>78</v>
      </c>
      <c r="E1003" s="31" t="n">
        <v>-1</v>
      </c>
      <c r="F1003" s="32" t="n">
        <v>89</v>
      </c>
      <c r="G1003" s="32" t="n">
        <v>-89</v>
      </c>
      <c r="H1003" s="31" t="s">
        <v>45</v>
      </c>
      <c r="I1003" s="31" t="s">
        <v>58</v>
      </c>
      <c r="J1003" s="31" t="s">
        <v>1250</v>
      </c>
      <c r="K1003" s="31" t="s">
        <v>243</v>
      </c>
    </row>
    <row r="1004" customFormat="false" ht="15" hidden="false" customHeight="false" outlineLevel="0" collapsed="false">
      <c r="A1004" s="31" t="s">
        <v>1367</v>
      </c>
      <c r="B1004" s="31" t="s">
        <v>1368</v>
      </c>
      <c r="C1004" s="31" t="s">
        <v>20</v>
      </c>
      <c r="D1004" s="31" t="s">
        <v>73</v>
      </c>
      <c r="E1004" s="31" t="n">
        <v>1</v>
      </c>
      <c r="F1004" s="32" t="n">
        <v>69</v>
      </c>
      <c r="G1004" s="32" t="n">
        <v>69</v>
      </c>
      <c r="H1004" s="31" t="s">
        <v>45</v>
      </c>
      <c r="I1004" s="31" t="s">
        <v>58</v>
      </c>
      <c r="J1004" s="31" t="s">
        <v>208</v>
      </c>
      <c r="K1004" s="31" t="s">
        <v>48</v>
      </c>
    </row>
    <row r="1005" customFormat="false" ht="15" hidden="false" customHeight="false" outlineLevel="0" collapsed="false">
      <c r="A1005" s="31" t="s">
        <v>1369</v>
      </c>
      <c r="B1005" s="31" t="s">
        <v>1370</v>
      </c>
      <c r="C1005" s="31" t="s">
        <v>20</v>
      </c>
      <c r="D1005" s="31" t="s">
        <v>53</v>
      </c>
      <c r="E1005" s="31" t="n">
        <v>1</v>
      </c>
      <c r="F1005" s="32" t="n">
        <v>39</v>
      </c>
      <c r="G1005" s="32" t="n">
        <v>39</v>
      </c>
      <c r="H1005" s="31" t="s">
        <v>184</v>
      </c>
      <c r="I1005" s="31" t="s">
        <v>58</v>
      </c>
      <c r="J1005" s="31" t="s">
        <v>1371</v>
      </c>
      <c r="K1005" s="31" t="s">
        <v>48</v>
      </c>
    </row>
    <row r="1006" customFormat="false" ht="15" hidden="false" customHeight="false" outlineLevel="0" collapsed="false">
      <c r="A1006" s="31" t="s">
        <v>1369</v>
      </c>
      <c r="B1006" s="31" t="s">
        <v>1370</v>
      </c>
      <c r="C1006" s="31" t="s">
        <v>44</v>
      </c>
      <c r="D1006" s="31" t="s">
        <v>44</v>
      </c>
      <c r="E1006" s="31" t="n">
        <v>1</v>
      </c>
      <c r="F1006" s="32" t="n">
        <v>3.95</v>
      </c>
      <c r="G1006" s="32" t="n">
        <v>3.95</v>
      </c>
      <c r="H1006" s="31" t="s">
        <v>184</v>
      </c>
      <c r="I1006" s="31" t="s">
        <v>58</v>
      </c>
      <c r="J1006" s="31" t="s">
        <v>1371</v>
      </c>
      <c r="K1006" s="31" t="s">
        <v>48</v>
      </c>
    </row>
    <row r="1007" customFormat="false" ht="15" hidden="false" customHeight="false" outlineLevel="0" collapsed="false">
      <c r="A1007" s="31" t="s">
        <v>1372</v>
      </c>
      <c r="B1007" s="31" t="s">
        <v>1373</v>
      </c>
      <c r="C1007" s="31" t="s">
        <v>20</v>
      </c>
      <c r="D1007" s="31" t="s">
        <v>87</v>
      </c>
      <c r="E1007" s="31" t="n">
        <v>1</v>
      </c>
      <c r="F1007" s="32" t="n">
        <v>35</v>
      </c>
      <c r="G1007" s="32" t="n">
        <v>35</v>
      </c>
      <c r="H1007" s="31" t="s">
        <v>184</v>
      </c>
      <c r="I1007" s="31" t="s">
        <v>58</v>
      </c>
      <c r="J1007" s="31" t="s">
        <v>1374</v>
      </c>
      <c r="K1007" s="31" t="s">
        <v>48</v>
      </c>
    </row>
    <row r="1008" customFormat="false" ht="15" hidden="false" customHeight="false" outlineLevel="0" collapsed="false">
      <c r="A1008" s="31" t="s">
        <v>1372</v>
      </c>
      <c r="B1008" s="31" t="s">
        <v>1375</v>
      </c>
      <c r="C1008" s="31" t="s">
        <v>20</v>
      </c>
      <c r="D1008" s="31" t="s">
        <v>53</v>
      </c>
      <c r="E1008" s="31" t="n">
        <v>1</v>
      </c>
      <c r="F1008" s="32" t="n">
        <v>39</v>
      </c>
      <c r="G1008" s="32" t="n">
        <v>39</v>
      </c>
      <c r="H1008" s="31" t="s">
        <v>184</v>
      </c>
      <c r="I1008" s="31" t="s">
        <v>58</v>
      </c>
      <c r="J1008" s="31" t="s">
        <v>1374</v>
      </c>
      <c r="K1008" s="31" t="s">
        <v>48</v>
      </c>
    </row>
    <row r="1009" customFormat="false" ht="15" hidden="false" customHeight="false" outlineLevel="0" collapsed="false">
      <c r="A1009" s="31" t="s">
        <v>1372</v>
      </c>
      <c r="B1009" s="31" t="s">
        <v>1375</v>
      </c>
      <c r="C1009" s="31" t="s">
        <v>44</v>
      </c>
      <c r="D1009" s="31" t="s">
        <v>44</v>
      </c>
      <c r="E1009" s="31" t="n">
        <v>1</v>
      </c>
      <c r="F1009" s="32" t="n">
        <v>5.95</v>
      </c>
      <c r="G1009" s="32" t="n">
        <v>5.95</v>
      </c>
      <c r="H1009" s="31" t="s">
        <v>184</v>
      </c>
      <c r="I1009" s="31" t="s">
        <v>58</v>
      </c>
      <c r="J1009" s="31" t="s">
        <v>1374</v>
      </c>
      <c r="K1009" s="31" t="s">
        <v>48</v>
      </c>
    </row>
    <row r="1010" customFormat="false" ht="15" hidden="false" customHeight="false" outlineLevel="0" collapsed="false">
      <c r="A1010" s="31" t="s">
        <v>1372</v>
      </c>
      <c r="B1010" s="31" t="s">
        <v>1375</v>
      </c>
      <c r="C1010" s="31" t="s">
        <v>20</v>
      </c>
      <c r="D1010" s="31" t="s">
        <v>73</v>
      </c>
      <c r="E1010" s="31" t="n">
        <v>1</v>
      </c>
      <c r="F1010" s="32" t="n">
        <v>69</v>
      </c>
      <c r="G1010" s="32" t="n">
        <v>69</v>
      </c>
      <c r="H1010" s="31" t="s">
        <v>184</v>
      </c>
      <c r="I1010" s="31" t="s">
        <v>58</v>
      </c>
      <c r="J1010" s="31" t="s">
        <v>1374</v>
      </c>
      <c r="K1010" s="31" t="s">
        <v>48</v>
      </c>
    </row>
    <row r="1011" customFormat="false" ht="15" hidden="false" customHeight="false" outlineLevel="0" collapsed="false">
      <c r="A1011" s="31" t="s">
        <v>1376</v>
      </c>
      <c r="B1011" s="31" t="s">
        <v>1377</v>
      </c>
      <c r="C1011" s="31" t="s">
        <v>20</v>
      </c>
      <c r="D1011" s="31" t="s">
        <v>69</v>
      </c>
      <c r="E1011" s="31" t="n">
        <v>1</v>
      </c>
      <c r="F1011" s="32" t="n">
        <v>29</v>
      </c>
      <c r="G1011" s="32" t="n">
        <v>29</v>
      </c>
      <c r="H1011" s="31" t="s">
        <v>145</v>
      </c>
      <c r="I1011" s="31" t="s">
        <v>58</v>
      </c>
      <c r="J1011" s="31" t="s">
        <v>364</v>
      </c>
      <c r="K1011" s="31" t="s">
        <v>48</v>
      </c>
    </row>
    <row r="1012" customFormat="false" ht="15" hidden="false" customHeight="false" outlineLevel="0" collapsed="false">
      <c r="A1012" s="31" t="s">
        <v>1376</v>
      </c>
      <c r="B1012" s="31" t="s">
        <v>1378</v>
      </c>
      <c r="C1012" s="31" t="s">
        <v>50</v>
      </c>
      <c r="D1012" s="31" t="s">
        <v>51</v>
      </c>
      <c r="E1012" s="31" t="n">
        <v>1</v>
      </c>
      <c r="F1012" s="32" t="n">
        <v>-15</v>
      </c>
      <c r="G1012" s="32" t="n">
        <v>-15</v>
      </c>
      <c r="H1012" s="31" t="s">
        <v>145</v>
      </c>
      <c r="I1012" s="31" t="s">
        <v>58</v>
      </c>
      <c r="J1012" s="31" t="s">
        <v>364</v>
      </c>
      <c r="K1012" s="31" t="s">
        <v>48</v>
      </c>
    </row>
    <row r="1013" customFormat="false" ht="15" hidden="false" customHeight="false" outlineLevel="0" collapsed="false">
      <c r="A1013" s="31" t="s">
        <v>1376</v>
      </c>
      <c r="B1013" s="31" t="s">
        <v>1377</v>
      </c>
      <c r="C1013" s="31" t="s">
        <v>44</v>
      </c>
      <c r="D1013" s="31" t="s">
        <v>44</v>
      </c>
      <c r="E1013" s="31" t="n">
        <v>1</v>
      </c>
      <c r="F1013" s="32" t="n">
        <v>3.95</v>
      </c>
      <c r="G1013" s="32" t="n">
        <v>3.95</v>
      </c>
      <c r="H1013" s="31" t="s">
        <v>145</v>
      </c>
      <c r="I1013" s="31" t="s">
        <v>58</v>
      </c>
      <c r="J1013" s="31" t="s">
        <v>364</v>
      </c>
      <c r="K1013" s="31" t="s">
        <v>48</v>
      </c>
    </row>
    <row r="1014" customFormat="false" ht="15" hidden="false" customHeight="false" outlineLevel="0" collapsed="false">
      <c r="A1014" s="31" t="s">
        <v>1379</v>
      </c>
      <c r="B1014" s="31" t="s">
        <v>1380</v>
      </c>
      <c r="C1014" s="31" t="s">
        <v>20</v>
      </c>
      <c r="D1014" s="31" t="s">
        <v>87</v>
      </c>
      <c r="E1014" s="31" t="n">
        <v>1</v>
      </c>
      <c r="F1014" s="32" t="n">
        <v>35</v>
      </c>
      <c r="G1014" s="32" t="n">
        <v>35</v>
      </c>
      <c r="H1014" s="31" t="s">
        <v>45</v>
      </c>
      <c r="I1014" s="31" t="s">
        <v>104</v>
      </c>
      <c r="J1014" s="31" t="s">
        <v>1381</v>
      </c>
      <c r="K1014" s="31" t="s">
        <v>48</v>
      </c>
    </row>
    <row r="1015" customFormat="false" ht="15" hidden="false" customHeight="false" outlineLevel="0" collapsed="false">
      <c r="A1015" s="31" t="s">
        <v>1379</v>
      </c>
      <c r="B1015" s="31" t="s">
        <v>1380</v>
      </c>
      <c r="C1015" s="31" t="s">
        <v>44</v>
      </c>
      <c r="D1015" s="31" t="s">
        <v>44</v>
      </c>
      <c r="E1015" s="31" t="n">
        <v>1</v>
      </c>
      <c r="F1015" s="32" t="n">
        <v>5.95</v>
      </c>
      <c r="G1015" s="32" t="n">
        <v>5.95</v>
      </c>
      <c r="H1015" s="31" t="s">
        <v>45</v>
      </c>
      <c r="I1015" s="31" t="s">
        <v>104</v>
      </c>
      <c r="J1015" s="31" t="s">
        <v>1381</v>
      </c>
      <c r="K1015" s="31" t="s">
        <v>48</v>
      </c>
    </row>
    <row r="1016" customFormat="false" ht="15" hidden="false" customHeight="false" outlineLevel="0" collapsed="false">
      <c r="A1016" s="31" t="s">
        <v>1382</v>
      </c>
      <c r="B1016" s="31" t="s">
        <v>1383</v>
      </c>
      <c r="C1016" s="31" t="s">
        <v>20</v>
      </c>
      <c r="D1016" s="31" t="s">
        <v>52</v>
      </c>
      <c r="E1016" s="31" t="n">
        <v>1</v>
      </c>
      <c r="F1016" s="32" t="n">
        <v>22</v>
      </c>
      <c r="G1016" s="32" t="n">
        <v>22</v>
      </c>
      <c r="H1016" s="31" t="s">
        <v>45</v>
      </c>
      <c r="I1016" s="31" t="s">
        <v>58</v>
      </c>
      <c r="J1016" s="31" t="s">
        <v>1384</v>
      </c>
      <c r="K1016" s="31" t="s">
        <v>48</v>
      </c>
    </row>
    <row r="1017" customFormat="false" ht="15" hidden="false" customHeight="false" outlineLevel="0" collapsed="false">
      <c r="A1017" s="31" t="s">
        <v>1382</v>
      </c>
      <c r="B1017" s="31" t="s">
        <v>1385</v>
      </c>
      <c r="C1017" s="31" t="s">
        <v>20</v>
      </c>
      <c r="D1017" s="31" t="s">
        <v>73</v>
      </c>
      <c r="E1017" s="31" t="n">
        <v>2</v>
      </c>
      <c r="F1017" s="32" t="n">
        <v>69</v>
      </c>
      <c r="G1017" s="32" t="n">
        <v>138</v>
      </c>
      <c r="H1017" s="31" t="s">
        <v>45</v>
      </c>
      <c r="I1017" s="31" t="s">
        <v>58</v>
      </c>
      <c r="J1017" s="31" t="s">
        <v>1384</v>
      </c>
      <c r="K1017" s="31" t="s">
        <v>48</v>
      </c>
    </row>
    <row r="1018" customFormat="false" ht="15" hidden="false" customHeight="false" outlineLevel="0" collapsed="false">
      <c r="A1018" s="31" t="s">
        <v>1382</v>
      </c>
      <c r="B1018" s="31" t="s">
        <v>1383</v>
      </c>
      <c r="C1018" s="31" t="s">
        <v>44</v>
      </c>
      <c r="D1018" s="31" t="s">
        <v>44</v>
      </c>
      <c r="E1018" s="31" t="n">
        <v>1</v>
      </c>
      <c r="F1018" s="32" t="n">
        <v>4.95</v>
      </c>
      <c r="G1018" s="32" t="n">
        <v>4.95</v>
      </c>
      <c r="H1018" s="31" t="s">
        <v>45</v>
      </c>
      <c r="I1018" s="31" t="s">
        <v>58</v>
      </c>
      <c r="J1018" s="31" t="s">
        <v>1384</v>
      </c>
      <c r="K1018" s="31" t="s">
        <v>48</v>
      </c>
    </row>
    <row r="1019" customFormat="false" ht="15" hidden="false" customHeight="false" outlineLevel="0" collapsed="false">
      <c r="A1019" s="31" t="s">
        <v>1382</v>
      </c>
      <c r="B1019" s="31" t="s">
        <v>1383</v>
      </c>
      <c r="C1019" s="31" t="s">
        <v>50</v>
      </c>
      <c r="D1019" s="31" t="s">
        <v>51</v>
      </c>
      <c r="E1019" s="31" t="n">
        <v>1</v>
      </c>
      <c r="F1019" s="32" t="n">
        <v>-15</v>
      </c>
      <c r="G1019" s="32" t="n">
        <v>-15</v>
      </c>
      <c r="H1019" s="31" t="s">
        <v>45</v>
      </c>
      <c r="I1019" s="31" t="s">
        <v>58</v>
      </c>
      <c r="J1019" s="31" t="s">
        <v>1384</v>
      </c>
      <c r="K1019" s="31" t="s">
        <v>48</v>
      </c>
    </row>
    <row r="1020" customFormat="false" ht="15" hidden="false" customHeight="false" outlineLevel="0" collapsed="false">
      <c r="A1020" s="31" t="s">
        <v>1386</v>
      </c>
      <c r="B1020" s="31" t="s">
        <v>1387</v>
      </c>
      <c r="C1020" s="31" t="s">
        <v>20</v>
      </c>
      <c r="D1020" s="31" t="s">
        <v>78</v>
      </c>
      <c r="E1020" s="31" t="n">
        <v>1</v>
      </c>
      <c r="F1020" s="32" t="n">
        <v>89</v>
      </c>
      <c r="G1020" s="32" t="n">
        <v>89</v>
      </c>
      <c r="H1020" s="31" t="s">
        <v>57</v>
      </c>
      <c r="I1020" s="31" t="s">
        <v>58</v>
      </c>
      <c r="J1020" s="31" t="s">
        <v>1388</v>
      </c>
      <c r="K1020" s="31" t="s">
        <v>48</v>
      </c>
    </row>
    <row r="1021" customFormat="false" ht="15" hidden="false" customHeight="false" outlineLevel="0" collapsed="false">
      <c r="A1021" s="31" t="s">
        <v>1386</v>
      </c>
      <c r="B1021" s="31" t="s">
        <v>1387</v>
      </c>
      <c r="C1021" s="31" t="s">
        <v>44</v>
      </c>
      <c r="D1021" s="31" t="s">
        <v>44</v>
      </c>
      <c r="E1021" s="31" t="n">
        <v>1</v>
      </c>
      <c r="F1021" s="32" t="n">
        <v>3.95</v>
      </c>
      <c r="G1021" s="32" t="n">
        <v>3.95</v>
      </c>
      <c r="H1021" s="31" t="s">
        <v>57</v>
      </c>
      <c r="I1021" s="31" t="s">
        <v>58</v>
      </c>
      <c r="J1021" s="31" t="s">
        <v>1388</v>
      </c>
      <c r="K1021" s="31" t="s">
        <v>48</v>
      </c>
    </row>
    <row r="1022" customFormat="false" ht="15" hidden="false" customHeight="false" outlineLevel="0" collapsed="false">
      <c r="A1022" s="31" t="s">
        <v>1386</v>
      </c>
      <c r="B1022" s="31" t="s">
        <v>1389</v>
      </c>
      <c r="C1022" s="31" t="s">
        <v>20</v>
      </c>
      <c r="D1022" s="31" t="s">
        <v>140</v>
      </c>
      <c r="E1022" s="31" t="n">
        <v>1</v>
      </c>
      <c r="F1022" s="32" t="n">
        <v>26</v>
      </c>
      <c r="G1022" s="32" t="n">
        <v>26</v>
      </c>
      <c r="H1022" s="31" t="s">
        <v>57</v>
      </c>
      <c r="I1022" s="31" t="s">
        <v>58</v>
      </c>
      <c r="J1022" s="31" t="s">
        <v>1388</v>
      </c>
      <c r="K1022" s="31" t="s">
        <v>48</v>
      </c>
    </row>
    <row r="1023" customFormat="false" ht="15" hidden="false" customHeight="false" outlineLevel="0" collapsed="false">
      <c r="A1023" s="31" t="s">
        <v>1390</v>
      </c>
      <c r="B1023" s="31" t="s">
        <v>1391</v>
      </c>
      <c r="C1023" s="31" t="s">
        <v>20</v>
      </c>
      <c r="D1023" s="31" t="s">
        <v>123</v>
      </c>
      <c r="E1023" s="31" t="n">
        <v>1</v>
      </c>
      <c r="F1023" s="32" t="n">
        <v>75</v>
      </c>
      <c r="G1023" s="32" t="n">
        <v>75</v>
      </c>
      <c r="H1023" s="31" t="s">
        <v>45</v>
      </c>
      <c r="I1023" s="31" t="s">
        <v>58</v>
      </c>
      <c r="J1023" s="31"/>
      <c r="K1023" s="31" t="s">
        <v>48</v>
      </c>
    </row>
    <row r="1024" customFormat="false" ht="15" hidden="false" customHeight="false" outlineLevel="0" collapsed="false">
      <c r="A1024" s="31" t="s">
        <v>1390</v>
      </c>
      <c r="B1024" s="31" t="s">
        <v>1391</v>
      </c>
      <c r="C1024" s="31" t="s">
        <v>44</v>
      </c>
      <c r="D1024" s="31" t="s">
        <v>44</v>
      </c>
      <c r="E1024" s="31" t="n">
        <v>1</v>
      </c>
      <c r="F1024" s="32" t="n">
        <v>4.95</v>
      </c>
      <c r="G1024" s="32" t="n">
        <v>4.95</v>
      </c>
      <c r="H1024" s="31" t="s">
        <v>45</v>
      </c>
      <c r="I1024" s="31" t="s">
        <v>58</v>
      </c>
      <c r="J1024" s="31"/>
      <c r="K1024" s="31" t="s">
        <v>48</v>
      </c>
    </row>
    <row r="1025" customFormat="false" ht="15" hidden="false" customHeight="false" outlineLevel="0" collapsed="false">
      <c r="A1025" s="31" t="s">
        <v>1392</v>
      </c>
      <c r="B1025" s="31" t="s">
        <v>1393</v>
      </c>
      <c r="C1025" s="31" t="s">
        <v>20</v>
      </c>
      <c r="D1025" s="31" t="s">
        <v>87</v>
      </c>
      <c r="E1025" s="31" t="n">
        <v>1</v>
      </c>
      <c r="F1025" s="32" t="n">
        <v>35</v>
      </c>
      <c r="G1025" s="32" t="n">
        <v>35</v>
      </c>
      <c r="H1025" s="31" t="s">
        <v>45</v>
      </c>
      <c r="I1025" s="31" t="s">
        <v>155</v>
      </c>
      <c r="J1025" s="31" t="s">
        <v>1394</v>
      </c>
      <c r="K1025" s="31" t="s">
        <v>48</v>
      </c>
    </row>
    <row r="1026" customFormat="false" ht="15" hidden="false" customHeight="false" outlineLevel="0" collapsed="false">
      <c r="A1026" s="31" t="s">
        <v>1392</v>
      </c>
      <c r="B1026" s="31" t="s">
        <v>1393</v>
      </c>
      <c r="C1026" s="31" t="s">
        <v>44</v>
      </c>
      <c r="D1026" s="31" t="s">
        <v>44</v>
      </c>
      <c r="E1026" s="31" t="n">
        <v>1</v>
      </c>
      <c r="F1026" s="32" t="n">
        <v>3.95</v>
      </c>
      <c r="G1026" s="32" t="n">
        <v>3.95</v>
      </c>
      <c r="H1026" s="31" t="s">
        <v>45</v>
      </c>
      <c r="I1026" s="31" t="s">
        <v>155</v>
      </c>
      <c r="J1026" s="31" t="s">
        <v>1394</v>
      </c>
      <c r="K1026" s="31" t="s">
        <v>48</v>
      </c>
    </row>
    <row r="1027" customFormat="false" ht="15" hidden="false" customHeight="false" outlineLevel="0" collapsed="false">
      <c r="A1027" s="31" t="s">
        <v>1395</v>
      </c>
      <c r="B1027" s="31" t="s">
        <v>1396</v>
      </c>
      <c r="C1027" s="31" t="s">
        <v>20</v>
      </c>
      <c r="D1027" s="31" t="s">
        <v>78</v>
      </c>
      <c r="E1027" s="31" t="n">
        <v>1</v>
      </c>
      <c r="F1027" s="32" t="n">
        <v>89</v>
      </c>
      <c r="G1027" s="32" t="n">
        <v>89</v>
      </c>
      <c r="H1027" s="31" t="s">
        <v>45</v>
      </c>
      <c r="I1027" s="31" t="s">
        <v>58</v>
      </c>
      <c r="J1027" s="31" t="s">
        <v>1397</v>
      </c>
      <c r="K1027" s="31" t="s">
        <v>48</v>
      </c>
    </row>
    <row r="1028" customFormat="false" ht="15" hidden="false" customHeight="false" outlineLevel="0" collapsed="false">
      <c r="A1028" s="31" t="s">
        <v>1395</v>
      </c>
      <c r="B1028" s="31" t="s">
        <v>1398</v>
      </c>
      <c r="C1028" s="31" t="s">
        <v>20</v>
      </c>
      <c r="D1028" s="31" t="s">
        <v>66</v>
      </c>
      <c r="E1028" s="31" t="n">
        <v>2</v>
      </c>
      <c r="F1028" s="32" t="n">
        <v>32</v>
      </c>
      <c r="G1028" s="32" t="n">
        <v>64</v>
      </c>
      <c r="H1028" s="31" t="s">
        <v>45</v>
      </c>
      <c r="I1028" s="31" t="s">
        <v>58</v>
      </c>
      <c r="J1028" s="31" t="s">
        <v>1397</v>
      </c>
      <c r="K1028" s="31" t="s">
        <v>48</v>
      </c>
    </row>
    <row r="1029" customFormat="false" ht="15" hidden="false" customHeight="false" outlineLevel="0" collapsed="false">
      <c r="A1029" s="31" t="s">
        <v>1395</v>
      </c>
      <c r="B1029" s="31" t="s">
        <v>1398</v>
      </c>
      <c r="C1029" s="31" t="s">
        <v>20</v>
      </c>
      <c r="D1029" s="31" t="s">
        <v>56</v>
      </c>
      <c r="E1029" s="31" t="n">
        <v>1</v>
      </c>
      <c r="F1029" s="32" t="n">
        <v>45</v>
      </c>
      <c r="G1029" s="32" t="n">
        <v>45</v>
      </c>
      <c r="H1029" s="31" t="s">
        <v>45</v>
      </c>
      <c r="I1029" s="31" t="s">
        <v>58</v>
      </c>
      <c r="J1029" s="31" t="s">
        <v>1397</v>
      </c>
      <c r="K1029" s="31" t="s">
        <v>48</v>
      </c>
    </row>
    <row r="1030" customFormat="false" ht="15" hidden="false" customHeight="false" outlineLevel="0" collapsed="false">
      <c r="A1030" s="31" t="s">
        <v>1399</v>
      </c>
      <c r="B1030" s="31" t="s">
        <v>1400</v>
      </c>
      <c r="C1030" s="31" t="s">
        <v>20</v>
      </c>
      <c r="D1030" s="31" t="s">
        <v>73</v>
      </c>
      <c r="E1030" s="31" t="n">
        <v>1</v>
      </c>
      <c r="F1030" s="32" t="n">
        <v>62.1</v>
      </c>
      <c r="G1030" s="32" t="n">
        <v>62.1</v>
      </c>
      <c r="H1030" s="31" t="s">
        <v>45</v>
      </c>
      <c r="I1030" s="31" t="s">
        <v>84</v>
      </c>
      <c r="J1030" s="31" t="s">
        <v>1401</v>
      </c>
      <c r="K1030" s="31" t="s">
        <v>48</v>
      </c>
    </row>
    <row r="1031" customFormat="false" ht="15" hidden="false" customHeight="false" outlineLevel="0" collapsed="false">
      <c r="A1031" s="31" t="s">
        <v>1399</v>
      </c>
      <c r="B1031" s="31" t="s">
        <v>1400</v>
      </c>
      <c r="C1031" s="31" t="s">
        <v>20</v>
      </c>
      <c r="D1031" s="31" t="s">
        <v>56</v>
      </c>
      <c r="E1031" s="31" t="n">
        <v>1</v>
      </c>
      <c r="F1031" s="32" t="n">
        <v>45</v>
      </c>
      <c r="G1031" s="32" t="n">
        <v>45</v>
      </c>
      <c r="H1031" s="31" t="s">
        <v>45</v>
      </c>
      <c r="I1031" s="31" t="s">
        <v>84</v>
      </c>
      <c r="J1031" s="31" t="s">
        <v>1401</v>
      </c>
      <c r="K1031" s="31" t="s">
        <v>48</v>
      </c>
    </row>
    <row r="1032" customFormat="false" ht="15" hidden="false" customHeight="false" outlineLevel="0" collapsed="false">
      <c r="A1032" s="31" t="s">
        <v>1399</v>
      </c>
      <c r="B1032" s="31" t="s">
        <v>1402</v>
      </c>
      <c r="C1032" s="31" t="s">
        <v>44</v>
      </c>
      <c r="D1032" s="31" t="s">
        <v>44</v>
      </c>
      <c r="E1032" s="31" t="n">
        <v>1</v>
      </c>
      <c r="F1032" s="32" t="n">
        <v>4.95</v>
      </c>
      <c r="G1032" s="32" t="n">
        <v>4.95</v>
      </c>
      <c r="H1032" s="31" t="s">
        <v>45</v>
      </c>
      <c r="I1032" s="31" t="s">
        <v>84</v>
      </c>
      <c r="J1032" s="31" t="s">
        <v>1401</v>
      </c>
      <c r="K1032" s="31" t="s">
        <v>48</v>
      </c>
    </row>
    <row r="1033" customFormat="false" ht="15" hidden="false" customHeight="false" outlineLevel="0" collapsed="false">
      <c r="A1033" s="31" t="s">
        <v>1403</v>
      </c>
      <c r="B1033" s="31" t="s">
        <v>1404</v>
      </c>
      <c r="C1033" s="31" t="s">
        <v>44</v>
      </c>
      <c r="D1033" s="31" t="s">
        <v>44</v>
      </c>
      <c r="E1033" s="31" t="n">
        <v>1</v>
      </c>
      <c r="F1033" s="32" t="n">
        <v>3.95</v>
      </c>
      <c r="G1033" s="32" t="n">
        <v>3.95</v>
      </c>
      <c r="H1033" s="31" t="s">
        <v>57</v>
      </c>
      <c r="I1033" s="31" t="s">
        <v>58</v>
      </c>
      <c r="J1033" s="31" t="s">
        <v>59</v>
      </c>
      <c r="K1033" s="31" t="s">
        <v>48</v>
      </c>
    </row>
    <row r="1034" customFormat="false" ht="15" hidden="false" customHeight="false" outlineLevel="0" collapsed="false">
      <c r="A1034" s="31" t="s">
        <v>1403</v>
      </c>
      <c r="B1034" s="31" t="s">
        <v>1404</v>
      </c>
      <c r="C1034" s="31" t="s">
        <v>20</v>
      </c>
      <c r="D1034" s="31" t="s">
        <v>78</v>
      </c>
      <c r="E1034" s="31" t="n">
        <v>2</v>
      </c>
      <c r="F1034" s="32" t="n">
        <v>89</v>
      </c>
      <c r="G1034" s="32" t="n">
        <v>178</v>
      </c>
      <c r="H1034" s="31" t="s">
        <v>57</v>
      </c>
      <c r="I1034" s="31" t="s">
        <v>58</v>
      </c>
      <c r="J1034" s="31" t="s">
        <v>59</v>
      </c>
      <c r="K1034" s="31" t="s">
        <v>48</v>
      </c>
    </row>
    <row r="1035" customFormat="false" ht="15" hidden="false" customHeight="false" outlineLevel="0" collapsed="false">
      <c r="A1035" s="31" t="s">
        <v>1328</v>
      </c>
      <c r="B1035" s="31" t="s">
        <v>1405</v>
      </c>
      <c r="C1035" s="31" t="s">
        <v>20</v>
      </c>
      <c r="D1035" s="31" t="s">
        <v>56</v>
      </c>
      <c r="E1035" s="31" t="n">
        <v>-1</v>
      </c>
      <c r="F1035" s="32" t="n">
        <v>45</v>
      </c>
      <c r="G1035" s="32" t="n">
        <v>-45</v>
      </c>
      <c r="H1035" s="31" t="s">
        <v>57</v>
      </c>
      <c r="I1035" s="31" t="s">
        <v>58</v>
      </c>
      <c r="J1035" s="31" t="s">
        <v>1330</v>
      </c>
      <c r="K1035" s="31" t="s">
        <v>243</v>
      </c>
    </row>
    <row r="1036" customFormat="false" ht="15" hidden="false" customHeight="false" outlineLevel="0" collapsed="false">
      <c r="A1036" s="31" t="s">
        <v>1406</v>
      </c>
      <c r="B1036" s="31" t="s">
        <v>1407</v>
      </c>
      <c r="C1036" s="31" t="s">
        <v>20</v>
      </c>
      <c r="D1036" s="31" t="s">
        <v>123</v>
      </c>
      <c r="E1036" s="31" t="n">
        <v>2</v>
      </c>
      <c r="F1036" s="32" t="n">
        <v>75</v>
      </c>
      <c r="G1036" s="32" t="n">
        <v>150</v>
      </c>
      <c r="H1036" s="31" t="s">
        <v>45</v>
      </c>
      <c r="I1036" s="31" t="s">
        <v>58</v>
      </c>
      <c r="J1036" s="31" t="s">
        <v>1408</v>
      </c>
      <c r="K1036" s="31" t="s">
        <v>48</v>
      </c>
    </row>
    <row r="1037" customFormat="false" ht="15" hidden="false" customHeight="false" outlineLevel="0" collapsed="false">
      <c r="A1037" s="31" t="s">
        <v>1406</v>
      </c>
      <c r="B1037" s="31" t="s">
        <v>1409</v>
      </c>
      <c r="C1037" s="31" t="s">
        <v>20</v>
      </c>
      <c r="D1037" s="31" t="s">
        <v>56</v>
      </c>
      <c r="E1037" s="31" t="n">
        <v>2</v>
      </c>
      <c r="F1037" s="32" t="n">
        <v>45</v>
      </c>
      <c r="G1037" s="32" t="n">
        <v>90</v>
      </c>
      <c r="H1037" s="31" t="s">
        <v>45</v>
      </c>
      <c r="I1037" s="31" t="s">
        <v>58</v>
      </c>
      <c r="J1037" s="31" t="s">
        <v>1408</v>
      </c>
      <c r="K1037" s="31" t="s">
        <v>48</v>
      </c>
    </row>
    <row r="1038" customFormat="false" ht="15" hidden="false" customHeight="false" outlineLevel="0" collapsed="false">
      <c r="A1038" s="31" t="s">
        <v>1406</v>
      </c>
      <c r="B1038" s="31" t="s">
        <v>1407</v>
      </c>
      <c r="C1038" s="31" t="s">
        <v>44</v>
      </c>
      <c r="D1038" s="31" t="s">
        <v>44</v>
      </c>
      <c r="E1038" s="31" t="n">
        <v>1</v>
      </c>
      <c r="F1038" s="32" t="n">
        <v>5.95</v>
      </c>
      <c r="G1038" s="32" t="n">
        <v>5.95</v>
      </c>
      <c r="H1038" s="31" t="s">
        <v>45</v>
      </c>
      <c r="I1038" s="31" t="s">
        <v>58</v>
      </c>
      <c r="J1038" s="31" t="s">
        <v>1408</v>
      </c>
      <c r="K1038" s="31" t="s">
        <v>48</v>
      </c>
    </row>
    <row r="1039" customFormat="false" ht="15" hidden="false" customHeight="false" outlineLevel="0" collapsed="false">
      <c r="A1039" s="31" t="s">
        <v>1410</v>
      </c>
      <c r="B1039" s="31" t="s">
        <v>1411</v>
      </c>
      <c r="C1039" s="31" t="s">
        <v>20</v>
      </c>
      <c r="D1039" s="31" t="s">
        <v>140</v>
      </c>
      <c r="E1039" s="31" t="n">
        <v>3</v>
      </c>
      <c r="F1039" s="32" t="n">
        <v>22.1</v>
      </c>
      <c r="G1039" s="32" t="n">
        <v>66.3</v>
      </c>
      <c r="H1039" s="31" t="s">
        <v>45</v>
      </c>
      <c r="I1039" s="31" t="s">
        <v>58</v>
      </c>
      <c r="J1039" s="31" t="s">
        <v>1412</v>
      </c>
      <c r="K1039" s="31" t="s">
        <v>48</v>
      </c>
    </row>
    <row r="1040" customFormat="false" ht="15" hidden="false" customHeight="false" outlineLevel="0" collapsed="false">
      <c r="A1040" s="31" t="s">
        <v>1410</v>
      </c>
      <c r="B1040" s="31" t="s">
        <v>1411</v>
      </c>
      <c r="C1040" s="31" t="s">
        <v>20</v>
      </c>
      <c r="D1040" s="31" t="s">
        <v>123</v>
      </c>
      <c r="E1040" s="31" t="n">
        <v>2</v>
      </c>
      <c r="F1040" s="32" t="n">
        <v>75</v>
      </c>
      <c r="G1040" s="32" t="n">
        <v>150</v>
      </c>
      <c r="H1040" s="31" t="s">
        <v>45</v>
      </c>
      <c r="I1040" s="31" t="s">
        <v>58</v>
      </c>
      <c r="J1040" s="31" t="s">
        <v>1412</v>
      </c>
      <c r="K1040" s="31" t="s">
        <v>48</v>
      </c>
    </row>
    <row r="1041" customFormat="false" ht="15" hidden="false" customHeight="false" outlineLevel="0" collapsed="false">
      <c r="A1041" s="31" t="s">
        <v>1410</v>
      </c>
      <c r="B1041" s="31" t="s">
        <v>1411</v>
      </c>
      <c r="C1041" s="31" t="s">
        <v>44</v>
      </c>
      <c r="D1041" s="31" t="s">
        <v>44</v>
      </c>
      <c r="E1041" s="31" t="n">
        <v>1</v>
      </c>
      <c r="F1041" s="32" t="n">
        <v>0</v>
      </c>
      <c r="G1041" s="32" t="n">
        <v>0</v>
      </c>
      <c r="H1041" s="31" t="s">
        <v>45</v>
      </c>
      <c r="I1041" s="31" t="s">
        <v>58</v>
      </c>
      <c r="J1041" s="31" t="s">
        <v>1412</v>
      </c>
      <c r="K1041" s="31" t="s">
        <v>48</v>
      </c>
    </row>
    <row r="1042" customFormat="false" ht="15" hidden="false" customHeight="false" outlineLevel="0" collapsed="false">
      <c r="A1042" s="31" t="s">
        <v>1413</v>
      </c>
      <c r="B1042" s="31" t="s">
        <v>1414</v>
      </c>
      <c r="C1042" s="31" t="s">
        <v>44</v>
      </c>
      <c r="D1042" s="31" t="s">
        <v>44</v>
      </c>
      <c r="E1042" s="31" t="n">
        <v>1</v>
      </c>
      <c r="F1042" s="32" t="n">
        <v>3.95</v>
      </c>
      <c r="G1042" s="32" t="n">
        <v>3.95</v>
      </c>
      <c r="H1042" s="31" t="s">
        <v>45</v>
      </c>
      <c r="I1042" s="31" t="s">
        <v>58</v>
      </c>
      <c r="J1042" s="31" t="s">
        <v>1415</v>
      </c>
      <c r="K1042" s="31" t="s">
        <v>48</v>
      </c>
    </row>
    <row r="1043" customFormat="false" ht="15" hidden="false" customHeight="false" outlineLevel="0" collapsed="false">
      <c r="A1043" s="31" t="s">
        <v>1413</v>
      </c>
      <c r="B1043" s="31" t="s">
        <v>1416</v>
      </c>
      <c r="C1043" s="31" t="s">
        <v>20</v>
      </c>
      <c r="D1043" s="31" t="s">
        <v>78</v>
      </c>
      <c r="E1043" s="31" t="n">
        <v>1</v>
      </c>
      <c r="F1043" s="32" t="n">
        <v>89</v>
      </c>
      <c r="G1043" s="32" t="n">
        <v>89</v>
      </c>
      <c r="H1043" s="31" t="s">
        <v>45</v>
      </c>
      <c r="I1043" s="31" t="s">
        <v>58</v>
      </c>
      <c r="J1043" s="31" t="s">
        <v>1415</v>
      </c>
      <c r="K1043" s="31" t="s">
        <v>48</v>
      </c>
    </row>
    <row r="1044" customFormat="false" ht="15" hidden="false" customHeight="false" outlineLevel="0" collapsed="false">
      <c r="A1044" s="31" t="s">
        <v>1417</v>
      </c>
      <c r="B1044" s="31" t="s">
        <v>1418</v>
      </c>
      <c r="C1044" s="31" t="s">
        <v>20</v>
      </c>
      <c r="D1044" s="31" t="s">
        <v>56</v>
      </c>
      <c r="E1044" s="31" t="n">
        <v>2</v>
      </c>
      <c r="F1044" s="32" t="n">
        <v>45</v>
      </c>
      <c r="G1044" s="32" t="n">
        <v>90</v>
      </c>
      <c r="H1044" s="31" t="s">
        <v>145</v>
      </c>
      <c r="I1044" s="31" t="s">
        <v>58</v>
      </c>
      <c r="J1044" s="31" t="s">
        <v>1419</v>
      </c>
      <c r="K1044" s="31" t="s">
        <v>48</v>
      </c>
    </row>
    <row r="1045" customFormat="false" ht="15" hidden="false" customHeight="false" outlineLevel="0" collapsed="false">
      <c r="A1045" s="31" t="s">
        <v>1420</v>
      </c>
      <c r="B1045" s="31" t="s">
        <v>1421</v>
      </c>
      <c r="C1045" s="31" t="s">
        <v>20</v>
      </c>
      <c r="D1045" s="31" t="s">
        <v>56</v>
      </c>
      <c r="E1045" s="31" t="n">
        <v>1</v>
      </c>
      <c r="F1045" s="32" t="n">
        <v>45</v>
      </c>
      <c r="G1045" s="32" t="n">
        <v>45</v>
      </c>
      <c r="H1045" s="31" t="s">
        <v>184</v>
      </c>
      <c r="I1045" s="31" t="s">
        <v>104</v>
      </c>
      <c r="J1045" s="31" t="s">
        <v>1422</v>
      </c>
      <c r="K1045" s="31" t="s">
        <v>48</v>
      </c>
    </row>
    <row r="1046" customFormat="false" ht="15" hidden="false" customHeight="false" outlineLevel="0" collapsed="false">
      <c r="A1046" s="31" t="s">
        <v>1423</v>
      </c>
      <c r="B1046" s="31" t="s">
        <v>1424</v>
      </c>
      <c r="C1046" s="31" t="s">
        <v>20</v>
      </c>
      <c r="D1046" s="31" t="s">
        <v>123</v>
      </c>
      <c r="E1046" s="31" t="n">
        <v>1</v>
      </c>
      <c r="F1046" s="32" t="n">
        <v>75</v>
      </c>
      <c r="G1046" s="32" t="n">
        <v>75</v>
      </c>
      <c r="H1046" s="31" t="s">
        <v>45</v>
      </c>
      <c r="I1046" s="31" t="s">
        <v>58</v>
      </c>
      <c r="J1046" s="31" t="s">
        <v>1425</v>
      </c>
      <c r="K1046" s="31" t="s">
        <v>48</v>
      </c>
    </row>
    <row r="1047" customFormat="false" ht="15" hidden="false" customHeight="false" outlineLevel="0" collapsed="false">
      <c r="A1047" s="31" t="s">
        <v>1426</v>
      </c>
      <c r="B1047" s="31" t="s">
        <v>1427</v>
      </c>
      <c r="C1047" s="31" t="s">
        <v>20</v>
      </c>
      <c r="D1047" s="31" t="s">
        <v>78</v>
      </c>
      <c r="E1047" s="31" t="n">
        <v>4</v>
      </c>
      <c r="F1047" s="32" t="n">
        <v>89</v>
      </c>
      <c r="G1047" s="32" t="n">
        <v>356</v>
      </c>
      <c r="H1047" s="31" t="s">
        <v>45</v>
      </c>
      <c r="I1047" s="31" t="s">
        <v>155</v>
      </c>
      <c r="J1047" s="31" t="s">
        <v>1428</v>
      </c>
      <c r="K1047" s="31" t="s">
        <v>48</v>
      </c>
    </row>
    <row r="1048" customFormat="false" ht="15" hidden="false" customHeight="false" outlineLevel="0" collapsed="false">
      <c r="A1048" s="31" t="s">
        <v>1426</v>
      </c>
      <c r="B1048" s="31" t="s">
        <v>1429</v>
      </c>
      <c r="C1048" s="31" t="s">
        <v>20</v>
      </c>
      <c r="D1048" s="31" t="s">
        <v>87</v>
      </c>
      <c r="E1048" s="31" t="n">
        <v>2</v>
      </c>
      <c r="F1048" s="32" t="n">
        <v>35</v>
      </c>
      <c r="G1048" s="32" t="n">
        <v>70</v>
      </c>
      <c r="H1048" s="31" t="s">
        <v>45</v>
      </c>
      <c r="I1048" s="31" t="s">
        <v>155</v>
      </c>
      <c r="J1048" s="31" t="s">
        <v>1428</v>
      </c>
      <c r="K1048" s="31" t="s">
        <v>48</v>
      </c>
    </row>
    <row r="1049" customFormat="false" ht="15" hidden="false" customHeight="false" outlineLevel="0" collapsed="false">
      <c r="A1049" s="31" t="s">
        <v>1430</v>
      </c>
      <c r="B1049" s="31" t="s">
        <v>1431</v>
      </c>
      <c r="C1049" s="31" t="s">
        <v>44</v>
      </c>
      <c r="D1049" s="31" t="s">
        <v>44</v>
      </c>
      <c r="E1049" s="31" t="n">
        <v>1</v>
      </c>
      <c r="F1049" s="32" t="n">
        <v>5.95</v>
      </c>
      <c r="G1049" s="32" t="n">
        <v>5.95</v>
      </c>
      <c r="H1049" s="31" t="s">
        <v>45</v>
      </c>
      <c r="I1049" s="31" t="s">
        <v>58</v>
      </c>
      <c r="J1049" s="31" t="s">
        <v>1432</v>
      </c>
      <c r="K1049" s="31" t="s">
        <v>48</v>
      </c>
    </row>
    <row r="1050" customFormat="false" ht="15" hidden="false" customHeight="false" outlineLevel="0" collapsed="false">
      <c r="A1050" s="31" t="s">
        <v>1430</v>
      </c>
      <c r="B1050" s="31" t="s">
        <v>1431</v>
      </c>
      <c r="C1050" s="31" t="s">
        <v>20</v>
      </c>
      <c r="D1050" s="31" t="s">
        <v>78</v>
      </c>
      <c r="E1050" s="31" t="n">
        <v>2</v>
      </c>
      <c r="F1050" s="32" t="n">
        <v>89</v>
      </c>
      <c r="G1050" s="32" t="n">
        <v>178</v>
      </c>
      <c r="H1050" s="31" t="s">
        <v>45</v>
      </c>
      <c r="I1050" s="31" t="s">
        <v>58</v>
      </c>
      <c r="J1050" s="31" t="s">
        <v>1432</v>
      </c>
      <c r="K1050" s="31" t="s">
        <v>48</v>
      </c>
    </row>
    <row r="1051" customFormat="false" ht="15" hidden="false" customHeight="false" outlineLevel="0" collapsed="false">
      <c r="A1051" s="31" t="s">
        <v>1430</v>
      </c>
      <c r="B1051" s="31" t="s">
        <v>1431</v>
      </c>
      <c r="C1051" s="31" t="s">
        <v>20</v>
      </c>
      <c r="D1051" s="31" t="s">
        <v>66</v>
      </c>
      <c r="E1051" s="31" t="n">
        <v>1</v>
      </c>
      <c r="F1051" s="32" t="n">
        <v>32</v>
      </c>
      <c r="G1051" s="32" t="n">
        <v>32</v>
      </c>
      <c r="H1051" s="31" t="s">
        <v>45</v>
      </c>
      <c r="I1051" s="31" t="s">
        <v>58</v>
      </c>
      <c r="J1051" s="31" t="s">
        <v>1432</v>
      </c>
      <c r="K1051" s="31" t="s">
        <v>48</v>
      </c>
    </row>
    <row r="1052" customFormat="false" ht="15" hidden="false" customHeight="false" outlineLevel="0" collapsed="false">
      <c r="A1052" s="31" t="s">
        <v>1433</v>
      </c>
      <c r="B1052" s="31" t="s">
        <v>1434</v>
      </c>
      <c r="C1052" s="31" t="s">
        <v>50</v>
      </c>
      <c r="D1052" s="31" t="s">
        <v>51</v>
      </c>
      <c r="E1052" s="31" t="n">
        <v>1</v>
      </c>
      <c r="F1052" s="32" t="n">
        <v>-5</v>
      </c>
      <c r="G1052" s="32" t="n">
        <v>-5</v>
      </c>
      <c r="H1052" s="31" t="s">
        <v>45</v>
      </c>
      <c r="I1052" s="31" t="s">
        <v>58</v>
      </c>
      <c r="J1052" s="31" t="s">
        <v>1435</v>
      </c>
      <c r="K1052" s="31" t="s">
        <v>48</v>
      </c>
    </row>
    <row r="1053" customFormat="false" ht="15" hidden="false" customHeight="false" outlineLevel="0" collapsed="false">
      <c r="A1053" s="31" t="s">
        <v>1433</v>
      </c>
      <c r="B1053" s="31" t="s">
        <v>1436</v>
      </c>
      <c r="C1053" s="31" t="s">
        <v>20</v>
      </c>
      <c r="D1053" s="31" t="s">
        <v>53</v>
      </c>
      <c r="E1053" s="31" t="n">
        <v>1</v>
      </c>
      <c r="F1053" s="32" t="n">
        <v>39</v>
      </c>
      <c r="G1053" s="32" t="n">
        <v>39</v>
      </c>
      <c r="H1053" s="31" t="s">
        <v>45</v>
      </c>
      <c r="I1053" s="31" t="s">
        <v>58</v>
      </c>
      <c r="J1053" s="31" t="s">
        <v>1435</v>
      </c>
      <c r="K1053" s="31" t="s">
        <v>48</v>
      </c>
    </row>
    <row r="1054" customFormat="false" ht="15" hidden="false" customHeight="false" outlineLevel="0" collapsed="false">
      <c r="A1054" s="31" t="s">
        <v>1437</v>
      </c>
      <c r="B1054" s="31" t="s">
        <v>1438</v>
      </c>
      <c r="C1054" s="31" t="s">
        <v>44</v>
      </c>
      <c r="D1054" s="31" t="s">
        <v>44</v>
      </c>
      <c r="E1054" s="31" t="n">
        <v>1</v>
      </c>
      <c r="F1054" s="32" t="n">
        <v>3.95</v>
      </c>
      <c r="G1054" s="32" t="n">
        <v>3.95</v>
      </c>
      <c r="H1054" s="31" t="s">
        <v>45</v>
      </c>
      <c r="I1054" s="31" t="s">
        <v>84</v>
      </c>
      <c r="J1054" s="31"/>
      <c r="K1054" s="31" t="s">
        <v>48</v>
      </c>
    </row>
    <row r="1055" customFormat="false" ht="15" hidden="false" customHeight="false" outlineLevel="0" collapsed="false">
      <c r="A1055" s="31" t="s">
        <v>1437</v>
      </c>
      <c r="B1055" s="31" t="s">
        <v>1438</v>
      </c>
      <c r="C1055" s="31" t="s">
        <v>20</v>
      </c>
      <c r="D1055" s="31" t="s">
        <v>69</v>
      </c>
      <c r="E1055" s="31" t="n">
        <v>1</v>
      </c>
      <c r="F1055" s="32" t="n">
        <v>29</v>
      </c>
      <c r="G1055" s="32" t="n">
        <v>29</v>
      </c>
      <c r="H1055" s="31" t="s">
        <v>45</v>
      </c>
      <c r="I1055" s="31" t="s">
        <v>84</v>
      </c>
      <c r="J1055" s="31"/>
      <c r="K1055" s="31" t="s">
        <v>48</v>
      </c>
    </row>
    <row r="1056" customFormat="false" ht="15" hidden="false" customHeight="false" outlineLevel="0" collapsed="false">
      <c r="A1056" s="31" t="s">
        <v>1439</v>
      </c>
      <c r="B1056" s="31" t="s">
        <v>1440</v>
      </c>
      <c r="C1056" s="31" t="s">
        <v>50</v>
      </c>
      <c r="D1056" s="31" t="s">
        <v>51</v>
      </c>
      <c r="E1056" s="31" t="n">
        <v>1</v>
      </c>
      <c r="F1056" s="32" t="n">
        <v>-10</v>
      </c>
      <c r="G1056" s="32" t="n">
        <v>-10</v>
      </c>
      <c r="H1056" s="31" t="s">
        <v>45</v>
      </c>
      <c r="I1056" s="31" t="s">
        <v>58</v>
      </c>
      <c r="J1056" s="31"/>
      <c r="K1056" s="31" t="s">
        <v>48</v>
      </c>
    </row>
    <row r="1057" customFormat="false" ht="15" hidden="false" customHeight="false" outlineLevel="0" collapsed="false">
      <c r="A1057" s="31" t="s">
        <v>1439</v>
      </c>
      <c r="B1057" s="31" t="s">
        <v>1441</v>
      </c>
      <c r="C1057" s="31" t="s">
        <v>20</v>
      </c>
      <c r="D1057" s="31" t="s">
        <v>53</v>
      </c>
      <c r="E1057" s="31" t="n">
        <v>1</v>
      </c>
      <c r="F1057" s="32" t="n">
        <v>39</v>
      </c>
      <c r="G1057" s="32" t="n">
        <v>39</v>
      </c>
      <c r="H1057" s="31" t="s">
        <v>45</v>
      </c>
      <c r="I1057" s="31" t="s">
        <v>58</v>
      </c>
      <c r="J1057" s="31"/>
      <c r="K1057" s="31" t="s">
        <v>48</v>
      </c>
    </row>
    <row r="1058" customFormat="false" ht="15" hidden="false" customHeight="false" outlineLevel="0" collapsed="false">
      <c r="A1058" s="31" t="s">
        <v>1439</v>
      </c>
      <c r="B1058" s="31" t="s">
        <v>1440</v>
      </c>
      <c r="C1058" s="31" t="s">
        <v>44</v>
      </c>
      <c r="D1058" s="31" t="s">
        <v>44</v>
      </c>
      <c r="E1058" s="31" t="n">
        <v>1</v>
      </c>
      <c r="F1058" s="32" t="n">
        <v>4.95</v>
      </c>
      <c r="G1058" s="32" t="n">
        <v>4.95</v>
      </c>
      <c r="H1058" s="31" t="s">
        <v>45</v>
      </c>
      <c r="I1058" s="31" t="s">
        <v>58</v>
      </c>
      <c r="J1058" s="31"/>
      <c r="K1058" s="31" t="s">
        <v>48</v>
      </c>
    </row>
    <row r="1059" customFormat="false" ht="15" hidden="false" customHeight="false" outlineLevel="0" collapsed="false">
      <c r="A1059" s="31" t="s">
        <v>1439</v>
      </c>
      <c r="B1059" s="31" t="s">
        <v>1440</v>
      </c>
      <c r="C1059" s="31" t="s">
        <v>20</v>
      </c>
      <c r="D1059" s="31" t="s">
        <v>69</v>
      </c>
      <c r="E1059" s="31" t="n">
        <v>1</v>
      </c>
      <c r="F1059" s="32" t="n">
        <v>29</v>
      </c>
      <c r="G1059" s="32" t="n">
        <v>29</v>
      </c>
      <c r="H1059" s="31" t="s">
        <v>45</v>
      </c>
      <c r="I1059" s="31" t="s">
        <v>58</v>
      </c>
      <c r="J1059" s="31"/>
      <c r="K1059" s="31" t="s">
        <v>48</v>
      </c>
    </row>
    <row r="1060" customFormat="false" ht="15" hidden="false" customHeight="false" outlineLevel="0" collapsed="false">
      <c r="A1060" s="31" t="s">
        <v>1442</v>
      </c>
      <c r="B1060" s="31" t="s">
        <v>1443</v>
      </c>
      <c r="C1060" s="31" t="s">
        <v>20</v>
      </c>
      <c r="D1060" s="31" t="s">
        <v>69</v>
      </c>
      <c r="E1060" s="31" t="n">
        <v>1</v>
      </c>
      <c r="F1060" s="32" t="n">
        <v>29</v>
      </c>
      <c r="G1060" s="32" t="n">
        <v>29</v>
      </c>
      <c r="H1060" s="31" t="s">
        <v>57</v>
      </c>
      <c r="I1060" s="31" t="s">
        <v>58</v>
      </c>
      <c r="J1060" s="31"/>
      <c r="K1060" s="31" t="s">
        <v>48</v>
      </c>
    </row>
    <row r="1061" customFormat="false" ht="15" hidden="false" customHeight="false" outlineLevel="0" collapsed="false">
      <c r="A1061" s="31" t="s">
        <v>1444</v>
      </c>
      <c r="B1061" s="31" t="s">
        <v>1445</v>
      </c>
      <c r="C1061" s="31" t="s">
        <v>20</v>
      </c>
      <c r="D1061" s="31" t="s">
        <v>140</v>
      </c>
      <c r="E1061" s="31" t="n">
        <v>1</v>
      </c>
      <c r="F1061" s="32" t="n">
        <v>26</v>
      </c>
      <c r="G1061" s="32" t="n">
        <v>26</v>
      </c>
      <c r="H1061" s="31" t="s">
        <v>45</v>
      </c>
      <c r="I1061" s="31" t="s">
        <v>58</v>
      </c>
      <c r="J1061" s="31" t="s">
        <v>1446</v>
      </c>
      <c r="K1061" s="31" t="s">
        <v>48</v>
      </c>
    </row>
    <row r="1062" customFormat="false" ht="15" hidden="false" customHeight="false" outlineLevel="0" collapsed="false">
      <c r="A1062" s="31" t="s">
        <v>1444</v>
      </c>
      <c r="B1062" s="31" t="s">
        <v>1447</v>
      </c>
      <c r="C1062" s="31" t="s">
        <v>20</v>
      </c>
      <c r="D1062" s="31" t="s">
        <v>78</v>
      </c>
      <c r="E1062" s="31" t="n">
        <v>1</v>
      </c>
      <c r="F1062" s="32" t="n">
        <v>71.2</v>
      </c>
      <c r="G1062" s="32" t="n">
        <v>71.2</v>
      </c>
      <c r="H1062" s="31" t="s">
        <v>45</v>
      </c>
      <c r="I1062" s="31" t="s">
        <v>58</v>
      </c>
      <c r="J1062" s="31" t="s">
        <v>1446</v>
      </c>
      <c r="K1062" s="31" t="s">
        <v>48</v>
      </c>
    </row>
    <row r="1063" customFormat="false" ht="15" hidden="false" customHeight="false" outlineLevel="0" collapsed="false">
      <c r="A1063" s="31" t="s">
        <v>1448</v>
      </c>
      <c r="B1063" s="31" t="s">
        <v>1449</v>
      </c>
      <c r="C1063" s="31" t="s">
        <v>20</v>
      </c>
      <c r="D1063" s="31" t="s">
        <v>140</v>
      </c>
      <c r="E1063" s="31" t="n">
        <v>1</v>
      </c>
      <c r="F1063" s="32" t="n">
        <v>26</v>
      </c>
      <c r="G1063" s="32" t="n">
        <v>26</v>
      </c>
      <c r="H1063" s="31" t="s">
        <v>145</v>
      </c>
      <c r="I1063" s="31" t="s">
        <v>58</v>
      </c>
      <c r="J1063" s="31" t="s">
        <v>141</v>
      </c>
      <c r="K1063" s="31" t="s">
        <v>48</v>
      </c>
    </row>
    <row r="1064" customFormat="false" ht="15" hidden="false" customHeight="false" outlineLevel="0" collapsed="false">
      <c r="A1064" s="31" t="s">
        <v>1448</v>
      </c>
      <c r="B1064" s="31" t="s">
        <v>1449</v>
      </c>
      <c r="C1064" s="31" t="s">
        <v>44</v>
      </c>
      <c r="D1064" s="31" t="s">
        <v>44</v>
      </c>
      <c r="E1064" s="31" t="n">
        <v>1</v>
      </c>
      <c r="F1064" s="32" t="n">
        <v>5.95</v>
      </c>
      <c r="G1064" s="32" t="n">
        <v>5.95</v>
      </c>
      <c r="H1064" s="31" t="s">
        <v>145</v>
      </c>
      <c r="I1064" s="31" t="s">
        <v>58</v>
      </c>
      <c r="J1064" s="31" t="s">
        <v>141</v>
      </c>
      <c r="K1064" s="31" t="s">
        <v>48</v>
      </c>
    </row>
    <row r="1065" customFormat="false" ht="15" hidden="false" customHeight="false" outlineLevel="0" collapsed="false">
      <c r="A1065" s="31" t="s">
        <v>1450</v>
      </c>
      <c r="B1065" s="31" t="s">
        <v>1451</v>
      </c>
      <c r="C1065" s="31" t="s">
        <v>20</v>
      </c>
      <c r="D1065" s="31" t="s">
        <v>78</v>
      </c>
      <c r="E1065" s="31" t="n">
        <v>1</v>
      </c>
      <c r="F1065" s="32" t="n">
        <v>89</v>
      </c>
      <c r="G1065" s="32" t="n">
        <v>89</v>
      </c>
      <c r="H1065" s="31" t="s">
        <v>45</v>
      </c>
      <c r="I1065" s="31" t="s">
        <v>58</v>
      </c>
      <c r="J1065" s="31" t="s">
        <v>691</v>
      </c>
      <c r="K1065" s="31" t="s">
        <v>48</v>
      </c>
    </row>
    <row r="1066" customFormat="false" ht="15" hidden="false" customHeight="false" outlineLevel="0" collapsed="false">
      <c r="A1066" s="31" t="s">
        <v>1450</v>
      </c>
      <c r="B1066" s="31" t="s">
        <v>1451</v>
      </c>
      <c r="C1066" s="31" t="s">
        <v>50</v>
      </c>
      <c r="D1066" s="31" t="s">
        <v>51</v>
      </c>
      <c r="E1066" s="31" t="n">
        <v>1</v>
      </c>
      <c r="F1066" s="32" t="n">
        <v>-15</v>
      </c>
      <c r="G1066" s="32" t="n">
        <v>-15</v>
      </c>
      <c r="H1066" s="31" t="s">
        <v>45</v>
      </c>
      <c r="I1066" s="31" t="s">
        <v>58</v>
      </c>
      <c r="J1066" s="31" t="s">
        <v>691</v>
      </c>
      <c r="K1066" s="31" t="s">
        <v>48</v>
      </c>
    </row>
    <row r="1067" customFormat="false" ht="15" hidden="false" customHeight="false" outlineLevel="0" collapsed="false">
      <c r="A1067" s="31" t="s">
        <v>1450</v>
      </c>
      <c r="B1067" s="31" t="s">
        <v>1452</v>
      </c>
      <c r="C1067" s="31" t="s">
        <v>44</v>
      </c>
      <c r="D1067" s="31" t="s">
        <v>44</v>
      </c>
      <c r="E1067" s="31" t="n">
        <v>1</v>
      </c>
      <c r="F1067" s="32" t="n">
        <v>3.95</v>
      </c>
      <c r="G1067" s="32" t="n">
        <v>3.95</v>
      </c>
      <c r="H1067" s="31" t="s">
        <v>45</v>
      </c>
      <c r="I1067" s="31" t="s">
        <v>58</v>
      </c>
      <c r="J1067" s="31" t="s">
        <v>691</v>
      </c>
      <c r="K1067" s="31" t="s">
        <v>48</v>
      </c>
    </row>
    <row r="1068" customFormat="false" ht="15" hidden="false" customHeight="false" outlineLevel="0" collapsed="false">
      <c r="A1068" s="31" t="s">
        <v>1453</v>
      </c>
      <c r="B1068" s="31" t="s">
        <v>1454</v>
      </c>
      <c r="C1068" s="31" t="s">
        <v>20</v>
      </c>
      <c r="D1068" s="31" t="s">
        <v>53</v>
      </c>
      <c r="E1068" s="31" t="n">
        <v>3</v>
      </c>
      <c r="F1068" s="32" t="n">
        <v>39</v>
      </c>
      <c r="G1068" s="32" t="n">
        <v>117</v>
      </c>
      <c r="H1068" s="31" t="s">
        <v>45</v>
      </c>
      <c r="I1068" s="31" t="s">
        <v>58</v>
      </c>
      <c r="J1068" s="31" t="s">
        <v>574</v>
      </c>
      <c r="K1068" s="31" t="s">
        <v>48</v>
      </c>
    </row>
    <row r="1069" customFormat="false" ht="15" hidden="false" customHeight="false" outlineLevel="0" collapsed="false">
      <c r="A1069" s="31" t="s">
        <v>1453</v>
      </c>
      <c r="B1069" s="31" t="s">
        <v>1454</v>
      </c>
      <c r="C1069" s="31" t="s">
        <v>44</v>
      </c>
      <c r="D1069" s="31" t="s">
        <v>44</v>
      </c>
      <c r="E1069" s="31" t="n">
        <v>1</v>
      </c>
      <c r="F1069" s="32" t="n">
        <v>0</v>
      </c>
      <c r="G1069" s="32" t="n">
        <v>0</v>
      </c>
      <c r="H1069" s="31" t="s">
        <v>45</v>
      </c>
      <c r="I1069" s="31" t="s">
        <v>58</v>
      </c>
      <c r="J1069" s="31" t="s">
        <v>574</v>
      </c>
      <c r="K1069" s="31" t="s">
        <v>48</v>
      </c>
    </row>
    <row r="1070" customFormat="false" ht="15" hidden="false" customHeight="false" outlineLevel="0" collapsed="false">
      <c r="A1070" s="31" t="s">
        <v>1455</v>
      </c>
      <c r="B1070" s="31" t="s">
        <v>1456</v>
      </c>
      <c r="C1070" s="31" t="s">
        <v>20</v>
      </c>
      <c r="D1070" s="31" t="s">
        <v>69</v>
      </c>
      <c r="E1070" s="31" t="n">
        <v>1</v>
      </c>
      <c r="F1070" s="32" t="n">
        <v>29</v>
      </c>
      <c r="G1070" s="32" t="n">
        <v>29</v>
      </c>
      <c r="H1070" s="31" t="s">
        <v>45</v>
      </c>
      <c r="I1070" s="31" t="s">
        <v>155</v>
      </c>
      <c r="J1070" s="31" t="s">
        <v>1457</v>
      </c>
      <c r="K1070" s="31" t="s">
        <v>48</v>
      </c>
    </row>
    <row r="1071" customFormat="false" ht="15" hidden="false" customHeight="false" outlineLevel="0" collapsed="false">
      <c r="A1071" s="31" t="s">
        <v>1458</v>
      </c>
      <c r="B1071" s="31" t="s">
        <v>1459</v>
      </c>
      <c r="C1071" s="31" t="s">
        <v>20</v>
      </c>
      <c r="D1071" s="31" t="s">
        <v>66</v>
      </c>
      <c r="E1071" s="31" t="n">
        <v>2</v>
      </c>
      <c r="F1071" s="32" t="n">
        <v>32</v>
      </c>
      <c r="G1071" s="32" t="n">
        <v>64</v>
      </c>
      <c r="H1071" s="31" t="s">
        <v>45</v>
      </c>
      <c r="I1071" s="31" t="s">
        <v>58</v>
      </c>
      <c r="J1071" s="31"/>
      <c r="K1071" s="31" t="s">
        <v>48</v>
      </c>
    </row>
    <row r="1072" customFormat="false" ht="15" hidden="false" customHeight="false" outlineLevel="0" collapsed="false">
      <c r="A1072" s="31" t="s">
        <v>1458</v>
      </c>
      <c r="B1072" s="31" t="s">
        <v>1460</v>
      </c>
      <c r="C1072" s="31" t="s">
        <v>20</v>
      </c>
      <c r="D1072" s="31" t="s">
        <v>63</v>
      </c>
      <c r="E1072" s="31" t="n">
        <v>2</v>
      </c>
      <c r="F1072" s="32" t="n">
        <v>14</v>
      </c>
      <c r="G1072" s="32" t="n">
        <v>28</v>
      </c>
      <c r="H1072" s="31" t="s">
        <v>45</v>
      </c>
      <c r="I1072" s="31" t="s">
        <v>58</v>
      </c>
      <c r="J1072" s="31"/>
      <c r="K1072" s="31" t="s">
        <v>48</v>
      </c>
    </row>
    <row r="1073" customFormat="false" ht="15" hidden="false" customHeight="false" outlineLevel="0" collapsed="false">
      <c r="A1073" s="31" t="s">
        <v>1461</v>
      </c>
      <c r="B1073" s="31" t="s">
        <v>1462</v>
      </c>
      <c r="C1073" s="31" t="s">
        <v>20</v>
      </c>
      <c r="D1073" s="31" t="s">
        <v>69</v>
      </c>
      <c r="E1073" s="31" t="n">
        <v>1</v>
      </c>
      <c r="F1073" s="32" t="n">
        <v>29</v>
      </c>
      <c r="G1073" s="32" t="n">
        <v>29</v>
      </c>
      <c r="H1073" s="31" t="s">
        <v>45</v>
      </c>
      <c r="I1073" s="31" t="s">
        <v>58</v>
      </c>
      <c r="J1073" s="31" t="s">
        <v>1463</v>
      </c>
      <c r="K1073" s="31" t="s">
        <v>48</v>
      </c>
    </row>
    <row r="1074" customFormat="false" ht="15" hidden="false" customHeight="false" outlineLevel="0" collapsed="false">
      <c r="A1074" s="31" t="s">
        <v>1461</v>
      </c>
      <c r="B1074" s="31" t="s">
        <v>1462</v>
      </c>
      <c r="C1074" s="31" t="s">
        <v>20</v>
      </c>
      <c r="D1074" s="31" t="s">
        <v>73</v>
      </c>
      <c r="E1074" s="31" t="n">
        <v>2</v>
      </c>
      <c r="F1074" s="32" t="n">
        <v>69</v>
      </c>
      <c r="G1074" s="32" t="n">
        <v>138</v>
      </c>
      <c r="H1074" s="31" t="s">
        <v>45</v>
      </c>
      <c r="I1074" s="31" t="s">
        <v>58</v>
      </c>
      <c r="J1074" s="31" t="s">
        <v>1463</v>
      </c>
      <c r="K1074" s="31" t="s">
        <v>48</v>
      </c>
    </row>
    <row r="1075" customFormat="false" ht="15" hidden="false" customHeight="false" outlineLevel="0" collapsed="false">
      <c r="A1075" s="31" t="s">
        <v>1464</v>
      </c>
      <c r="B1075" s="31" t="s">
        <v>1465</v>
      </c>
      <c r="C1075" s="31" t="s">
        <v>20</v>
      </c>
      <c r="D1075" s="31" t="s">
        <v>78</v>
      </c>
      <c r="E1075" s="31" t="n">
        <v>1</v>
      </c>
      <c r="F1075" s="32" t="n">
        <v>89</v>
      </c>
      <c r="G1075" s="32" t="n">
        <v>89</v>
      </c>
      <c r="H1075" s="31" t="s">
        <v>45</v>
      </c>
      <c r="I1075" s="31" t="s">
        <v>58</v>
      </c>
      <c r="J1075" s="31" t="s">
        <v>1466</v>
      </c>
      <c r="K1075" s="31" t="s">
        <v>48</v>
      </c>
    </row>
    <row r="1076" customFormat="false" ht="15" hidden="false" customHeight="false" outlineLevel="0" collapsed="false">
      <c r="A1076" s="31" t="s">
        <v>1464</v>
      </c>
      <c r="B1076" s="31" t="s">
        <v>1465</v>
      </c>
      <c r="C1076" s="31" t="s">
        <v>44</v>
      </c>
      <c r="D1076" s="31" t="s">
        <v>44</v>
      </c>
      <c r="E1076" s="31" t="n">
        <v>1</v>
      </c>
      <c r="F1076" s="32" t="n">
        <v>0</v>
      </c>
      <c r="G1076" s="32" t="n">
        <v>0</v>
      </c>
      <c r="H1076" s="31" t="s">
        <v>45</v>
      </c>
      <c r="I1076" s="31" t="s">
        <v>58</v>
      </c>
      <c r="J1076" s="31" t="s">
        <v>1466</v>
      </c>
      <c r="K1076" s="31" t="s">
        <v>48</v>
      </c>
    </row>
    <row r="1077" customFormat="false" ht="15" hidden="false" customHeight="false" outlineLevel="0" collapsed="false">
      <c r="A1077" s="31" t="s">
        <v>1464</v>
      </c>
      <c r="B1077" s="31" t="s">
        <v>1467</v>
      </c>
      <c r="C1077" s="31" t="s">
        <v>20</v>
      </c>
      <c r="D1077" s="31" t="s">
        <v>123</v>
      </c>
      <c r="E1077" s="31" t="n">
        <v>1</v>
      </c>
      <c r="F1077" s="32" t="n">
        <v>75</v>
      </c>
      <c r="G1077" s="32" t="n">
        <v>75</v>
      </c>
      <c r="H1077" s="31" t="s">
        <v>45</v>
      </c>
      <c r="I1077" s="31" t="s">
        <v>58</v>
      </c>
      <c r="J1077" s="31" t="s">
        <v>1466</v>
      </c>
      <c r="K1077" s="31" t="s">
        <v>48</v>
      </c>
    </row>
    <row r="1078" customFormat="false" ht="15" hidden="false" customHeight="false" outlineLevel="0" collapsed="false">
      <c r="A1078" s="31" t="s">
        <v>1468</v>
      </c>
      <c r="B1078" s="31" t="s">
        <v>1469</v>
      </c>
      <c r="C1078" s="31" t="s">
        <v>20</v>
      </c>
      <c r="D1078" s="31" t="s">
        <v>78</v>
      </c>
      <c r="E1078" s="31" t="n">
        <v>1</v>
      </c>
      <c r="F1078" s="32" t="n">
        <v>89</v>
      </c>
      <c r="G1078" s="32" t="n">
        <v>89</v>
      </c>
      <c r="H1078" s="31" t="s">
        <v>57</v>
      </c>
      <c r="I1078" s="31" t="s">
        <v>155</v>
      </c>
      <c r="J1078" s="31" t="s">
        <v>47</v>
      </c>
      <c r="K1078" s="31" t="s">
        <v>48</v>
      </c>
    </row>
    <row r="1079" customFormat="false" ht="15" hidden="false" customHeight="false" outlineLevel="0" collapsed="false">
      <c r="A1079" s="31" t="s">
        <v>1468</v>
      </c>
      <c r="B1079" s="31" t="s">
        <v>1469</v>
      </c>
      <c r="C1079" s="31" t="s">
        <v>20</v>
      </c>
      <c r="D1079" s="31" t="s">
        <v>63</v>
      </c>
      <c r="E1079" s="31" t="n">
        <v>1</v>
      </c>
      <c r="F1079" s="32" t="n">
        <v>14</v>
      </c>
      <c r="G1079" s="32" t="n">
        <v>14</v>
      </c>
      <c r="H1079" s="31" t="s">
        <v>57</v>
      </c>
      <c r="I1079" s="31" t="s">
        <v>155</v>
      </c>
      <c r="J1079" s="31" t="s">
        <v>47</v>
      </c>
      <c r="K1079" s="31" t="s">
        <v>48</v>
      </c>
    </row>
    <row r="1080" customFormat="false" ht="15" hidden="false" customHeight="false" outlineLevel="0" collapsed="false">
      <c r="A1080" s="31" t="s">
        <v>1468</v>
      </c>
      <c r="B1080" s="31" t="s">
        <v>1469</v>
      </c>
      <c r="C1080" s="31" t="s">
        <v>44</v>
      </c>
      <c r="D1080" s="31" t="s">
        <v>44</v>
      </c>
      <c r="E1080" s="31" t="n">
        <v>1</v>
      </c>
      <c r="F1080" s="32" t="n">
        <v>4.95</v>
      </c>
      <c r="G1080" s="32" t="n">
        <v>4.95</v>
      </c>
      <c r="H1080" s="31" t="s">
        <v>57</v>
      </c>
      <c r="I1080" s="31" t="s">
        <v>155</v>
      </c>
      <c r="J1080" s="31" t="s">
        <v>47</v>
      </c>
      <c r="K1080" s="31" t="s">
        <v>48</v>
      </c>
    </row>
    <row r="1081" customFormat="false" ht="15" hidden="false" customHeight="false" outlineLevel="0" collapsed="false">
      <c r="A1081" s="31" t="s">
        <v>1470</v>
      </c>
      <c r="B1081" s="31" t="s">
        <v>1471</v>
      </c>
      <c r="C1081" s="31" t="s">
        <v>44</v>
      </c>
      <c r="D1081" s="31" t="s">
        <v>44</v>
      </c>
      <c r="E1081" s="31" t="n">
        <v>1</v>
      </c>
      <c r="F1081" s="32" t="n">
        <v>4.95</v>
      </c>
      <c r="G1081" s="32" t="n">
        <v>4.95</v>
      </c>
      <c r="H1081" s="31" t="s">
        <v>57</v>
      </c>
      <c r="I1081" s="31" t="s">
        <v>84</v>
      </c>
      <c r="J1081" s="31" t="s">
        <v>1472</v>
      </c>
      <c r="K1081" s="31" t="s">
        <v>48</v>
      </c>
    </row>
    <row r="1082" customFormat="false" ht="15" hidden="false" customHeight="false" outlineLevel="0" collapsed="false">
      <c r="A1082" s="31" t="s">
        <v>1470</v>
      </c>
      <c r="B1082" s="31" t="s">
        <v>1473</v>
      </c>
      <c r="C1082" s="31" t="s">
        <v>20</v>
      </c>
      <c r="D1082" s="31" t="s">
        <v>53</v>
      </c>
      <c r="E1082" s="31" t="n">
        <v>1</v>
      </c>
      <c r="F1082" s="32" t="n">
        <v>33.15</v>
      </c>
      <c r="G1082" s="32" t="n">
        <v>33.15</v>
      </c>
      <c r="H1082" s="31" t="s">
        <v>57</v>
      </c>
      <c r="I1082" s="31" t="s">
        <v>84</v>
      </c>
      <c r="J1082" s="31" t="s">
        <v>1472</v>
      </c>
      <c r="K1082" s="31" t="s">
        <v>48</v>
      </c>
    </row>
    <row r="1083" customFormat="false" ht="15" hidden="false" customHeight="false" outlineLevel="0" collapsed="false">
      <c r="A1083" s="31" t="s">
        <v>1474</v>
      </c>
      <c r="B1083" s="31" t="s">
        <v>1475</v>
      </c>
      <c r="C1083" s="31" t="s">
        <v>20</v>
      </c>
      <c r="D1083" s="31" t="s">
        <v>73</v>
      </c>
      <c r="E1083" s="31" t="n">
        <v>2</v>
      </c>
      <c r="F1083" s="32" t="n">
        <v>69</v>
      </c>
      <c r="G1083" s="32" t="n">
        <v>138</v>
      </c>
      <c r="H1083" s="31" t="s">
        <v>45</v>
      </c>
      <c r="I1083" s="31" t="s">
        <v>58</v>
      </c>
      <c r="J1083" s="31" t="s">
        <v>1244</v>
      </c>
      <c r="K1083" s="31" t="s">
        <v>48</v>
      </c>
    </row>
    <row r="1084" customFormat="false" ht="15" hidden="false" customHeight="false" outlineLevel="0" collapsed="false">
      <c r="A1084" s="31" t="s">
        <v>1474</v>
      </c>
      <c r="B1084" s="31" t="s">
        <v>1475</v>
      </c>
      <c r="C1084" s="31" t="s">
        <v>20</v>
      </c>
      <c r="D1084" s="31" t="s">
        <v>66</v>
      </c>
      <c r="E1084" s="31" t="n">
        <v>1</v>
      </c>
      <c r="F1084" s="32" t="n">
        <v>28.8</v>
      </c>
      <c r="G1084" s="32" t="n">
        <v>28.8</v>
      </c>
      <c r="H1084" s="31" t="s">
        <v>45</v>
      </c>
      <c r="I1084" s="31" t="s">
        <v>58</v>
      </c>
      <c r="J1084" s="31" t="s">
        <v>1244</v>
      </c>
      <c r="K1084" s="31" t="s">
        <v>48</v>
      </c>
    </row>
    <row r="1085" customFormat="false" ht="15" hidden="false" customHeight="false" outlineLevel="0" collapsed="false">
      <c r="A1085" s="31" t="s">
        <v>1474</v>
      </c>
      <c r="B1085" s="31" t="s">
        <v>1475</v>
      </c>
      <c r="C1085" s="31" t="s">
        <v>20</v>
      </c>
      <c r="D1085" s="31" t="s">
        <v>69</v>
      </c>
      <c r="E1085" s="31" t="n">
        <v>2</v>
      </c>
      <c r="F1085" s="32" t="n">
        <v>29</v>
      </c>
      <c r="G1085" s="32" t="n">
        <v>58</v>
      </c>
      <c r="H1085" s="31" t="s">
        <v>45</v>
      </c>
      <c r="I1085" s="31" t="s">
        <v>58</v>
      </c>
      <c r="J1085" s="31" t="s">
        <v>1244</v>
      </c>
      <c r="K1085" s="31" t="s">
        <v>48</v>
      </c>
    </row>
    <row r="1086" customFormat="false" ht="15" hidden="false" customHeight="false" outlineLevel="0" collapsed="false">
      <c r="A1086" s="31" t="s">
        <v>1476</v>
      </c>
      <c r="B1086" s="31" t="s">
        <v>1477</v>
      </c>
      <c r="C1086" s="31" t="s">
        <v>20</v>
      </c>
      <c r="D1086" s="31" t="s">
        <v>78</v>
      </c>
      <c r="E1086" s="31" t="n">
        <v>1</v>
      </c>
      <c r="F1086" s="32" t="n">
        <v>89</v>
      </c>
      <c r="G1086" s="32" t="n">
        <v>89</v>
      </c>
      <c r="H1086" s="31" t="s">
        <v>145</v>
      </c>
      <c r="I1086" s="31" t="s">
        <v>58</v>
      </c>
      <c r="J1086" s="31" t="s">
        <v>1478</v>
      </c>
      <c r="K1086" s="31" t="s">
        <v>48</v>
      </c>
    </row>
    <row r="1087" customFormat="false" ht="15" hidden="false" customHeight="false" outlineLevel="0" collapsed="false">
      <c r="A1087" s="31" t="s">
        <v>1479</v>
      </c>
      <c r="B1087" s="31" t="s">
        <v>1480</v>
      </c>
      <c r="C1087" s="31" t="s">
        <v>50</v>
      </c>
      <c r="D1087" s="31" t="s">
        <v>51</v>
      </c>
      <c r="E1087" s="31" t="n">
        <v>1</v>
      </c>
      <c r="F1087" s="32" t="n">
        <v>-5</v>
      </c>
      <c r="G1087" s="32" t="n">
        <v>-5</v>
      </c>
      <c r="H1087" s="31" t="s">
        <v>45</v>
      </c>
      <c r="I1087" s="31" t="s">
        <v>58</v>
      </c>
      <c r="J1087" s="31" t="s">
        <v>1481</v>
      </c>
      <c r="K1087" s="31" t="s">
        <v>48</v>
      </c>
    </row>
    <row r="1088" customFormat="false" ht="15" hidden="false" customHeight="false" outlineLevel="0" collapsed="false">
      <c r="A1088" s="31" t="s">
        <v>1479</v>
      </c>
      <c r="B1088" s="31" t="s">
        <v>1482</v>
      </c>
      <c r="C1088" s="31" t="s">
        <v>44</v>
      </c>
      <c r="D1088" s="31" t="s">
        <v>44</v>
      </c>
      <c r="E1088" s="31" t="n">
        <v>1</v>
      </c>
      <c r="F1088" s="32" t="n">
        <v>3.95</v>
      </c>
      <c r="G1088" s="32" t="n">
        <v>3.95</v>
      </c>
      <c r="H1088" s="31" t="s">
        <v>45</v>
      </c>
      <c r="I1088" s="31" t="s">
        <v>58</v>
      </c>
      <c r="J1088" s="31" t="s">
        <v>1481</v>
      </c>
      <c r="K1088" s="31" t="s">
        <v>48</v>
      </c>
    </row>
    <row r="1089" customFormat="false" ht="15" hidden="false" customHeight="false" outlineLevel="0" collapsed="false">
      <c r="A1089" s="31" t="s">
        <v>1479</v>
      </c>
      <c r="B1089" s="31" t="s">
        <v>1482</v>
      </c>
      <c r="C1089" s="31" t="s">
        <v>20</v>
      </c>
      <c r="D1089" s="31" t="s">
        <v>52</v>
      </c>
      <c r="E1089" s="31" t="n">
        <v>3</v>
      </c>
      <c r="F1089" s="32" t="n">
        <v>22</v>
      </c>
      <c r="G1089" s="32" t="n">
        <v>66</v>
      </c>
      <c r="H1089" s="31" t="s">
        <v>45</v>
      </c>
      <c r="I1089" s="31" t="s">
        <v>58</v>
      </c>
      <c r="J1089" s="31" t="s">
        <v>1481</v>
      </c>
      <c r="K1089" s="31" t="s">
        <v>202</v>
      </c>
    </row>
    <row r="1090" customFormat="false" ht="15" hidden="false" customHeight="false" outlineLevel="0" collapsed="false">
      <c r="A1090" s="31" t="s">
        <v>1483</v>
      </c>
      <c r="B1090" s="31" t="s">
        <v>1484</v>
      </c>
      <c r="C1090" s="31" t="s">
        <v>20</v>
      </c>
      <c r="D1090" s="31" t="s">
        <v>78</v>
      </c>
      <c r="E1090" s="31" t="n">
        <v>2</v>
      </c>
      <c r="F1090" s="32" t="n">
        <v>89</v>
      </c>
      <c r="G1090" s="32" t="n">
        <v>178</v>
      </c>
      <c r="H1090" s="31" t="s">
        <v>160</v>
      </c>
      <c r="I1090" s="31" t="s">
        <v>155</v>
      </c>
      <c r="J1090" s="31" t="s">
        <v>1485</v>
      </c>
      <c r="K1090" s="31" t="s">
        <v>48</v>
      </c>
    </row>
    <row r="1091" customFormat="false" ht="15" hidden="false" customHeight="false" outlineLevel="0" collapsed="false">
      <c r="A1091" s="31" t="s">
        <v>1486</v>
      </c>
      <c r="B1091" s="31" t="s">
        <v>1487</v>
      </c>
      <c r="C1091" s="31" t="s">
        <v>20</v>
      </c>
      <c r="D1091" s="31" t="s">
        <v>78</v>
      </c>
      <c r="E1091" s="31" t="n">
        <v>1</v>
      </c>
      <c r="F1091" s="32" t="n">
        <v>80.1</v>
      </c>
      <c r="G1091" s="32" t="n">
        <v>80.1</v>
      </c>
      <c r="H1091" s="31" t="s">
        <v>45</v>
      </c>
      <c r="I1091" s="31" t="s">
        <v>104</v>
      </c>
      <c r="J1091" s="31"/>
      <c r="K1091" s="31" t="s">
        <v>48</v>
      </c>
    </row>
    <row r="1092" customFormat="false" ht="15" hidden="false" customHeight="false" outlineLevel="0" collapsed="false">
      <c r="A1092" s="31" t="s">
        <v>1486</v>
      </c>
      <c r="B1092" s="31" t="s">
        <v>1488</v>
      </c>
      <c r="C1092" s="31" t="s">
        <v>20</v>
      </c>
      <c r="D1092" s="31" t="s">
        <v>56</v>
      </c>
      <c r="E1092" s="31" t="n">
        <v>1</v>
      </c>
      <c r="F1092" s="32" t="n">
        <v>45</v>
      </c>
      <c r="G1092" s="32" t="n">
        <v>45</v>
      </c>
      <c r="H1092" s="31" t="s">
        <v>45</v>
      </c>
      <c r="I1092" s="31" t="s">
        <v>104</v>
      </c>
      <c r="J1092" s="31"/>
      <c r="K1092" s="31" t="s">
        <v>48</v>
      </c>
    </row>
    <row r="1093" customFormat="false" ht="15" hidden="false" customHeight="false" outlineLevel="0" collapsed="false">
      <c r="A1093" s="31" t="s">
        <v>1486</v>
      </c>
      <c r="B1093" s="31" t="s">
        <v>1487</v>
      </c>
      <c r="C1093" s="31" t="s">
        <v>44</v>
      </c>
      <c r="D1093" s="31" t="s">
        <v>44</v>
      </c>
      <c r="E1093" s="31" t="n">
        <v>1</v>
      </c>
      <c r="F1093" s="32" t="n">
        <v>3.95</v>
      </c>
      <c r="G1093" s="32" t="n">
        <v>3.95</v>
      </c>
      <c r="H1093" s="31" t="s">
        <v>45</v>
      </c>
      <c r="I1093" s="31" t="s">
        <v>104</v>
      </c>
      <c r="J1093" s="31"/>
      <c r="K1093" s="31" t="s">
        <v>48</v>
      </c>
    </row>
    <row r="1094" customFormat="false" ht="15" hidden="false" customHeight="false" outlineLevel="0" collapsed="false">
      <c r="A1094" s="31" t="s">
        <v>1486</v>
      </c>
      <c r="B1094" s="31" t="s">
        <v>1487</v>
      </c>
      <c r="C1094" s="31" t="s">
        <v>20</v>
      </c>
      <c r="D1094" s="31" t="s">
        <v>73</v>
      </c>
      <c r="E1094" s="31" t="n">
        <v>1</v>
      </c>
      <c r="F1094" s="32" t="n">
        <v>69</v>
      </c>
      <c r="G1094" s="32" t="n">
        <v>69</v>
      </c>
      <c r="H1094" s="31" t="s">
        <v>45</v>
      </c>
      <c r="I1094" s="31" t="s">
        <v>104</v>
      </c>
      <c r="J1094" s="31"/>
      <c r="K1094" s="31" t="s">
        <v>48</v>
      </c>
    </row>
    <row r="1095" customFormat="false" ht="15" hidden="false" customHeight="false" outlineLevel="0" collapsed="false">
      <c r="A1095" s="31" t="s">
        <v>1489</v>
      </c>
      <c r="B1095" s="31" t="s">
        <v>1490</v>
      </c>
      <c r="C1095" s="31" t="s">
        <v>20</v>
      </c>
      <c r="D1095" s="31" t="s">
        <v>63</v>
      </c>
      <c r="E1095" s="31" t="n">
        <v>1</v>
      </c>
      <c r="F1095" s="32" t="n">
        <v>14</v>
      </c>
      <c r="G1095" s="32" t="n">
        <v>14</v>
      </c>
      <c r="H1095" s="31" t="s">
        <v>45</v>
      </c>
      <c r="I1095" s="31" t="s">
        <v>58</v>
      </c>
      <c r="J1095" s="31" t="s">
        <v>1491</v>
      </c>
      <c r="K1095" s="31" t="s">
        <v>48</v>
      </c>
    </row>
    <row r="1096" customFormat="false" ht="15" hidden="false" customHeight="false" outlineLevel="0" collapsed="false">
      <c r="A1096" s="31" t="s">
        <v>1489</v>
      </c>
      <c r="B1096" s="31" t="s">
        <v>1490</v>
      </c>
      <c r="C1096" s="31" t="s">
        <v>44</v>
      </c>
      <c r="D1096" s="31" t="s">
        <v>44</v>
      </c>
      <c r="E1096" s="31" t="n">
        <v>1</v>
      </c>
      <c r="F1096" s="32" t="n">
        <v>3.95</v>
      </c>
      <c r="G1096" s="32" t="n">
        <v>3.95</v>
      </c>
      <c r="H1096" s="31" t="s">
        <v>45</v>
      </c>
      <c r="I1096" s="31" t="s">
        <v>58</v>
      </c>
      <c r="J1096" s="31" t="s">
        <v>1491</v>
      </c>
      <c r="K1096" s="31" t="s">
        <v>48</v>
      </c>
    </row>
    <row r="1097" customFormat="false" ht="15" hidden="false" customHeight="false" outlineLevel="0" collapsed="false">
      <c r="A1097" s="31" t="s">
        <v>1489</v>
      </c>
      <c r="B1097" s="31" t="s">
        <v>1492</v>
      </c>
      <c r="C1097" s="31" t="s">
        <v>20</v>
      </c>
      <c r="D1097" s="31" t="s">
        <v>66</v>
      </c>
      <c r="E1097" s="31" t="n">
        <v>4</v>
      </c>
      <c r="F1097" s="32" t="n">
        <v>32</v>
      </c>
      <c r="G1097" s="32" t="n">
        <v>128</v>
      </c>
      <c r="H1097" s="31" t="s">
        <v>45</v>
      </c>
      <c r="I1097" s="31" t="s">
        <v>58</v>
      </c>
      <c r="J1097" s="31" t="s">
        <v>1491</v>
      </c>
      <c r="K1097" s="31" t="s">
        <v>48</v>
      </c>
    </row>
    <row r="1098" customFormat="false" ht="15" hidden="false" customHeight="false" outlineLevel="0" collapsed="false">
      <c r="A1098" s="31" t="s">
        <v>1493</v>
      </c>
      <c r="B1098" s="31" t="s">
        <v>1494</v>
      </c>
      <c r="C1098" s="31" t="s">
        <v>44</v>
      </c>
      <c r="D1098" s="31" t="s">
        <v>44</v>
      </c>
      <c r="E1098" s="31" t="n">
        <v>1</v>
      </c>
      <c r="F1098" s="32" t="n">
        <v>4.95</v>
      </c>
      <c r="G1098" s="32" t="n">
        <v>4.95</v>
      </c>
      <c r="H1098" s="31" t="s">
        <v>57</v>
      </c>
      <c r="I1098" s="31" t="s">
        <v>58</v>
      </c>
      <c r="J1098" s="31" t="s">
        <v>1495</v>
      </c>
      <c r="K1098" s="31" t="s">
        <v>48</v>
      </c>
    </row>
    <row r="1099" customFormat="false" ht="15" hidden="false" customHeight="false" outlineLevel="0" collapsed="false">
      <c r="A1099" s="31" t="s">
        <v>1493</v>
      </c>
      <c r="B1099" s="31" t="s">
        <v>1494</v>
      </c>
      <c r="C1099" s="31" t="s">
        <v>20</v>
      </c>
      <c r="D1099" s="31" t="s">
        <v>69</v>
      </c>
      <c r="E1099" s="31" t="n">
        <v>2</v>
      </c>
      <c r="F1099" s="32" t="n">
        <v>29</v>
      </c>
      <c r="G1099" s="32" t="n">
        <v>58</v>
      </c>
      <c r="H1099" s="31" t="s">
        <v>57</v>
      </c>
      <c r="I1099" s="31" t="s">
        <v>58</v>
      </c>
      <c r="J1099" s="31" t="s">
        <v>1495</v>
      </c>
      <c r="K1099" s="31" t="s">
        <v>48</v>
      </c>
    </row>
    <row r="1100" customFormat="false" ht="15" hidden="false" customHeight="false" outlineLevel="0" collapsed="false">
      <c r="A1100" s="31" t="s">
        <v>1496</v>
      </c>
      <c r="B1100" s="31" t="s">
        <v>1497</v>
      </c>
      <c r="C1100" s="31" t="s">
        <v>44</v>
      </c>
      <c r="D1100" s="31" t="s">
        <v>44</v>
      </c>
      <c r="E1100" s="31" t="n">
        <v>1</v>
      </c>
      <c r="F1100" s="32" t="n">
        <v>3.95</v>
      </c>
      <c r="G1100" s="32" t="n">
        <v>3.95</v>
      </c>
      <c r="H1100" s="31" t="s">
        <v>45</v>
      </c>
      <c r="I1100" s="31" t="s">
        <v>58</v>
      </c>
      <c r="J1100" s="31" t="s">
        <v>1498</v>
      </c>
      <c r="K1100" s="31" t="s">
        <v>48</v>
      </c>
    </row>
    <row r="1101" customFormat="false" ht="15" hidden="false" customHeight="false" outlineLevel="0" collapsed="false">
      <c r="A1101" s="31" t="s">
        <v>1496</v>
      </c>
      <c r="B1101" s="31" t="s">
        <v>1497</v>
      </c>
      <c r="C1101" s="31" t="s">
        <v>20</v>
      </c>
      <c r="D1101" s="31" t="s">
        <v>56</v>
      </c>
      <c r="E1101" s="31" t="n">
        <v>2</v>
      </c>
      <c r="F1101" s="32" t="n">
        <v>45</v>
      </c>
      <c r="G1101" s="32" t="n">
        <v>90</v>
      </c>
      <c r="H1101" s="31" t="s">
        <v>45</v>
      </c>
      <c r="I1101" s="31" t="s">
        <v>58</v>
      </c>
      <c r="J1101" s="31" t="s">
        <v>1498</v>
      </c>
      <c r="K1101" s="31" t="s">
        <v>48</v>
      </c>
    </row>
    <row r="1102" customFormat="false" ht="15" hidden="false" customHeight="false" outlineLevel="0" collapsed="false">
      <c r="A1102" s="31" t="s">
        <v>1499</v>
      </c>
      <c r="B1102" s="31" t="s">
        <v>1500</v>
      </c>
      <c r="C1102" s="31" t="s">
        <v>44</v>
      </c>
      <c r="D1102" s="31" t="s">
        <v>44</v>
      </c>
      <c r="E1102" s="31" t="n">
        <v>1</v>
      </c>
      <c r="F1102" s="32" t="n">
        <v>3.95</v>
      </c>
      <c r="G1102" s="32" t="n">
        <v>3.95</v>
      </c>
      <c r="H1102" s="31" t="s">
        <v>45</v>
      </c>
      <c r="I1102" s="31" t="s">
        <v>84</v>
      </c>
      <c r="J1102" s="31" t="s">
        <v>1501</v>
      </c>
      <c r="K1102" s="31" t="s">
        <v>202</v>
      </c>
    </row>
    <row r="1103" customFormat="false" ht="15" hidden="false" customHeight="false" outlineLevel="0" collapsed="false">
      <c r="A1103" s="31" t="s">
        <v>1499</v>
      </c>
      <c r="B1103" s="31" t="s">
        <v>1502</v>
      </c>
      <c r="C1103" s="31" t="s">
        <v>20</v>
      </c>
      <c r="D1103" s="31" t="s">
        <v>69</v>
      </c>
      <c r="E1103" s="31" t="n">
        <v>2</v>
      </c>
      <c r="F1103" s="32" t="n">
        <v>29</v>
      </c>
      <c r="G1103" s="32" t="n">
        <v>58</v>
      </c>
      <c r="H1103" s="31" t="s">
        <v>45</v>
      </c>
      <c r="I1103" s="31" t="s">
        <v>84</v>
      </c>
      <c r="J1103" s="31" t="s">
        <v>1501</v>
      </c>
      <c r="K1103" s="31" t="s">
        <v>48</v>
      </c>
    </row>
    <row r="1104" customFormat="false" ht="15" hidden="false" customHeight="false" outlineLevel="0" collapsed="false">
      <c r="A1104" s="31" t="s">
        <v>1503</v>
      </c>
      <c r="B1104" s="31" t="s">
        <v>1504</v>
      </c>
      <c r="C1104" s="31" t="s">
        <v>20</v>
      </c>
      <c r="D1104" s="31" t="s">
        <v>78</v>
      </c>
      <c r="E1104" s="31" t="n">
        <v>2</v>
      </c>
      <c r="F1104" s="32" t="n">
        <v>89</v>
      </c>
      <c r="G1104" s="32" t="n">
        <v>178</v>
      </c>
      <c r="H1104" s="31" t="s">
        <v>45</v>
      </c>
      <c r="I1104" s="31" t="s">
        <v>58</v>
      </c>
      <c r="J1104" s="31" t="s">
        <v>1432</v>
      </c>
      <c r="K1104" s="31" t="s">
        <v>48</v>
      </c>
    </row>
    <row r="1105" customFormat="false" ht="15" hidden="false" customHeight="false" outlineLevel="0" collapsed="false">
      <c r="A1105" s="31" t="s">
        <v>1503</v>
      </c>
      <c r="B1105" s="31" t="s">
        <v>1504</v>
      </c>
      <c r="C1105" s="31" t="s">
        <v>44</v>
      </c>
      <c r="D1105" s="31" t="s">
        <v>44</v>
      </c>
      <c r="E1105" s="31" t="n">
        <v>1</v>
      </c>
      <c r="F1105" s="32" t="n">
        <v>5.95</v>
      </c>
      <c r="G1105" s="32" t="n">
        <v>5.95</v>
      </c>
      <c r="H1105" s="31" t="s">
        <v>45</v>
      </c>
      <c r="I1105" s="31" t="s">
        <v>58</v>
      </c>
      <c r="J1105" s="31" t="s">
        <v>1432</v>
      </c>
      <c r="K1105" s="31" t="s">
        <v>48</v>
      </c>
    </row>
    <row r="1106" customFormat="false" ht="15" hidden="false" customHeight="false" outlineLevel="0" collapsed="false">
      <c r="A1106" s="31" t="s">
        <v>1505</v>
      </c>
      <c r="B1106" s="31" t="s">
        <v>1506</v>
      </c>
      <c r="C1106" s="31" t="s">
        <v>20</v>
      </c>
      <c r="D1106" s="31" t="s">
        <v>123</v>
      </c>
      <c r="E1106" s="31" t="n">
        <v>1</v>
      </c>
      <c r="F1106" s="32" t="n">
        <v>75</v>
      </c>
      <c r="G1106" s="32" t="n">
        <v>75</v>
      </c>
      <c r="H1106" s="31" t="s">
        <v>145</v>
      </c>
      <c r="I1106" s="31" t="s">
        <v>58</v>
      </c>
      <c r="J1106" s="31" t="s">
        <v>1507</v>
      </c>
      <c r="K1106" s="31" t="s">
        <v>48</v>
      </c>
    </row>
    <row r="1107" customFormat="false" ht="15" hidden="false" customHeight="false" outlineLevel="0" collapsed="false">
      <c r="A1107" s="31" t="s">
        <v>1505</v>
      </c>
      <c r="B1107" s="31" t="s">
        <v>1508</v>
      </c>
      <c r="C1107" s="31" t="s">
        <v>20</v>
      </c>
      <c r="D1107" s="31" t="s">
        <v>52</v>
      </c>
      <c r="E1107" s="31" t="n">
        <v>2</v>
      </c>
      <c r="F1107" s="32" t="n">
        <v>22</v>
      </c>
      <c r="G1107" s="32" t="n">
        <v>44</v>
      </c>
      <c r="H1107" s="31" t="s">
        <v>145</v>
      </c>
      <c r="I1107" s="31" t="s">
        <v>58</v>
      </c>
      <c r="J1107" s="31" t="s">
        <v>1507</v>
      </c>
      <c r="K1107" s="31" t="s">
        <v>48</v>
      </c>
    </row>
    <row r="1108" customFormat="false" ht="15" hidden="false" customHeight="false" outlineLevel="0" collapsed="false">
      <c r="A1108" s="31" t="s">
        <v>1505</v>
      </c>
      <c r="B1108" s="31" t="s">
        <v>1506</v>
      </c>
      <c r="C1108" s="31" t="s">
        <v>44</v>
      </c>
      <c r="D1108" s="31" t="s">
        <v>44</v>
      </c>
      <c r="E1108" s="31" t="n">
        <v>1</v>
      </c>
      <c r="F1108" s="32" t="n">
        <v>5.95</v>
      </c>
      <c r="G1108" s="32" t="n">
        <v>5.95</v>
      </c>
      <c r="H1108" s="31" t="s">
        <v>145</v>
      </c>
      <c r="I1108" s="31" t="s">
        <v>58</v>
      </c>
      <c r="J1108" s="31" t="s">
        <v>1507</v>
      </c>
      <c r="K1108" s="31" t="s">
        <v>48</v>
      </c>
    </row>
    <row r="1109" customFormat="false" ht="15" hidden="false" customHeight="false" outlineLevel="0" collapsed="false">
      <c r="A1109" s="31" t="s">
        <v>1509</v>
      </c>
      <c r="B1109" s="31" t="s">
        <v>1510</v>
      </c>
      <c r="C1109" s="31" t="s">
        <v>44</v>
      </c>
      <c r="D1109" s="31" t="s">
        <v>44</v>
      </c>
      <c r="E1109" s="31" t="n">
        <v>1</v>
      </c>
      <c r="F1109" s="32" t="n">
        <v>0</v>
      </c>
      <c r="G1109" s="32" t="n">
        <v>0</v>
      </c>
      <c r="H1109" s="31" t="s">
        <v>45</v>
      </c>
      <c r="I1109" s="31" t="s">
        <v>58</v>
      </c>
      <c r="J1109" s="31" t="s">
        <v>1511</v>
      </c>
      <c r="K1109" s="31" t="s">
        <v>48</v>
      </c>
    </row>
    <row r="1110" customFormat="false" ht="15" hidden="false" customHeight="false" outlineLevel="0" collapsed="false">
      <c r="A1110" s="31" t="s">
        <v>1509</v>
      </c>
      <c r="B1110" s="31" t="s">
        <v>1510</v>
      </c>
      <c r="C1110" s="31" t="s">
        <v>20</v>
      </c>
      <c r="D1110" s="31" t="s">
        <v>87</v>
      </c>
      <c r="E1110" s="31" t="n">
        <v>1</v>
      </c>
      <c r="F1110" s="32" t="n">
        <v>35</v>
      </c>
      <c r="G1110" s="32" t="n">
        <v>35</v>
      </c>
      <c r="H1110" s="31" t="s">
        <v>45</v>
      </c>
      <c r="I1110" s="31" t="s">
        <v>58</v>
      </c>
      <c r="J1110" s="31" t="s">
        <v>1511</v>
      </c>
      <c r="K1110" s="31" t="s">
        <v>48</v>
      </c>
    </row>
    <row r="1111" customFormat="false" ht="15" hidden="false" customHeight="false" outlineLevel="0" collapsed="false">
      <c r="A1111" s="31" t="s">
        <v>1512</v>
      </c>
      <c r="B1111" s="31" t="s">
        <v>1513</v>
      </c>
      <c r="C1111" s="31" t="s">
        <v>20</v>
      </c>
      <c r="D1111" s="31" t="s">
        <v>69</v>
      </c>
      <c r="E1111" s="31" t="n">
        <v>1</v>
      </c>
      <c r="F1111" s="32" t="n">
        <v>29</v>
      </c>
      <c r="G1111" s="32" t="n">
        <v>29</v>
      </c>
      <c r="H1111" s="31" t="s">
        <v>145</v>
      </c>
      <c r="I1111" s="31" t="s">
        <v>58</v>
      </c>
      <c r="J1111" s="31" t="s">
        <v>1514</v>
      </c>
      <c r="K1111" s="31" t="s">
        <v>48</v>
      </c>
    </row>
    <row r="1112" customFormat="false" ht="15" hidden="false" customHeight="false" outlineLevel="0" collapsed="false">
      <c r="A1112" s="31" t="s">
        <v>1512</v>
      </c>
      <c r="B1112" s="31" t="s">
        <v>1515</v>
      </c>
      <c r="C1112" s="31" t="s">
        <v>20</v>
      </c>
      <c r="D1112" s="31" t="s">
        <v>87</v>
      </c>
      <c r="E1112" s="31" t="n">
        <v>1</v>
      </c>
      <c r="F1112" s="32" t="n">
        <v>35</v>
      </c>
      <c r="G1112" s="32" t="n">
        <v>35</v>
      </c>
      <c r="H1112" s="31" t="s">
        <v>145</v>
      </c>
      <c r="I1112" s="31" t="s">
        <v>58</v>
      </c>
      <c r="J1112" s="31" t="s">
        <v>1514</v>
      </c>
      <c r="K1112" s="31" t="s">
        <v>48</v>
      </c>
    </row>
    <row r="1113" customFormat="false" ht="15" hidden="false" customHeight="false" outlineLevel="0" collapsed="false">
      <c r="A1113" s="31" t="s">
        <v>1512</v>
      </c>
      <c r="B1113" s="31" t="s">
        <v>1513</v>
      </c>
      <c r="C1113" s="31" t="s">
        <v>20</v>
      </c>
      <c r="D1113" s="31" t="s">
        <v>78</v>
      </c>
      <c r="E1113" s="31" t="n">
        <v>1</v>
      </c>
      <c r="F1113" s="32" t="n">
        <v>89</v>
      </c>
      <c r="G1113" s="32" t="n">
        <v>89</v>
      </c>
      <c r="H1113" s="31" t="s">
        <v>145</v>
      </c>
      <c r="I1113" s="31" t="s">
        <v>58</v>
      </c>
      <c r="J1113" s="31" t="s">
        <v>1514</v>
      </c>
      <c r="K1113" s="31" t="s">
        <v>48</v>
      </c>
    </row>
    <row r="1114" customFormat="false" ht="15" hidden="false" customHeight="false" outlineLevel="0" collapsed="false">
      <c r="A1114" s="31" t="s">
        <v>1512</v>
      </c>
      <c r="B1114" s="31" t="s">
        <v>1513</v>
      </c>
      <c r="C1114" s="31" t="s">
        <v>44</v>
      </c>
      <c r="D1114" s="31" t="s">
        <v>44</v>
      </c>
      <c r="E1114" s="31" t="n">
        <v>1</v>
      </c>
      <c r="F1114" s="32" t="n">
        <v>0</v>
      </c>
      <c r="G1114" s="32" t="n">
        <v>0</v>
      </c>
      <c r="H1114" s="31" t="s">
        <v>145</v>
      </c>
      <c r="I1114" s="31" t="s">
        <v>58</v>
      </c>
      <c r="J1114" s="31" t="s">
        <v>1514</v>
      </c>
      <c r="K1114" s="31" t="s">
        <v>48</v>
      </c>
    </row>
    <row r="1115" customFormat="false" ht="15" hidden="false" customHeight="false" outlineLevel="0" collapsed="false">
      <c r="A1115" s="31" t="s">
        <v>1516</v>
      </c>
      <c r="B1115" s="31" t="s">
        <v>1517</v>
      </c>
      <c r="C1115" s="31" t="s">
        <v>50</v>
      </c>
      <c r="D1115" s="31" t="s">
        <v>51</v>
      </c>
      <c r="E1115" s="31" t="n">
        <v>1</v>
      </c>
      <c r="F1115" s="32" t="n">
        <v>-15</v>
      </c>
      <c r="G1115" s="32" t="n">
        <v>-15</v>
      </c>
      <c r="H1115" s="31" t="s">
        <v>57</v>
      </c>
      <c r="I1115" s="31" t="s">
        <v>58</v>
      </c>
      <c r="J1115" s="31" t="s">
        <v>1254</v>
      </c>
      <c r="K1115" s="31" t="s">
        <v>48</v>
      </c>
    </row>
    <row r="1116" customFormat="false" ht="15" hidden="false" customHeight="false" outlineLevel="0" collapsed="false">
      <c r="A1116" s="31" t="s">
        <v>1516</v>
      </c>
      <c r="B1116" s="31" t="s">
        <v>1517</v>
      </c>
      <c r="C1116" s="31" t="s">
        <v>20</v>
      </c>
      <c r="D1116" s="31" t="s">
        <v>123</v>
      </c>
      <c r="E1116" s="31" t="n">
        <v>1</v>
      </c>
      <c r="F1116" s="32" t="n">
        <v>75</v>
      </c>
      <c r="G1116" s="32" t="n">
        <v>75</v>
      </c>
      <c r="H1116" s="31" t="s">
        <v>57</v>
      </c>
      <c r="I1116" s="31" t="s">
        <v>58</v>
      </c>
      <c r="J1116" s="31" t="s">
        <v>1254</v>
      </c>
      <c r="K1116" s="31" t="s">
        <v>48</v>
      </c>
    </row>
    <row r="1117" customFormat="false" ht="15" hidden="false" customHeight="false" outlineLevel="0" collapsed="false">
      <c r="A1117" s="31" t="s">
        <v>1518</v>
      </c>
      <c r="B1117" s="31" t="s">
        <v>1519</v>
      </c>
      <c r="C1117" s="31" t="s">
        <v>20</v>
      </c>
      <c r="D1117" s="31" t="s">
        <v>78</v>
      </c>
      <c r="E1117" s="31" t="n">
        <v>1</v>
      </c>
      <c r="F1117" s="32" t="n">
        <v>89</v>
      </c>
      <c r="G1117" s="32" t="n">
        <v>89</v>
      </c>
      <c r="H1117" s="31" t="s">
        <v>57</v>
      </c>
      <c r="I1117" s="31" t="s">
        <v>84</v>
      </c>
      <c r="J1117" s="31" t="s">
        <v>1520</v>
      </c>
      <c r="K1117" s="31" t="s">
        <v>48</v>
      </c>
    </row>
    <row r="1118" customFormat="false" ht="15" hidden="false" customHeight="false" outlineLevel="0" collapsed="false">
      <c r="A1118" s="31" t="s">
        <v>1518</v>
      </c>
      <c r="B1118" s="31" t="s">
        <v>1521</v>
      </c>
      <c r="C1118" s="31" t="s">
        <v>20</v>
      </c>
      <c r="D1118" s="31" t="s">
        <v>123</v>
      </c>
      <c r="E1118" s="31" t="n">
        <v>1</v>
      </c>
      <c r="F1118" s="32" t="n">
        <v>75</v>
      </c>
      <c r="G1118" s="32" t="n">
        <v>75</v>
      </c>
      <c r="H1118" s="31" t="s">
        <v>57</v>
      </c>
      <c r="I1118" s="31" t="s">
        <v>84</v>
      </c>
      <c r="J1118" s="31" t="s">
        <v>1520</v>
      </c>
      <c r="K1118" s="31" t="s">
        <v>48</v>
      </c>
    </row>
    <row r="1119" customFormat="false" ht="15" hidden="false" customHeight="false" outlineLevel="0" collapsed="false">
      <c r="A1119" s="31" t="s">
        <v>1522</v>
      </c>
      <c r="B1119" s="31" t="s">
        <v>1523</v>
      </c>
      <c r="C1119" s="31" t="s">
        <v>20</v>
      </c>
      <c r="D1119" s="31" t="s">
        <v>73</v>
      </c>
      <c r="E1119" s="31" t="n">
        <v>2</v>
      </c>
      <c r="F1119" s="32" t="n">
        <v>69</v>
      </c>
      <c r="G1119" s="32" t="n">
        <v>138</v>
      </c>
      <c r="H1119" s="31" t="s">
        <v>184</v>
      </c>
      <c r="I1119" s="31" t="s">
        <v>58</v>
      </c>
      <c r="J1119" s="31" t="s">
        <v>1524</v>
      </c>
      <c r="K1119" s="31" t="s">
        <v>48</v>
      </c>
    </row>
    <row r="1120" customFormat="false" ht="15" hidden="false" customHeight="false" outlineLevel="0" collapsed="false">
      <c r="A1120" s="31" t="s">
        <v>1525</v>
      </c>
      <c r="B1120" s="31" t="s">
        <v>1526</v>
      </c>
      <c r="C1120" s="31" t="s">
        <v>20</v>
      </c>
      <c r="D1120" s="31" t="s">
        <v>73</v>
      </c>
      <c r="E1120" s="31" t="n">
        <v>1</v>
      </c>
      <c r="F1120" s="32" t="n">
        <v>69</v>
      </c>
      <c r="G1120" s="32" t="n">
        <v>69</v>
      </c>
      <c r="H1120" s="31" t="s">
        <v>45</v>
      </c>
      <c r="I1120" s="31" t="s">
        <v>104</v>
      </c>
      <c r="J1120" s="31" t="s">
        <v>1527</v>
      </c>
      <c r="K1120" s="31" t="s">
        <v>48</v>
      </c>
    </row>
    <row r="1121" customFormat="false" ht="15" hidden="false" customHeight="false" outlineLevel="0" collapsed="false">
      <c r="A1121" s="31" t="s">
        <v>1528</v>
      </c>
      <c r="B1121" s="31" t="s">
        <v>1529</v>
      </c>
      <c r="C1121" s="31" t="s">
        <v>44</v>
      </c>
      <c r="D1121" s="31" t="s">
        <v>44</v>
      </c>
      <c r="E1121" s="31" t="n">
        <v>1</v>
      </c>
      <c r="F1121" s="32" t="n">
        <v>4.95</v>
      </c>
      <c r="G1121" s="32" t="n">
        <v>4.95</v>
      </c>
      <c r="H1121" s="31" t="s">
        <v>45</v>
      </c>
      <c r="I1121" s="31" t="s">
        <v>84</v>
      </c>
      <c r="J1121" s="31" t="s">
        <v>1530</v>
      </c>
      <c r="K1121" s="31" t="s">
        <v>48</v>
      </c>
    </row>
    <row r="1122" customFormat="false" ht="15" hidden="false" customHeight="false" outlineLevel="0" collapsed="false">
      <c r="A1122" s="31" t="s">
        <v>1528</v>
      </c>
      <c r="B1122" s="31" t="s">
        <v>1531</v>
      </c>
      <c r="C1122" s="31" t="s">
        <v>20</v>
      </c>
      <c r="D1122" s="31" t="s">
        <v>66</v>
      </c>
      <c r="E1122" s="31" t="n">
        <v>1</v>
      </c>
      <c r="F1122" s="32" t="n">
        <v>32</v>
      </c>
      <c r="G1122" s="32" t="n">
        <v>32</v>
      </c>
      <c r="H1122" s="31" t="s">
        <v>45</v>
      </c>
      <c r="I1122" s="31" t="s">
        <v>84</v>
      </c>
      <c r="J1122" s="31" t="s">
        <v>1530</v>
      </c>
      <c r="K1122" s="31" t="s">
        <v>48</v>
      </c>
    </row>
    <row r="1123" customFormat="false" ht="15" hidden="false" customHeight="false" outlineLevel="0" collapsed="false">
      <c r="A1123" s="31" t="s">
        <v>1532</v>
      </c>
      <c r="B1123" s="31" t="s">
        <v>1533</v>
      </c>
      <c r="C1123" s="31" t="s">
        <v>20</v>
      </c>
      <c r="D1123" s="31" t="s">
        <v>73</v>
      </c>
      <c r="E1123" s="31" t="n">
        <v>2</v>
      </c>
      <c r="F1123" s="32" t="n">
        <v>69</v>
      </c>
      <c r="G1123" s="32" t="n">
        <v>138</v>
      </c>
      <c r="H1123" s="31" t="s">
        <v>145</v>
      </c>
      <c r="I1123" s="31" t="s">
        <v>58</v>
      </c>
      <c r="J1123" s="31"/>
      <c r="K1123" s="31" t="s">
        <v>48</v>
      </c>
    </row>
    <row r="1124" customFormat="false" ht="15" hidden="false" customHeight="false" outlineLevel="0" collapsed="false">
      <c r="A1124" s="31" t="s">
        <v>1532</v>
      </c>
      <c r="B1124" s="31" t="s">
        <v>1533</v>
      </c>
      <c r="C1124" s="31" t="s">
        <v>20</v>
      </c>
      <c r="D1124" s="31" t="s">
        <v>140</v>
      </c>
      <c r="E1124" s="31" t="n">
        <v>2</v>
      </c>
      <c r="F1124" s="32" t="n">
        <v>26</v>
      </c>
      <c r="G1124" s="32" t="n">
        <v>52</v>
      </c>
      <c r="H1124" s="31" t="s">
        <v>145</v>
      </c>
      <c r="I1124" s="31" t="s">
        <v>58</v>
      </c>
      <c r="J1124" s="31"/>
      <c r="K1124" s="31" t="s">
        <v>48</v>
      </c>
    </row>
    <row r="1125" customFormat="false" ht="15" hidden="false" customHeight="false" outlineLevel="0" collapsed="false">
      <c r="A1125" s="31" t="s">
        <v>1532</v>
      </c>
      <c r="B1125" s="31" t="s">
        <v>1533</v>
      </c>
      <c r="C1125" s="31" t="s">
        <v>44</v>
      </c>
      <c r="D1125" s="31" t="s">
        <v>44</v>
      </c>
      <c r="E1125" s="31" t="n">
        <v>1</v>
      </c>
      <c r="F1125" s="32" t="n">
        <v>4.95</v>
      </c>
      <c r="G1125" s="32" t="n">
        <v>4.95</v>
      </c>
      <c r="H1125" s="31" t="s">
        <v>145</v>
      </c>
      <c r="I1125" s="31" t="s">
        <v>58</v>
      </c>
      <c r="J1125" s="31"/>
      <c r="K1125" s="31" t="s">
        <v>48</v>
      </c>
    </row>
    <row r="1126" customFormat="false" ht="15" hidden="false" customHeight="false" outlineLevel="0" collapsed="false">
      <c r="A1126" s="31" t="s">
        <v>1534</v>
      </c>
      <c r="B1126" s="31" t="s">
        <v>1535</v>
      </c>
      <c r="C1126" s="31" t="s">
        <v>44</v>
      </c>
      <c r="D1126" s="31" t="s">
        <v>44</v>
      </c>
      <c r="E1126" s="31" t="n">
        <v>1</v>
      </c>
      <c r="F1126" s="32" t="n">
        <v>3.95</v>
      </c>
      <c r="G1126" s="32" t="n">
        <v>3.95</v>
      </c>
      <c r="H1126" s="31" t="s">
        <v>184</v>
      </c>
      <c r="I1126" s="31" t="s">
        <v>155</v>
      </c>
      <c r="J1126" s="31" t="s">
        <v>398</v>
      </c>
      <c r="K1126" s="31" t="s">
        <v>48</v>
      </c>
    </row>
    <row r="1127" customFormat="false" ht="15" hidden="false" customHeight="false" outlineLevel="0" collapsed="false">
      <c r="A1127" s="31" t="s">
        <v>1534</v>
      </c>
      <c r="B1127" s="31" t="s">
        <v>1536</v>
      </c>
      <c r="C1127" s="31" t="s">
        <v>20</v>
      </c>
      <c r="D1127" s="31" t="s">
        <v>140</v>
      </c>
      <c r="E1127" s="31" t="n">
        <v>1</v>
      </c>
      <c r="F1127" s="32" t="n">
        <v>26</v>
      </c>
      <c r="G1127" s="32" t="n">
        <v>26</v>
      </c>
      <c r="H1127" s="31" t="s">
        <v>184</v>
      </c>
      <c r="I1127" s="31" t="s">
        <v>155</v>
      </c>
      <c r="J1127" s="31" t="s">
        <v>398</v>
      </c>
      <c r="K1127" s="31" t="s">
        <v>48</v>
      </c>
    </row>
    <row r="1128" customFormat="false" ht="15" hidden="false" customHeight="false" outlineLevel="0" collapsed="false">
      <c r="A1128" s="31" t="s">
        <v>1534</v>
      </c>
      <c r="B1128" s="31" t="s">
        <v>1535</v>
      </c>
      <c r="C1128" s="31" t="s">
        <v>20</v>
      </c>
      <c r="D1128" s="31" t="s">
        <v>52</v>
      </c>
      <c r="E1128" s="31" t="n">
        <v>1</v>
      </c>
      <c r="F1128" s="32" t="n">
        <v>22</v>
      </c>
      <c r="G1128" s="32" t="n">
        <v>22</v>
      </c>
      <c r="H1128" s="31" t="s">
        <v>184</v>
      </c>
      <c r="I1128" s="31" t="s">
        <v>155</v>
      </c>
      <c r="J1128" s="31" t="s">
        <v>398</v>
      </c>
      <c r="K1128" s="31" t="s">
        <v>48</v>
      </c>
    </row>
    <row r="1129" customFormat="false" ht="15" hidden="false" customHeight="false" outlineLevel="0" collapsed="false">
      <c r="A1129" s="31" t="s">
        <v>1537</v>
      </c>
      <c r="B1129" s="31" t="s">
        <v>1538</v>
      </c>
      <c r="C1129" s="31" t="s">
        <v>20</v>
      </c>
      <c r="D1129" s="31" t="s">
        <v>56</v>
      </c>
      <c r="E1129" s="31" t="n">
        <v>1</v>
      </c>
      <c r="F1129" s="32" t="n">
        <v>45</v>
      </c>
      <c r="G1129" s="32" t="n">
        <v>45</v>
      </c>
      <c r="H1129" s="31" t="s">
        <v>45</v>
      </c>
      <c r="I1129" s="31" t="s">
        <v>58</v>
      </c>
      <c r="J1129" s="31"/>
      <c r="K1129" s="31" t="s">
        <v>48</v>
      </c>
    </row>
    <row r="1130" customFormat="false" ht="15" hidden="false" customHeight="false" outlineLevel="0" collapsed="false">
      <c r="A1130" s="31" t="s">
        <v>1537</v>
      </c>
      <c r="B1130" s="31" t="s">
        <v>1538</v>
      </c>
      <c r="C1130" s="31" t="s">
        <v>20</v>
      </c>
      <c r="D1130" s="31" t="s">
        <v>87</v>
      </c>
      <c r="E1130" s="31" t="n">
        <v>1</v>
      </c>
      <c r="F1130" s="32" t="n">
        <v>35</v>
      </c>
      <c r="G1130" s="32" t="n">
        <v>35</v>
      </c>
      <c r="H1130" s="31" t="s">
        <v>45</v>
      </c>
      <c r="I1130" s="31" t="s">
        <v>58</v>
      </c>
      <c r="J1130" s="31"/>
      <c r="K1130" s="31" t="s">
        <v>48</v>
      </c>
    </row>
    <row r="1131" customFormat="false" ht="15" hidden="false" customHeight="false" outlineLevel="0" collapsed="false">
      <c r="A1131" s="31" t="s">
        <v>1539</v>
      </c>
      <c r="B1131" s="31" t="s">
        <v>1540</v>
      </c>
      <c r="C1131" s="31" t="s">
        <v>20</v>
      </c>
      <c r="D1131" s="31" t="s">
        <v>63</v>
      </c>
      <c r="E1131" s="31" t="n">
        <v>1</v>
      </c>
      <c r="F1131" s="32" t="n">
        <v>14</v>
      </c>
      <c r="G1131" s="32" t="n">
        <v>14</v>
      </c>
      <c r="H1131" s="31" t="s">
        <v>145</v>
      </c>
      <c r="I1131" s="31" t="s">
        <v>121</v>
      </c>
      <c r="J1131" s="31" t="s">
        <v>1541</v>
      </c>
      <c r="K1131" s="31" t="s">
        <v>48</v>
      </c>
    </row>
    <row r="1132" customFormat="false" ht="15" hidden="false" customHeight="false" outlineLevel="0" collapsed="false">
      <c r="A1132" s="31" t="s">
        <v>1539</v>
      </c>
      <c r="B1132" s="31" t="s">
        <v>1542</v>
      </c>
      <c r="C1132" s="31" t="s">
        <v>50</v>
      </c>
      <c r="D1132" s="31" t="s">
        <v>51</v>
      </c>
      <c r="E1132" s="31" t="n">
        <v>1</v>
      </c>
      <c r="F1132" s="32" t="n">
        <v>-15</v>
      </c>
      <c r="G1132" s="32" t="n">
        <v>-15</v>
      </c>
      <c r="H1132" s="31" t="s">
        <v>145</v>
      </c>
      <c r="I1132" s="31" t="s">
        <v>121</v>
      </c>
      <c r="J1132" s="31" t="s">
        <v>1541</v>
      </c>
      <c r="K1132" s="31" t="s">
        <v>48</v>
      </c>
    </row>
    <row r="1133" customFormat="false" ht="15" hidden="false" customHeight="false" outlineLevel="0" collapsed="false">
      <c r="A1133" s="31" t="s">
        <v>1543</v>
      </c>
      <c r="B1133" s="31" t="s">
        <v>1544</v>
      </c>
      <c r="C1133" s="31" t="s">
        <v>20</v>
      </c>
      <c r="D1133" s="31" t="s">
        <v>52</v>
      </c>
      <c r="E1133" s="31" t="n">
        <v>1</v>
      </c>
      <c r="F1133" s="32" t="n">
        <v>22</v>
      </c>
      <c r="G1133" s="32" t="n">
        <v>22</v>
      </c>
      <c r="H1133" s="31" t="s">
        <v>160</v>
      </c>
      <c r="I1133" s="31" t="s">
        <v>58</v>
      </c>
      <c r="J1133" s="31"/>
      <c r="K1133" s="31" t="s">
        <v>48</v>
      </c>
    </row>
    <row r="1134" customFormat="false" ht="15" hidden="false" customHeight="false" outlineLevel="0" collapsed="false">
      <c r="A1134" s="31" t="s">
        <v>1543</v>
      </c>
      <c r="B1134" s="31" t="s">
        <v>1544</v>
      </c>
      <c r="C1134" s="31" t="s">
        <v>44</v>
      </c>
      <c r="D1134" s="31" t="s">
        <v>44</v>
      </c>
      <c r="E1134" s="31" t="n">
        <v>1</v>
      </c>
      <c r="F1134" s="32" t="n">
        <v>3.95</v>
      </c>
      <c r="G1134" s="32" t="n">
        <v>3.95</v>
      </c>
      <c r="H1134" s="31" t="s">
        <v>160</v>
      </c>
      <c r="I1134" s="31" t="s">
        <v>58</v>
      </c>
      <c r="J1134" s="31"/>
      <c r="K1134" s="31" t="s">
        <v>48</v>
      </c>
    </row>
    <row r="1135" customFormat="false" ht="15" hidden="false" customHeight="false" outlineLevel="0" collapsed="false">
      <c r="A1135" s="31" t="s">
        <v>1545</v>
      </c>
      <c r="B1135" s="31" t="s">
        <v>1546</v>
      </c>
      <c r="C1135" s="31" t="s">
        <v>20</v>
      </c>
      <c r="D1135" s="31" t="s">
        <v>78</v>
      </c>
      <c r="E1135" s="31" t="n">
        <v>1</v>
      </c>
      <c r="F1135" s="32" t="n">
        <v>89</v>
      </c>
      <c r="G1135" s="32" t="n">
        <v>89</v>
      </c>
      <c r="H1135" s="31" t="s">
        <v>145</v>
      </c>
      <c r="I1135" s="31" t="s">
        <v>58</v>
      </c>
      <c r="J1135" s="31" t="s">
        <v>1547</v>
      </c>
      <c r="K1135" s="31" t="s">
        <v>48</v>
      </c>
    </row>
    <row r="1136" customFormat="false" ht="15" hidden="false" customHeight="false" outlineLevel="0" collapsed="false">
      <c r="A1136" s="31" t="s">
        <v>1545</v>
      </c>
      <c r="B1136" s="31" t="s">
        <v>1546</v>
      </c>
      <c r="C1136" s="31" t="s">
        <v>44</v>
      </c>
      <c r="D1136" s="31" t="s">
        <v>44</v>
      </c>
      <c r="E1136" s="31" t="n">
        <v>1</v>
      </c>
      <c r="F1136" s="32" t="n">
        <v>5.95</v>
      </c>
      <c r="G1136" s="32" t="n">
        <v>5.95</v>
      </c>
      <c r="H1136" s="31" t="s">
        <v>145</v>
      </c>
      <c r="I1136" s="31" t="s">
        <v>58</v>
      </c>
      <c r="J1136" s="31" t="s">
        <v>1547</v>
      </c>
      <c r="K1136" s="31" t="s">
        <v>48</v>
      </c>
    </row>
    <row r="1137" customFormat="false" ht="15" hidden="false" customHeight="false" outlineLevel="0" collapsed="false">
      <c r="A1137" s="31" t="s">
        <v>1548</v>
      </c>
      <c r="B1137" s="31" t="s">
        <v>1549</v>
      </c>
      <c r="C1137" s="31" t="s">
        <v>20</v>
      </c>
      <c r="D1137" s="31" t="s">
        <v>66</v>
      </c>
      <c r="E1137" s="31" t="n">
        <v>1</v>
      </c>
      <c r="F1137" s="32" t="n">
        <v>32</v>
      </c>
      <c r="G1137" s="32" t="n">
        <v>32</v>
      </c>
      <c r="H1137" s="31" t="s">
        <v>45</v>
      </c>
      <c r="I1137" s="31" t="s">
        <v>58</v>
      </c>
      <c r="J1137" s="31" t="s">
        <v>1550</v>
      </c>
      <c r="K1137" s="31" t="s">
        <v>48</v>
      </c>
    </row>
    <row r="1138" customFormat="false" ht="15" hidden="false" customHeight="false" outlineLevel="0" collapsed="false">
      <c r="A1138" s="31" t="s">
        <v>1551</v>
      </c>
      <c r="B1138" s="31" t="s">
        <v>1552</v>
      </c>
      <c r="C1138" s="31" t="s">
        <v>20</v>
      </c>
      <c r="D1138" s="31" t="s">
        <v>69</v>
      </c>
      <c r="E1138" s="31" t="n">
        <v>2</v>
      </c>
      <c r="F1138" s="32" t="n">
        <v>29</v>
      </c>
      <c r="G1138" s="32" t="n">
        <v>58</v>
      </c>
      <c r="H1138" s="31" t="s">
        <v>45</v>
      </c>
      <c r="I1138" s="31" t="s">
        <v>58</v>
      </c>
      <c r="J1138" s="31"/>
      <c r="K1138" s="31" t="s">
        <v>48</v>
      </c>
    </row>
    <row r="1139" customFormat="false" ht="15" hidden="false" customHeight="false" outlineLevel="0" collapsed="false">
      <c r="A1139" s="31" t="s">
        <v>1551</v>
      </c>
      <c r="B1139" s="31" t="s">
        <v>1552</v>
      </c>
      <c r="C1139" s="31" t="s">
        <v>20</v>
      </c>
      <c r="D1139" s="31" t="s">
        <v>56</v>
      </c>
      <c r="E1139" s="31" t="n">
        <v>2</v>
      </c>
      <c r="F1139" s="32" t="n">
        <v>45</v>
      </c>
      <c r="G1139" s="32" t="n">
        <v>90</v>
      </c>
      <c r="H1139" s="31" t="s">
        <v>45</v>
      </c>
      <c r="I1139" s="31" t="s">
        <v>58</v>
      </c>
      <c r="J1139" s="31"/>
      <c r="K1139" s="31" t="s">
        <v>48</v>
      </c>
    </row>
    <row r="1140" customFormat="false" ht="15" hidden="false" customHeight="false" outlineLevel="0" collapsed="false">
      <c r="A1140" s="31" t="s">
        <v>1551</v>
      </c>
      <c r="B1140" s="31" t="s">
        <v>1552</v>
      </c>
      <c r="C1140" s="31" t="s">
        <v>44</v>
      </c>
      <c r="D1140" s="31" t="s">
        <v>44</v>
      </c>
      <c r="E1140" s="31" t="n">
        <v>1</v>
      </c>
      <c r="F1140" s="32" t="n">
        <v>3.95</v>
      </c>
      <c r="G1140" s="32" t="n">
        <v>3.95</v>
      </c>
      <c r="H1140" s="31" t="s">
        <v>45</v>
      </c>
      <c r="I1140" s="31" t="s">
        <v>58</v>
      </c>
      <c r="J1140" s="31"/>
      <c r="K1140" s="31" t="s">
        <v>48</v>
      </c>
    </row>
    <row r="1141" customFormat="false" ht="15" hidden="false" customHeight="false" outlineLevel="0" collapsed="false">
      <c r="A1141" s="31" t="s">
        <v>1553</v>
      </c>
      <c r="B1141" s="31" t="s">
        <v>1554</v>
      </c>
      <c r="C1141" s="31" t="s">
        <v>20</v>
      </c>
      <c r="D1141" s="31" t="s">
        <v>78</v>
      </c>
      <c r="E1141" s="31" t="n">
        <v>1</v>
      </c>
      <c r="F1141" s="32" t="n">
        <v>89</v>
      </c>
      <c r="G1141" s="32" t="n">
        <v>89</v>
      </c>
      <c r="H1141" s="31" t="s">
        <v>45</v>
      </c>
      <c r="I1141" s="31" t="s">
        <v>58</v>
      </c>
      <c r="J1141" s="31" t="s">
        <v>1555</v>
      </c>
      <c r="K1141" s="31" t="s">
        <v>48</v>
      </c>
    </row>
    <row r="1142" customFormat="false" ht="15" hidden="false" customHeight="false" outlineLevel="0" collapsed="false">
      <c r="A1142" s="31" t="s">
        <v>1553</v>
      </c>
      <c r="B1142" s="31" t="s">
        <v>1556</v>
      </c>
      <c r="C1142" s="31" t="s">
        <v>44</v>
      </c>
      <c r="D1142" s="31" t="s">
        <v>44</v>
      </c>
      <c r="E1142" s="31" t="n">
        <v>1</v>
      </c>
      <c r="F1142" s="32" t="n">
        <v>5.95</v>
      </c>
      <c r="G1142" s="32" t="n">
        <v>5.95</v>
      </c>
      <c r="H1142" s="31" t="s">
        <v>45</v>
      </c>
      <c r="I1142" s="31" t="s">
        <v>58</v>
      </c>
      <c r="J1142" s="31" t="s">
        <v>1555</v>
      </c>
      <c r="K1142" s="31" t="s">
        <v>48</v>
      </c>
    </row>
    <row r="1143" customFormat="false" ht="15" hidden="false" customHeight="false" outlineLevel="0" collapsed="false">
      <c r="A1143" s="31" t="s">
        <v>1553</v>
      </c>
      <c r="B1143" s="31" t="s">
        <v>1554</v>
      </c>
      <c r="C1143" s="31" t="s">
        <v>20</v>
      </c>
      <c r="D1143" s="31" t="s">
        <v>69</v>
      </c>
      <c r="E1143" s="31" t="n">
        <v>1</v>
      </c>
      <c r="F1143" s="32" t="n">
        <v>29</v>
      </c>
      <c r="G1143" s="32" t="n">
        <v>29</v>
      </c>
      <c r="H1143" s="31" t="s">
        <v>45</v>
      </c>
      <c r="I1143" s="31" t="s">
        <v>58</v>
      </c>
      <c r="J1143" s="31" t="s">
        <v>1555</v>
      </c>
      <c r="K1143" s="31" t="s">
        <v>48</v>
      </c>
    </row>
    <row r="1144" customFormat="false" ht="15" hidden="false" customHeight="false" outlineLevel="0" collapsed="false">
      <c r="A1144" s="31" t="s">
        <v>1557</v>
      </c>
      <c r="B1144" s="31" t="s">
        <v>1558</v>
      </c>
      <c r="C1144" s="31" t="s">
        <v>44</v>
      </c>
      <c r="D1144" s="31" t="s">
        <v>44</v>
      </c>
      <c r="E1144" s="31" t="n">
        <v>1</v>
      </c>
      <c r="F1144" s="32" t="n">
        <v>4.95</v>
      </c>
      <c r="G1144" s="32" t="n">
        <v>4.95</v>
      </c>
      <c r="H1144" s="31" t="s">
        <v>45</v>
      </c>
      <c r="I1144" s="31" t="s">
        <v>58</v>
      </c>
      <c r="J1144" s="31"/>
      <c r="K1144" s="31" t="s">
        <v>48</v>
      </c>
    </row>
    <row r="1145" customFormat="false" ht="15" hidden="false" customHeight="false" outlineLevel="0" collapsed="false">
      <c r="A1145" s="31" t="s">
        <v>1557</v>
      </c>
      <c r="B1145" s="31" t="s">
        <v>1558</v>
      </c>
      <c r="C1145" s="31" t="s">
        <v>20</v>
      </c>
      <c r="D1145" s="31" t="s">
        <v>123</v>
      </c>
      <c r="E1145" s="31" t="n">
        <v>1</v>
      </c>
      <c r="F1145" s="32" t="n">
        <v>75</v>
      </c>
      <c r="G1145" s="32" t="n">
        <v>75</v>
      </c>
      <c r="H1145" s="31" t="s">
        <v>45</v>
      </c>
      <c r="I1145" s="31" t="s">
        <v>58</v>
      </c>
      <c r="J1145" s="31"/>
      <c r="K1145" s="31" t="s">
        <v>48</v>
      </c>
    </row>
    <row r="1146" customFormat="false" ht="15" hidden="false" customHeight="false" outlineLevel="0" collapsed="false">
      <c r="A1146" s="31" t="s">
        <v>1559</v>
      </c>
      <c r="B1146" s="31" t="s">
        <v>1560</v>
      </c>
      <c r="C1146" s="31" t="s">
        <v>20</v>
      </c>
      <c r="D1146" s="31" t="s">
        <v>52</v>
      </c>
      <c r="E1146" s="31" t="n">
        <v>2</v>
      </c>
      <c r="F1146" s="32" t="n">
        <v>17.6</v>
      </c>
      <c r="G1146" s="32" t="n">
        <v>35.2</v>
      </c>
      <c r="H1146" s="31" t="s">
        <v>45</v>
      </c>
      <c r="I1146" s="31" t="s">
        <v>58</v>
      </c>
      <c r="J1146" s="31" t="s">
        <v>1561</v>
      </c>
      <c r="K1146" s="31" t="s">
        <v>48</v>
      </c>
    </row>
    <row r="1147" customFormat="false" ht="15" hidden="false" customHeight="false" outlineLevel="0" collapsed="false">
      <c r="A1147" s="31" t="s">
        <v>1559</v>
      </c>
      <c r="B1147" s="31" t="s">
        <v>1562</v>
      </c>
      <c r="C1147" s="31" t="s">
        <v>20</v>
      </c>
      <c r="D1147" s="31" t="s">
        <v>69</v>
      </c>
      <c r="E1147" s="31" t="n">
        <v>1</v>
      </c>
      <c r="F1147" s="32" t="n">
        <v>29</v>
      </c>
      <c r="G1147" s="32" t="n">
        <v>29</v>
      </c>
      <c r="H1147" s="31" t="s">
        <v>45</v>
      </c>
      <c r="I1147" s="31" t="s">
        <v>58</v>
      </c>
      <c r="J1147" s="31" t="s">
        <v>1561</v>
      </c>
      <c r="K1147" s="31" t="s">
        <v>48</v>
      </c>
    </row>
    <row r="1148" customFormat="false" ht="15" hidden="false" customHeight="false" outlineLevel="0" collapsed="false">
      <c r="A1148" s="31" t="s">
        <v>1559</v>
      </c>
      <c r="B1148" s="31" t="s">
        <v>1560</v>
      </c>
      <c r="C1148" s="31" t="s">
        <v>20</v>
      </c>
      <c r="D1148" s="31" t="s">
        <v>87</v>
      </c>
      <c r="E1148" s="31" t="n">
        <v>1</v>
      </c>
      <c r="F1148" s="32" t="n">
        <v>31.5</v>
      </c>
      <c r="G1148" s="32" t="n">
        <v>31.5</v>
      </c>
      <c r="H1148" s="31" t="s">
        <v>45</v>
      </c>
      <c r="I1148" s="31" t="s">
        <v>58</v>
      </c>
      <c r="J1148" s="31" t="s">
        <v>1561</v>
      </c>
      <c r="K1148" s="31" t="s">
        <v>48</v>
      </c>
    </row>
    <row r="1149" customFormat="false" ht="15" hidden="false" customHeight="false" outlineLevel="0" collapsed="false">
      <c r="A1149" s="31" t="s">
        <v>1563</v>
      </c>
      <c r="B1149" s="31" t="s">
        <v>1564</v>
      </c>
      <c r="C1149" s="31" t="s">
        <v>44</v>
      </c>
      <c r="D1149" s="31" t="s">
        <v>44</v>
      </c>
      <c r="E1149" s="31" t="n">
        <v>1</v>
      </c>
      <c r="F1149" s="32" t="n">
        <v>3.95</v>
      </c>
      <c r="G1149" s="32" t="n">
        <v>3.95</v>
      </c>
      <c r="H1149" s="31" t="s">
        <v>145</v>
      </c>
      <c r="I1149" s="31" t="s">
        <v>58</v>
      </c>
      <c r="J1149" s="31" t="s">
        <v>1565</v>
      </c>
      <c r="K1149" s="31" t="s">
        <v>48</v>
      </c>
    </row>
    <row r="1150" customFormat="false" ht="15" hidden="false" customHeight="false" outlineLevel="0" collapsed="false">
      <c r="A1150" s="31" t="s">
        <v>1563</v>
      </c>
      <c r="B1150" s="31" t="s">
        <v>1564</v>
      </c>
      <c r="C1150" s="31" t="s">
        <v>20</v>
      </c>
      <c r="D1150" s="31" t="s">
        <v>66</v>
      </c>
      <c r="E1150" s="31" t="n">
        <v>1</v>
      </c>
      <c r="F1150" s="32" t="n">
        <v>32</v>
      </c>
      <c r="G1150" s="32" t="n">
        <v>32</v>
      </c>
      <c r="H1150" s="31" t="s">
        <v>145</v>
      </c>
      <c r="I1150" s="31" t="s">
        <v>58</v>
      </c>
      <c r="J1150" s="31" t="s">
        <v>1565</v>
      </c>
      <c r="K1150" s="31" t="s">
        <v>48</v>
      </c>
    </row>
    <row r="1151" customFormat="false" ht="15" hidden="false" customHeight="false" outlineLevel="0" collapsed="false">
      <c r="A1151" s="31" t="s">
        <v>1566</v>
      </c>
      <c r="B1151" s="31" t="s">
        <v>1567</v>
      </c>
      <c r="C1151" s="31" t="s">
        <v>20</v>
      </c>
      <c r="D1151" s="31" t="s">
        <v>52</v>
      </c>
      <c r="E1151" s="31" t="n">
        <v>1</v>
      </c>
      <c r="F1151" s="32" t="n">
        <v>22</v>
      </c>
      <c r="G1151" s="32" t="n">
        <v>22</v>
      </c>
      <c r="H1151" s="31" t="s">
        <v>45</v>
      </c>
      <c r="I1151" s="31" t="s">
        <v>58</v>
      </c>
      <c r="J1151" s="31" t="s">
        <v>1568</v>
      </c>
      <c r="K1151" s="31" t="s">
        <v>48</v>
      </c>
    </row>
    <row r="1152" customFormat="false" ht="15" hidden="false" customHeight="false" outlineLevel="0" collapsed="false">
      <c r="A1152" s="31" t="s">
        <v>1569</v>
      </c>
      <c r="B1152" s="31" t="s">
        <v>1570</v>
      </c>
      <c r="C1152" s="31" t="s">
        <v>44</v>
      </c>
      <c r="D1152" s="31" t="s">
        <v>44</v>
      </c>
      <c r="E1152" s="31" t="n">
        <v>1</v>
      </c>
      <c r="F1152" s="32" t="n">
        <v>0</v>
      </c>
      <c r="G1152" s="32" t="n">
        <v>0</v>
      </c>
      <c r="H1152" s="31" t="s">
        <v>145</v>
      </c>
      <c r="I1152" s="31" t="s">
        <v>58</v>
      </c>
      <c r="J1152" s="31" t="s">
        <v>1555</v>
      </c>
      <c r="K1152" s="31" t="s">
        <v>48</v>
      </c>
    </row>
    <row r="1153" customFormat="false" ht="15" hidden="false" customHeight="false" outlineLevel="0" collapsed="false">
      <c r="A1153" s="31" t="s">
        <v>1569</v>
      </c>
      <c r="B1153" s="31" t="s">
        <v>1571</v>
      </c>
      <c r="C1153" s="31" t="s">
        <v>20</v>
      </c>
      <c r="D1153" s="31" t="s">
        <v>69</v>
      </c>
      <c r="E1153" s="31" t="n">
        <v>1</v>
      </c>
      <c r="F1153" s="32" t="n">
        <v>29</v>
      </c>
      <c r="G1153" s="32" t="n">
        <v>29</v>
      </c>
      <c r="H1153" s="31" t="s">
        <v>145</v>
      </c>
      <c r="I1153" s="31" t="s">
        <v>58</v>
      </c>
      <c r="J1153" s="31" t="s">
        <v>1555</v>
      </c>
      <c r="K1153" s="31" t="s">
        <v>48</v>
      </c>
    </row>
    <row r="1154" customFormat="false" ht="15" hidden="false" customHeight="false" outlineLevel="0" collapsed="false">
      <c r="A1154" s="31" t="s">
        <v>1572</v>
      </c>
      <c r="B1154" s="31" t="s">
        <v>1573</v>
      </c>
      <c r="C1154" s="31" t="s">
        <v>20</v>
      </c>
      <c r="D1154" s="31" t="s">
        <v>73</v>
      </c>
      <c r="E1154" s="31" t="n">
        <v>2</v>
      </c>
      <c r="F1154" s="32" t="n">
        <v>69</v>
      </c>
      <c r="G1154" s="32" t="n">
        <v>138</v>
      </c>
      <c r="H1154" s="31" t="s">
        <v>45</v>
      </c>
      <c r="I1154" s="31" t="s">
        <v>58</v>
      </c>
      <c r="J1154" s="31" t="s">
        <v>117</v>
      </c>
      <c r="K1154" s="31" t="s">
        <v>48</v>
      </c>
    </row>
    <row r="1155" customFormat="false" ht="15" hidden="false" customHeight="false" outlineLevel="0" collapsed="false">
      <c r="A1155" s="31" t="s">
        <v>1572</v>
      </c>
      <c r="B1155" s="31" t="s">
        <v>1573</v>
      </c>
      <c r="C1155" s="31" t="s">
        <v>20</v>
      </c>
      <c r="D1155" s="31" t="s">
        <v>87</v>
      </c>
      <c r="E1155" s="31" t="n">
        <v>1</v>
      </c>
      <c r="F1155" s="32" t="n">
        <v>35</v>
      </c>
      <c r="G1155" s="32" t="n">
        <v>35</v>
      </c>
      <c r="H1155" s="31" t="s">
        <v>45</v>
      </c>
      <c r="I1155" s="31" t="s">
        <v>58</v>
      </c>
      <c r="J1155" s="31" t="s">
        <v>117</v>
      </c>
      <c r="K1155" s="31" t="s">
        <v>48</v>
      </c>
    </row>
    <row r="1156" customFormat="false" ht="15" hidden="false" customHeight="false" outlineLevel="0" collapsed="false">
      <c r="A1156" s="31" t="s">
        <v>1468</v>
      </c>
      <c r="B1156" s="31" t="s">
        <v>1574</v>
      </c>
      <c r="C1156" s="31" t="s">
        <v>20</v>
      </c>
      <c r="D1156" s="31" t="s">
        <v>78</v>
      </c>
      <c r="E1156" s="31" t="n">
        <v>-1</v>
      </c>
      <c r="F1156" s="32" t="n">
        <v>89</v>
      </c>
      <c r="G1156" s="32" t="n">
        <v>-89</v>
      </c>
      <c r="H1156" s="31" t="s">
        <v>57</v>
      </c>
      <c r="I1156" s="31" t="s">
        <v>155</v>
      </c>
      <c r="J1156" s="31" t="s">
        <v>47</v>
      </c>
      <c r="K1156" s="31" t="s">
        <v>243</v>
      </c>
    </row>
    <row r="1157" customFormat="false" ht="15" hidden="false" customHeight="false" outlineLevel="0" collapsed="false">
      <c r="A1157" s="31" t="s">
        <v>1470</v>
      </c>
      <c r="B1157" s="31" t="s">
        <v>1575</v>
      </c>
      <c r="C1157" s="31" t="s">
        <v>20</v>
      </c>
      <c r="D1157" s="31" t="s">
        <v>53</v>
      </c>
      <c r="E1157" s="31" t="n">
        <v>-1</v>
      </c>
      <c r="F1157" s="32" t="n">
        <v>33.15</v>
      </c>
      <c r="G1157" s="32" t="n">
        <v>-33.15</v>
      </c>
      <c r="H1157" s="31" t="s">
        <v>57</v>
      </c>
      <c r="I1157" s="31" t="s">
        <v>84</v>
      </c>
      <c r="J1157" s="31" t="s">
        <v>1472</v>
      </c>
      <c r="K1157" s="31" t="s">
        <v>243</v>
      </c>
    </row>
    <row r="1158" customFormat="false" ht="15" hidden="false" customHeight="false" outlineLevel="0" collapsed="false">
      <c r="A1158" s="31" t="s">
        <v>1474</v>
      </c>
      <c r="B1158" s="31" t="s">
        <v>1576</v>
      </c>
      <c r="C1158" s="31" t="s">
        <v>20</v>
      </c>
      <c r="D1158" s="31" t="s">
        <v>69</v>
      </c>
      <c r="E1158" s="31" t="n">
        <v>-2</v>
      </c>
      <c r="F1158" s="32" t="n">
        <v>29</v>
      </c>
      <c r="G1158" s="32" t="n">
        <v>-58</v>
      </c>
      <c r="H1158" s="31" t="s">
        <v>45</v>
      </c>
      <c r="I1158" s="31" t="s">
        <v>58</v>
      </c>
      <c r="J1158" s="31" t="s">
        <v>1244</v>
      </c>
      <c r="K1158" s="31" t="s">
        <v>243</v>
      </c>
    </row>
    <row r="1159" customFormat="false" ht="15" hidden="false" customHeight="false" outlineLevel="0" collapsed="false">
      <c r="A1159" s="31" t="s">
        <v>1577</v>
      </c>
      <c r="B1159" s="31" t="s">
        <v>1578</v>
      </c>
      <c r="C1159" s="31" t="s">
        <v>20</v>
      </c>
      <c r="D1159" s="31" t="s">
        <v>78</v>
      </c>
      <c r="E1159" s="31" t="n">
        <v>1</v>
      </c>
      <c r="F1159" s="32" t="n">
        <v>89</v>
      </c>
      <c r="G1159" s="32" t="n">
        <v>89</v>
      </c>
      <c r="H1159" s="31" t="s">
        <v>45</v>
      </c>
      <c r="I1159" s="31" t="s">
        <v>46</v>
      </c>
      <c r="J1159" s="31" t="s">
        <v>1579</v>
      </c>
      <c r="K1159" s="31" t="s">
        <v>202</v>
      </c>
    </row>
    <row r="1160" customFormat="false" ht="15" hidden="false" customHeight="false" outlineLevel="0" collapsed="false">
      <c r="A1160" s="31" t="s">
        <v>1577</v>
      </c>
      <c r="B1160" s="31" t="s">
        <v>1578</v>
      </c>
      <c r="C1160" s="31" t="s">
        <v>44</v>
      </c>
      <c r="D1160" s="31" t="s">
        <v>44</v>
      </c>
      <c r="E1160" s="31" t="n">
        <v>1</v>
      </c>
      <c r="F1160" s="32" t="n">
        <v>0</v>
      </c>
      <c r="G1160" s="32" t="n">
        <v>0</v>
      </c>
      <c r="H1160" s="31" t="s">
        <v>45</v>
      </c>
      <c r="I1160" s="31" t="s">
        <v>46</v>
      </c>
      <c r="J1160" s="31" t="s">
        <v>1579</v>
      </c>
      <c r="K1160" s="31" t="s">
        <v>48</v>
      </c>
    </row>
    <row r="1161" customFormat="false" ht="15" hidden="false" customHeight="false" outlineLevel="0" collapsed="false">
      <c r="A1161" s="31" t="s">
        <v>1580</v>
      </c>
      <c r="B1161" s="31" t="s">
        <v>1581</v>
      </c>
      <c r="C1161" s="31" t="s">
        <v>20</v>
      </c>
      <c r="D1161" s="31" t="s">
        <v>140</v>
      </c>
      <c r="E1161" s="31" t="n">
        <v>2</v>
      </c>
      <c r="F1161" s="32" t="n">
        <v>26</v>
      </c>
      <c r="G1161" s="32" t="n">
        <v>52</v>
      </c>
      <c r="H1161" s="31" t="s">
        <v>45</v>
      </c>
      <c r="I1161" s="31" t="s">
        <v>84</v>
      </c>
      <c r="J1161" s="31" t="s">
        <v>1397</v>
      </c>
      <c r="K1161" s="31" t="s">
        <v>48</v>
      </c>
    </row>
    <row r="1162" customFormat="false" ht="15" hidden="false" customHeight="false" outlineLevel="0" collapsed="false">
      <c r="A1162" s="31" t="s">
        <v>1580</v>
      </c>
      <c r="B1162" s="31" t="s">
        <v>1582</v>
      </c>
      <c r="C1162" s="31" t="s">
        <v>20</v>
      </c>
      <c r="D1162" s="31" t="s">
        <v>53</v>
      </c>
      <c r="E1162" s="31" t="n">
        <v>1</v>
      </c>
      <c r="F1162" s="32" t="n">
        <v>31.2</v>
      </c>
      <c r="G1162" s="32" t="n">
        <v>31.2</v>
      </c>
      <c r="H1162" s="31" t="s">
        <v>45</v>
      </c>
      <c r="I1162" s="31" t="s">
        <v>84</v>
      </c>
      <c r="J1162" s="31" t="s">
        <v>1397</v>
      </c>
      <c r="K1162" s="31" t="s">
        <v>48</v>
      </c>
    </row>
    <row r="1163" customFormat="false" ht="15" hidden="false" customHeight="false" outlineLevel="0" collapsed="false">
      <c r="A1163" s="31" t="s">
        <v>1583</v>
      </c>
      <c r="B1163" s="31" t="s">
        <v>1584</v>
      </c>
      <c r="C1163" s="31" t="s">
        <v>44</v>
      </c>
      <c r="D1163" s="31" t="s">
        <v>44</v>
      </c>
      <c r="E1163" s="31" t="n">
        <v>1</v>
      </c>
      <c r="F1163" s="32" t="n">
        <v>5.95</v>
      </c>
      <c r="G1163" s="32" t="n">
        <v>5.95</v>
      </c>
      <c r="H1163" s="31" t="s">
        <v>45</v>
      </c>
      <c r="I1163" s="31" t="s">
        <v>84</v>
      </c>
      <c r="J1163" s="31" t="s">
        <v>1585</v>
      </c>
      <c r="K1163" s="31" t="s">
        <v>48</v>
      </c>
    </row>
    <row r="1164" customFormat="false" ht="15" hidden="false" customHeight="false" outlineLevel="0" collapsed="false">
      <c r="A1164" s="31" t="s">
        <v>1583</v>
      </c>
      <c r="B1164" s="31" t="s">
        <v>1584</v>
      </c>
      <c r="C1164" s="31" t="s">
        <v>20</v>
      </c>
      <c r="D1164" s="31" t="s">
        <v>66</v>
      </c>
      <c r="E1164" s="31" t="n">
        <v>1</v>
      </c>
      <c r="F1164" s="32" t="n">
        <v>32</v>
      </c>
      <c r="G1164" s="32" t="n">
        <v>32</v>
      </c>
      <c r="H1164" s="31" t="s">
        <v>45</v>
      </c>
      <c r="I1164" s="31" t="s">
        <v>84</v>
      </c>
      <c r="J1164" s="31" t="s">
        <v>1585</v>
      </c>
      <c r="K1164" s="31" t="s">
        <v>48</v>
      </c>
    </row>
    <row r="1165" customFormat="false" ht="15" hidden="false" customHeight="false" outlineLevel="0" collapsed="false">
      <c r="A1165" s="31" t="s">
        <v>1586</v>
      </c>
      <c r="B1165" s="31" t="s">
        <v>1587</v>
      </c>
      <c r="C1165" s="31" t="s">
        <v>20</v>
      </c>
      <c r="D1165" s="31" t="s">
        <v>53</v>
      </c>
      <c r="E1165" s="31" t="n">
        <v>1</v>
      </c>
      <c r="F1165" s="32" t="n">
        <v>39</v>
      </c>
      <c r="G1165" s="32" t="n">
        <v>39</v>
      </c>
      <c r="H1165" s="31" t="s">
        <v>57</v>
      </c>
      <c r="I1165" s="31" t="s">
        <v>58</v>
      </c>
      <c r="J1165" s="31" t="s">
        <v>1588</v>
      </c>
      <c r="K1165" s="31" t="s">
        <v>48</v>
      </c>
    </row>
    <row r="1166" customFormat="false" ht="15" hidden="false" customHeight="false" outlineLevel="0" collapsed="false">
      <c r="A1166" s="31" t="s">
        <v>1586</v>
      </c>
      <c r="B1166" s="31" t="s">
        <v>1587</v>
      </c>
      <c r="C1166" s="31" t="s">
        <v>20</v>
      </c>
      <c r="D1166" s="31" t="s">
        <v>56</v>
      </c>
      <c r="E1166" s="31" t="n">
        <v>2</v>
      </c>
      <c r="F1166" s="32" t="n">
        <v>38.25</v>
      </c>
      <c r="G1166" s="32" t="n">
        <v>76.5</v>
      </c>
      <c r="H1166" s="31" t="s">
        <v>57</v>
      </c>
      <c r="I1166" s="31" t="s">
        <v>58</v>
      </c>
      <c r="J1166" s="31" t="s">
        <v>1588</v>
      </c>
      <c r="K1166" s="31" t="s">
        <v>48</v>
      </c>
    </row>
    <row r="1167" customFormat="false" ht="15" hidden="false" customHeight="false" outlineLevel="0" collapsed="false">
      <c r="A1167" s="31" t="s">
        <v>1586</v>
      </c>
      <c r="B1167" s="31" t="s">
        <v>1589</v>
      </c>
      <c r="C1167" s="31" t="s">
        <v>20</v>
      </c>
      <c r="D1167" s="31" t="s">
        <v>69</v>
      </c>
      <c r="E1167" s="31" t="n">
        <v>2</v>
      </c>
      <c r="F1167" s="32" t="n">
        <v>29</v>
      </c>
      <c r="G1167" s="32" t="n">
        <v>58</v>
      </c>
      <c r="H1167" s="31" t="s">
        <v>57</v>
      </c>
      <c r="I1167" s="31" t="s">
        <v>58</v>
      </c>
      <c r="J1167" s="31" t="s">
        <v>1588</v>
      </c>
      <c r="K1167" s="31" t="s">
        <v>48</v>
      </c>
    </row>
    <row r="1168" customFormat="false" ht="15" hidden="false" customHeight="false" outlineLevel="0" collapsed="false">
      <c r="A1168" s="31" t="s">
        <v>1590</v>
      </c>
      <c r="B1168" s="31" t="s">
        <v>1591</v>
      </c>
      <c r="C1168" s="31" t="s">
        <v>20</v>
      </c>
      <c r="D1168" s="31" t="s">
        <v>123</v>
      </c>
      <c r="E1168" s="31" t="n">
        <v>3</v>
      </c>
      <c r="F1168" s="32" t="n">
        <v>75</v>
      </c>
      <c r="G1168" s="32" t="n">
        <v>225</v>
      </c>
      <c r="H1168" s="31" t="s">
        <v>45</v>
      </c>
      <c r="I1168" s="31" t="s">
        <v>58</v>
      </c>
      <c r="J1168" s="31" t="s">
        <v>1592</v>
      </c>
      <c r="K1168" s="31" t="s">
        <v>48</v>
      </c>
    </row>
    <row r="1169" customFormat="false" ht="15" hidden="false" customHeight="false" outlineLevel="0" collapsed="false">
      <c r="A1169" s="31" t="s">
        <v>1590</v>
      </c>
      <c r="B1169" s="31" t="s">
        <v>1591</v>
      </c>
      <c r="C1169" s="31" t="s">
        <v>44</v>
      </c>
      <c r="D1169" s="31" t="s">
        <v>44</v>
      </c>
      <c r="E1169" s="31" t="n">
        <v>1</v>
      </c>
      <c r="F1169" s="32" t="n">
        <v>4.95</v>
      </c>
      <c r="G1169" s="32" t="n">
        <v>4.95</v>
      </c>
      <c r="H1169" s="31" t="s">
        <v>45</v>
      </c>
      <c r="I1169" s="31" t="s">
        <v>58</v>
      </c>
      <c r="J1169" s="31" t="s">
        <v>1592</v>
      </c>
      <c r="K1169" s="31" t="s">
        <v>48</v>
      </c>
    </row>
    <row r="1170" customFormat="false" ht="15" hidden="false" customHeight="false" outlineLevel="0" collapsed="false">
      <c r="A1170" s="31" t="s">
        <v>1590</v>
      </c>
      <c r="B1170" s="31" t="s">
        <v>1591</v>
      </c>
      <c r="C1170" s="31" t="s">
        <v>20</v>
      </c>
      <c r="D1170" s="31" t="s">
        <v>66</v>
      </c>
      <c r="E1170" s="31" t="n">
        <v>2</v>
      </c>
      <c r="F1170" s="32" t="n">
        <v>32</v>
      </c>
      <c r="G1170" s="32" t="n">
        <v>64</v>
      </c>
      <c r="H1170" s="31" t="s">
        <v>45</v>
      </c>
      <c r="I1170" s="31" t="s">
        <v>58</v>
      </c>
      <c r="J1170" s="31" t="s">
        <v>1592</v>
      </c>
      <c r="K1170" s="31" t="s">
        <v>48</v>
      </c>
    </row>
    <row r="1171" customFormat="false" ht="15" hidden="false" customHeight="false" outlineLevel="0" collapsed="false">
      <c r="A1171" s="31" t="s">
        <v>1593</v>
      </c>
      <c r="B1171" s="31" t="s">
        <v>1594</v>
      </c>
      <c r="C1171" s="31" t="s">
        <v>20</v>
      </c>
      <c r="D1171" s="31" t="s">
        <v>69</v>
      </c>
      <c r="E1171" s="31" t="n">
        <v>3</v>
      </c>
      <c r="F1171" s="32" t="n">
        <v>29</v>
      </c>
      <c r="G1171" s="32" t="n">
        <v>87</v>
      </c>
      <c r="H1171" s="31" t="s">
        <v>145</v>
      </c>
      <c r="I1171" s="31" t="s">
        <v>58</v>
      </c>
      <c r="J1171" s="31" t="s">
        <v>1595</v>
      </c>
      <c r="K1171" s="31" t="s">
        <v>48</v>
      </c>
    </row>
    <row r="1172" customFormat="false" ht="15" hidden="false" customHeight="false" outlineLevel="0" collapsed="false">
      <c r="A1172" s="31" t="s">
        <v>1593</v>
      </c>
      <c r="B1172" s="31" t="s">
        <v>1596</v>
      </c>
      <c r="C1172" s="31" t="s">
        <v>44</v>
      </c>
      <c r="D1172" s="31" t="s">
        <v>44</v>
      </c>
      <c r="E1172" s="31" t="n">
        <v>1</v>
      </c>
      <c r="F1172" s="32" t="n">
        <v>4.95</v>
      </c>
      <c r="G1172" s="32" t="n">
        <v>4.95</v>
      </c>
      <c r="H1172" s="31" t="s">
        <v>145</v>
      </c>
      <c r="I1172" s="31" t="s">
        <v>58</v>
      </c>
      <c r="J1172" s="31" t="s">
        <v>1595</v>
      </c>
      <c r="K1172" s="31" t="s">
        <v>48</v>
      </c>
    </row>
    <row r="1173" customFormat="false" ht="15" hidden="false" customHeight="false" outlineLevel="0" collapsed="false">
      <c r="A1173" s="31" t="s">
        <v>1597</v>
      </c>
      <c r="B1173" s="31" t="s">
        <v>1598</v>
      </c>
      <c r="C1173" s="31" t="s">
        <v>20</v>
      </c>
      <c r="D1173" s="31" t="s">
        <v>78</v>
      </c>
      <c r="E1173" s="31" t="n">
        <v>1</v>
      </c>
      <c r="F1173" s="32" t="n">
        <v>89</v>
      </c>
      <c r="G1173" s="32" t="n">
        <v>89</v>
      </c>
      <c r="H1173" s="31" t="s">
        <v>45</v>
      </c>
      <c r="I1173" s="31" t="s">
        <v>58</v>
      </c>
      <c r="J1173" s="31" t="s">
        <v>303</v>
      </c>
      <c r="K1173" s="31" t="s">
        <v>48</v>
      </c>
    </row>
    <row r="1174" customFormat="false" ht="15" hidden="false" customHeight="false" outlineLevel="0" collapsed="false">
      <c r="A1174" s="31" t="s">
        <v>1597</v>
      </c>
      <c r="B1174" s="31" t="s">
        <v>1598</v>
      </c>
      <c r="C1174" s="31" t="s">
        <v>20</v>
      </c>
      <c r="D1174" s="31" t="s">
        <v>123</v>
      </c>
      <c r="E1174" s="31" t="n">
        <v>1</v>
      </c>
      <c r="F1174" s="32" t="n">
        <v>75</v>
      </c>
      <c r="G1174" s="32" t="n">
        <v>75</v>
      </c>
      <c r="H1174" s="31" t="s">
        <v>45</v>
      </c>
      <c r="I1174" s="31" t="s">
        <v>58</v>
      </c>
      <c r="J1174" s="31" t="s">
        <v>303</v>
      </c>
      <c r="K1174" s="31" t="s">
        <v>48</v>
      </c>
    </row>
    <row r="1175" customFormat="false" ht="15" hidden="false" customHeight="false" outlineLevel="0" collapsed="false">
      <c r="A1175" s="31" t="s">
        <v>1599</v>
      </c>
      <c r="B1175" s="31" t="s">
        <v>1600</v>
      </c>
      <c r="C1175" s="31" t="s">
        <v>20</v>
      </c>
      <c r="D1175" s="31" t="s">
        <v>140</v>
      </c>
      <c r="E1175" s="31" t="n">
        <v>1</v>
      </c>
      <c r="F1175" s="32" t="n">
        <v>26</v>
      </c>
      <c r="G1175" s="32" t="n">
        <v>26</v>
      </c>
      <c r="H1175" s="31" t="s">
        <v>45</v>
      </c>
      <c r="I1175" s="31" t="s">
        <v>58</v>
      </c>
      <c r="J1175" s="31" t="s">
        <v>1601</v>
      </c>
      <c r="K1175" s="31" t="s">
        <v>48</v>
      </c>
    </row>
    <row r="1176" customFormat="false" ht="15" hidden="false" customHeight="false" outlineLevel="0" collapsed="false">
      <c r="A1176" s="31" t="s">
        <v>1602</v>
      </c>
      <c r="B1176" s="31" t="s">
        <v>1603</v>
      </c>
      <c r="C1176" s="31" t="s">
        <v>20</v>
      </c>
      <c r="D1176" s="31" t="s">
        <v>56</v>
      </c>
      <c r="E1176" s="31" t="n">
        <v>2</v>
      </c>
      <c r="F1176" s="32" t="n">
        <v>45</v>
      </c>
      <c r="G1176" s="32" t="n">
        <v>90</v>
      </c>
      <c r="H1176" s="31" t="s">
        <v>184</v>
      </c>
      <c r="I1176" s="31" t="s">
        <v>58</v>
      </c>
      <c r="J1176" s="31" t="s">
        <v>1604</v>
      </c>
      <c r="K1176" s="31" t="s">
        <v>48</v>
      </c>
    </row>
    <row r="1177" customFormat="false" ht="15" hidden="false" customHeight="false" outlineLevel="0" collapsed="false">
      <c r="A1177" s="31" t="s">
        <v>1602</v>
      </c>
      <c r="B1177" s="31" t="s">
        <v>1605</v>
      </c>
      <c r="C1177" s="31" t="s">
        <v>20</v>
      </c>
      <c r="D1177" s="31" t="s">
        <v>56</v>
      </c>
      <c r="E1177" s="31" t="n">
        <v>2</v>
      </c>
      <c r="F1177" s="32" t="n">
        <v>45</v>
      </c>
      <c r="G1177" s="32" t="n">
        <v>90</v>
      </c>
      <c r="H1177" s="31" t="s">
        <v>184</v>
      </c>
      <c r="I1177" s="31" t="s">
        <v>58</v>
      </c>
      <c r="J1177" s="31" t="s">
        <v>1604</v>
      </c>
      <c r="K1177" s="31" t="s">
        <v>48</v>
      </c>
    </row>
    <row r="1178" customFormat="false" ht="15" hidden="false" customHeight="false" outlineLevel="0" collapsed="false">
      <c r="A1178" s="31" t="s">
        <v>1602</v>
      </c>
      <c r="B1178" s="31" t="s">
        <v>1603</v>
      </c>
      <c r="C1178" s="31" t="s">
        <v>20</v>
      </c>
      <c r="D1178" s="31" t="s">
        <v>78</v>
      </c>
      <c r="E1178" s="31" t="n">
        <v>1</v>
      </c>
      <c r="F1178" s="32" t="n">
        <v>89</v>
      </c>
      <c r="G1178" s="32" t="n">
        <v>89</v>
      </c>
      <c r="H1178" s="31" t="s">
        <v>184</v>
      </c>
      <c r="I1178" s="31" t="s">
        <v>58</v>
      </c>
      <c r="J1178" s="31" t="s">
        <v>1604</v>
      </c>
      <c r="K1178" s="31" t="s">
        <v>48</v>
      </c>
    </row>
    <row r="1179" customFormat="false" ht="15" hidden="false" customHeight="false" outlineLevel="0" collapsed="false">
      <c r="A1179" s="31" t="s">
        <v>1606</v>
      </c>
      <c r="B1179" s="31" t="s">
        <v>1607</v>
      </c>
      <c r="C1179" s="31" t="s">
        <v>20</v>
      </c>
      <c r="D1179" s="31" t="s">
        <v>52</v>
      </c>
      <c r="E1179" s="31" t="n">
        <v>2</v>
      </c>
      <c r="F1179" s="32" t="n">
        <v>22</v>
      </c>
      <c r="G1179" s="32" t="n">
        <v>44</v>
      </c>
      <c r="H1179" s="31" t="s">
        <v>145</v>
      </c>
      <c r="I1179" s="31" t="s">
        <v>104</v>
      </c>
      <c r="J1179" s="31"/>
      <c r="K1179" s="31" t="s">
        <v>48</v>
      </c>
    </row>
    <row r="1180" customFormat="false" ht="15" hidden="false" customHeight="false" outlineLevel="0" collapsed="false">
      <c r="A1180" s="31" t="s">
        <v>1606</v>
      </c>
      <c r="B1180" s="31" t="s">
        <v>1607</v>
      </c>
      <c r="C1180" s="31" t="s">
        <v>44</v>
      </c>
      <c r="D1180" s="31" t="s">
        <v>44</v>
      </c>
      <c r="E1180" s="31" t="n">
        <v>1</v>
      </c>
      <c r="F1180" s="32" t="n">
        <v>3.95</v>
      </c>
      <c r="G1180" s="32" t="n">
        <v>3.95</v>
      </c>
      <c r="H1180" s="31" t="s">
        <v>145</v>
      </c>
      <c r="I1180" s="31" t="s">
        <v>104</v>
      </c>
      <c r="J1180" s="31"/>
      <c r="K1180" s="31" t="s">
        <v>48</v>
      </c>
    </row>
    <row r="1181" customFormat="false" ht="15" hidden="false" customHeight="false" outlineLevel="0" collapsed="false">
      <c r="A1181" s="31" t="s">
        <v>1608</v>
      </c>
      <c r="B1181" s="31" t="s">
        <v>1609</v>
      </c>
      <c r="C1181" s="31" t="s">
        <v>20</v>
      </c>
      <c r="D1181" s="31" t="s">
        <v>73</v>
      </c>
      <c r="E1181" s="31" t="n">
        <v>2</v>
      </c>
      <c r="F1181" s="32" t="n">
        <v>69</v>
      </c>
      <c r="G1181" s="32" t="n">
        <v>138</v>
      </c>
      <c r="H1181" s="31" t="s">
        <v>45</v>
      </c>
      <c r="I1181" s="31" t="s">
        <v>58</v>
      </c>
      <c r="J1181" s="31" t="s">
        <v>1610</v>
      </c>
      <c r="K1181" s="31" t="s">
        <v>48</v>
      </c>
    </row>
    <row r="1182" customFormat="false" ht="15" hidden="false" customHeight="false" outlineLevel="0" collapsed="false">
      <c r="A1182" s="31" t="s">
        <v>1608</v>
      </c>
      <c r="B1182" s="31" t="s">
        <v>1611</v>
      </c>
      <c r="C1182" s="31" t="s">
        <v>20</v>
      </c>
      <c r="D1182" s="31" t="s">
        <v>53</v>
      </c>
      <c r="E1182" s="31" t="n">
        <v>1</v>
      </c>
      <c r="F1182" s="32" t="n">
        <v>39</v>
      </c>
      <c r="G1182" s="32" t="n">
        <v>39</v>
      </c>
      <c r="H1182" s="31" t="s">
        <v>45</v>
      </c>
      <c r="I1182" s="31" t="s">
        <v>58</v>
      </c>
      <c r="J1182" s="31" t="s">
        <v>1610</v>
      </c>
      <c r="K1182" s="31" t="s">
        <v>48</v>
      </c>
    </row>
    <row r="1183" customFormat="false" ht="15" hidden="false" customHeight="false" outlineLevel="0" collapsed="false">
      <c r="A1183" s="31" t="s">
        <v>1608</v>
      </c>
      <c r="B1183" s="31" t="s">
        <v>1609</v>
      </c>
      <c r="C1183" s="31" t="s">
        <v>44</v>
      </c>
      <c r="D1183" s="31" t="s">
        <v>44</v>
      </c>
      <c r="E1183" s="31" t="n">
        <v>1</v>
      </c>
      <c r="F1183" s="32" t="n">
        <v>0</v>
      </c>
      <c r="G1183" s="32" t="n">
        <v>0</v>
      </c>
      <c r="H1183" s="31" t="s">
        <v>45</v>
      </c>
      <c r="I1183" s="31" t="s">
        <v>58</v>
      </c>
      <c r="J1183" s="31" t="s">
        <v>1610</v>
      </c>
      <c r="K1183" s="31" t="s">
        <v>48</v>
      </c>
    </row>
    <row r="1184" customFormat="false" ht="15" hidden="false" customHeight="false" outlineLevel="0" collapsed="false">
      <c r="A1184" s="31" t="s">
        <v>1612</v>
      </c>
      <c r="B1184" s="31" t="s">
        <v>1613</v>
      </c>
      <c r="C1184" s="31" t="s">
        <v>44</v>
      </c>
      <c r="D1184" s="31" t="s">
        <v>44</v>
      </c>
      <c r="E1184" s="31" t="n">
        <v>1</v>
      </c>
      <c r="F1184" s="32" t="n">
        <v>5.95</v>
      </c>
      <c r="G1184" s="32" t="n">
        <v>5.95</v>
      </c>
      <c r="H1184" s="31" t="s">
        <v>45</v>
      </c>
      <c r="I1184" s="31" t="s">
        <v>58</v>
      </c>
      <c r="J1184" s="31" t="s">
        <v>1614</v>
      </c>
      <c r="K1184" s="31" t="s">
        <v>48</v>
      </c>
    </row>
    <row r="1185" customFormat="false" ht="15" hidden="false" customHeight="false" outlineLevel="0" collapsed="false">
      <c r="A1185" s="31" t="s">
        <v>1612</v>
      </c>
      <c r="B1185" s="31" t="s">
        <v>1613</v>
      </c>
      <c r="C1185" s="31" t="s">
        <v>20</v>
      </c>
      <c r="D1185" s="31" t="s">
        <v>123</v>
      </c>
      <c r="E1185" s="31" t="n">
        <v>1</v>
      </c>
      <c r="F1185" s="32" t="n">
        <v>75</v>
      </c>
      <c r="G1185" s="32" t="n">
        <v>75</v>
      </c>
      <c r="H1185" s="31" t="s">
        <v>45</v>
      </c>
      <c r="I1185" s="31" t="s">
        <v>58</v>
      </c>
      <c r="J1185" s="31" t="s">
        <v>1614</v>
      </c>
      <c r="K1185" s="31" t="s">
        <v>48</v>
      </c>
    </row>
    <row r="1186" customFormat="false" ht="15" hidden="false" customHeight="false" outlineLevel="0" collapsed="false">
      <c r="A1186" s="31" t="s">
        <v>1612</v>
      </c>
      <c r="B1186" s="31" t="s">
        <v>1613</v>
      </c>
      <c r="C1186" s="31" t="s">
        <v>20</v>
      </c>
      <c r="D1186" s="31" t="s">
        <v>87</v>
      </c>
      <c r="E1186" s="31" t="n">
        <v>1</v>
      </c>
      <c r="F1186" s="32" t="n">
        <v>35</v>
      </c>
      <c r="G1186" s="32" t="n">
        <v>35</v>
      </c>
      <c r="H1186" s="31" t="s">
        <v>45</v>
      </c>
      <c r="I1186" s="31" t="s">
        <v>58</v>
      </c>
      <c r="J1186" s="31" t="s">
        <v>1614</v>
      </c>
      <c r="K1186" s="31" t="s">
        <v>48</v>
      </c>
    </row>
    <row r="1187" customFormat="false" ht="15" hidden="false" customHeight="false" outlineLevel="0" collapsed="false">
      <c r="A1187" s="31" t="s">
        <v>1612</v>
      </c>
      <c r="B1187" s="31" t="s">
        <v>1615</v>
      </c>
      <c r="C1187" s="31" t="s">
        <v>20</v>
      </c>
      <c r="D1187" s="31" t="s">
        <v>53</v>
      </c>
      <c r="E1187" s="31" t="n">
        <v>1</v>
      </c>
      <c r="F1187" s="32" t="n">
        <v>39</v>
      </c>
      <c r="G1187" s="32" t="n">
        <v>39</v>
      </c>
      <c r="H1187" s="31" t="s">
        <v>45</v>
      </c>
      <c r="I1187" s="31" t="s">
        <v>58</v>
      </c>
      <c r="J1187" s="31" t="s">
        <v>1614</v>
      </c>
      <c r="K1187" s="31" t="s">
        <v>48</v>
      </c>
    </row>
    <row r="1188" customFormat="false" ht="15" hidden="false" customHeight="false" outlineLevel="0" collapsed="false">
      <c r="A1188" s="31" t="s">
        <v>1616</v>
      </c>
      <c r="B1188" s="31" t="s">
        <v>1617</v>
      </c>
      <c r="C1188" s="31" t="s">
        <v>44</v>
      </c>
      <c r="D1188" s="31" t="s">
        <v>44</v>
      </c>
      <c r="E1188" s="31" t="n">
        <v>1</v>
      </c>
      <c r="F1188" s="32" t="n">
        <v>3.95</v>
      </c>
      <c r="G1188" s="32" t="n">
        <v>3.95</v>
      </c>
      <c r="H1188" s="31" t="s">
        <v>45</v>
      </c>
      <c r="I1188" s="31" t="s">
        <v>104</v>
      </c>
      <c r="J1188" s="31" t="s">
        <v>1618</v>
      </c>
      <c r="K1188" s="31" t="s">
        <v>48</v>
      </c>
    </row>
    <row r="1189" customFormat="false" ht="15" hidden="false" customHeight="false" outlineLevel="0" collapsed="false">
      <c r="A1189" s="31" t="s">
        <v>1616</v>
      </c>
      <c r="B1189" s="31" t="s">
        <v>1617</v>
      </c>
      <c r="C1189" s="31" t="s">
        <v>20</v>
      </c>
      <c r="D1189" s="31" t="s">
        <v>78</v>
      </c>
      <c r="E1189" s="31" t="n">
        <v>1</v>
      </c>
      <c r="F1189" s="32" t="n">
        <v>89</v>
      </c>
      <c r="G1189" s="32" t="n">
        <v>89</v>
      </c>
      <c r="H1189" s="31" t="s">
        <v>45</v>
      </c>
      <c r="I1189" s="31" t="s">
        <v>104</v>
      </c>
      <c r="J1189" s="31" t="s">
        <v>1618</v>
      </c>
      <c r="K1189" s="31" t="s">
        <v>48</v>
      </c>
    </row>
    <row r="1190" customFormat="false" ht="15" hidden="false" customHeight="false" outlineLevel="0" collapsed="false">
      <c r="A1190" s="31" t="s">
        <v>1616</v>
      </c>
      <c r="B1190" s="31" t="s">
        <v>1617</v>
      </c>
      <c r="C1190" s="31" t="s">
        <v>20</v>
      </c>
      <c r="D1190" s="31" t="s">
        <v>56</v>
      </c>
      <c r="E1190" s="31" t="n">
        <v>1</v>
      </c>
      <c r="F1190" s="32" t="n">
        <v>45</v>
      </c>
      <c r="G1190" s="32" t="n">
        <v>45</v>
      </c>
      <c r="H1190" s="31" t="s">
        <v>45</v>
      </c>
      <c r="I1190" s="31" t="s">
        <v>104</v>
      </c>
      <c r="J1190" s="31" t="s">
        <v>1618</v>
      </c>
      <c r="K1190" s="31" t="s">
        <v>48</v>
      </c>
    </row>
    <row r="1191" customFormat="false" ht="15" hidden="false" customHeight="false" outlineLevel="0" collapsed="false">
      <c r="A1191" s="31" t="s">
        <v>1619</v>
      </c>
      <c r="B1191" s="31" t="s">
        <v>1620</v>
      </c>
      <c r="C1191" s="31" t="s">
        <v>20</v>
      </c>
      <c r="D1191" s="31" t="s">
        <v>53</v>
      </c>
      <c r="E1191" s="31" t="n">
        <v>2</v>
      </c>
      <c r="F1191" s="32" t="n">
        <v>39</v>
      </c>
      <c r="G1191" s="32" t="n">
        <v>78</v>
      </c>
      <c r="H1191" s="31" t="s">
        <v>45</v>
      </c>
      <c r="I1191" s="31" t="s">
        <v>58</v>
      </c>
      <c r="J1191" s="31" t="s">
        <v>1621</v>
      </c>
      <c r="K1191" s="31" t="s">
        <v>48</v>
      </c>
    </row>
    <row r="1192" customFormat="false" ht="15" hidden="false" customHeight="false" outlineLevel="0" collapsed="false">
      <c r="A1192" s="31" t="s">
        <v>1619</v>
      </c>
      <c r="B1192" s="31" t="s">
        <v>1622</v>
      </c>
      <c r="C1192" s="31" t="s">
        <v>20</v>
      </c>
      <c r="D1192" s="31" t="s">
        <v>140</v>
      </c>
      <c r="E1192" s="31" t="n">
        <v>3</v>
      </c>
      <c r="F1192" s="32" t="n">
        <v>26</v>
      </c>
      <c r="G1192" s="32" t="n">
        <v>78</v>
      </c>
      <c r="H1192" s="31" t="s">
        <v>45</v>
      </c>
      <c r="I1192" s="31" t="s">
        <v>58</v>
      </c>
      <c r="J1192" s="31" t="s">
        <v>1621</v>
      </c>
      <c r="K1192" s="31" t="s">
        <v>48</v>
      </c>
    </row>
    <row r="1193" customFormat="false" ht="15" hidden="false" customHeight="false" outlineLevel="0" collapsed="false">
      <c r="A1193" s="31" t="s">
        <v>1619</v>
      </c>
      <c r="B1193" s="31" t="s">
        <v>1620</v>
      </c>
      <c r="C1193" s="31" t="s">
        <v>44</v>
      </c>
      <c r="D1193" s="31" t="s">
        <v>44</v>
      </c>
      <c r="E1193" s="31" t="n">
        <v>1</v>
      </c>
      <c r="F1193" s="32" t="n">
        <v>5.95</v>
      </c>
      <c r="G1193" s="32" t="n">
        <v>5.95</v>
      </c>
      <c r="H1193" s="31" t="s">
        <v>45</v>
      </c>
      <c r="I1193" s="31" t="s">
        <v>58</v>
      </c>
      <c r="J1193" s="31" t="s">
        <v>1621</v>
      </c>
      <c r="K1193" s="31" t="s">
        <v>48</v>
      </c>
    </row>
    <row r="1194" customFormat="false" ht="15" hidden="false" customHeight="false" outlineLevel="0" collapsed="false">
      <c r="A1194" s="31" t="s">
        <v>1623</v>
      </c>
      <c r="B1194" s="31" t="s">
        <v>1624</v>
      </c>
      <c r="C1194" s="31" t="s">
        <v>44</v>
      </c>
      <c r="D1194" s="31" t="s">
        <v>44</v>
      </c>
      <c r="E1194" s="31" t="n">
        <v>1</v>
      </c>
      <c r="F1194" s="32" t="n">
        <v>4.95</v>
      </c>
      <c r="G1194" s="32" t="n">
        <v>4.95</v>
      </c>
      <c r="H1194" s="31" t="s">
        <v>184</v>
      </c>
      <c r="I1194" s="31" t="s">
        <v>58</v>
      </c>
      <c r="J1194" s="31"/>
      <c r="K1194" s="31" t="s">
        <v>48</v>
      </c>
    </row>
    <row r="1195" customFormat="false" ht="15" hidden="false" customHeight="false" outlineLevel="0" collapsed="false">
      <c r="A1195" s="31" t="s">
        <v>1623</v>
      </c>
      <c r="B1195" s="31" t="s">
        <v>1624</v>
      </c>
      <c r="C1195" s="31" t="s">
        <v>20</v>
      </c>
      <c r="D1195" s="31" t="s">
        <v>52</v>
      </c>
      <c r="E1195" s="31" t="n">
        <v>1</v>
      </c>
      <c r="F1195" s="32" t="n">
        <v>22</v>
      </c>
      <c r="G1195" s="32" t="n">
        <v>22</v>
      </c>
      <c r="H1195" s="31" t="s">
        <v>184</v>
      </c>
      <c r="I1195" s="31" t="s">
        <v>58</v>
      </c>
      <c r="J1195" s="31"/>
      <c r="K1195" s="31" t="s">
        <v>48</v>
      </c>
    </row>
    <row r="1196" customFormat="false" ht="15" hidden="false" customHeight="false" outlineLevel="0" collapsed="false">
      <c r="A1196" s="31" t="s">
        <v>1625</v>
      </c>
      <c r="B1196" s="31" t="s">
        <v>1626</v>
      </c>
      <c r="C1196" s="31" t="s">
        <v>20</v>
      </c>
      <c r="D1196" s="31" t="s">
        <v>87</v>
      </c>
      <c r="E1196" s="31" t="n">
        <v>2</v>
      </c>
      <c r="F1196" s="32" t="n">
        <v>35</v>
      </c>
      <c r="G1196" s="32" t="n">
        <v>70</v>
      </c>
      <c r="H1196" s="31" t="s">
        <v>45</v>
      </c>
      <c r="I1196" s="31" t="s">
        <v>121</v>
      </c>
      <c r="J1196" s="31" t="s">
        <v>1627</v>
      </c>
      <c r="K1196" s="31" t="s">
        <v>48</v>
      </c>
    </row>
    <row r="1197" customFormat="false" ht="15" hidden="false" customHeight="false" outlineLevel="0" collapsed="false">
      <c r="A1197" s="31" t="s">
        <v>1625</v>
      </c>
      <c r="B1197" s="31" t="s">
        <v>1628</v>
      </c>
      <c r="C1197" s="31" t="s">
        <v>20</v>
      </c>
      <c r="D1197" s="31" t="s">
        <v>52</v>
      </c>
      <c r="E1197" s="31" t="n">
        <v>1</v>
      </c>
      <c r="F1197" s="32" t="n">
        <v>22</v>
      </c>
      <c r="G1197" s="32" t="n">
        <v>22</v>
      </c>
      <c r="H1197" s="31" t="s">
        <v>45</v>
      </c>
      <c r="I1197" s="31" t="s">
        <v>121</v>
      </c>
      <c r="J1197" s="31" t="s">
        <v>1627</v>
      </c>
      <c r="K1197" s="31" t="s">
        <v>48</v>
      </c>
    </row>
    <row r="1198" customFormat="false" ht="15" hidden="false" customHeight="false" outlineLevel="0" collapsed="false">
      <c r="A1198" s="31" t="s">
        <v>1629</v>
      </c>
      <c r="B1198" s="31" t="s">
        <v>1630</v>
      </c>
      <c r="C1198" s="31" t="s">
        <v>44</v>
      </c>
      <c r="D1198" s="31" t="s">
        <v>44</v>
      </c>
      <c r="E1198" s="31" t="n">
        <v>1</v>
      </c>
      <c r="F1198" s="32" t="n">
        <v>5.95</v>
      </c>
      <c r="G1198" s="32" t="n">
        <v>5.95</v>
      </c>
      <c r="H1198" s="31" t="s">
        <v>57</v>
      </c>
      <c r="I1198" s="31" t="s">
        <v>58</v>
      </c>
      <c r="J1198" s="31" t="s">
        <v>1095</v>
      </c>
      <c r="K1198" s="31" t="s">
        <v>48</v>
      </c>
    </row>
    <row r="1199" customFormat="false" ht="15" hidden="false" customHeight="false" outlineLevel="0" collapsed="false">
      <c r="A1199" s="31" t="s">
        <v>1629</v>
      </c>
      <c r="B1199" s="31" t="s">
        <v>1630</v>
      </c>
      <c r="C1199" s="31" t="s">
        <v>20</v>
      </c>
      <c r="D1199" s="31" t="s">
        <v>123</v>
      </c>
      <c r="E1199" s="31" t="n">
        <v>1</v>
      </c>
      <c r="F1199" s="32" t="n">
        <v>75</v>
      </c>
      <c r="G1199" s="32" t="n">
        <v>75</v>
      </c>
      <c r="H1199" s="31" t="s">
        <v>57</v>
      </c>
      <c r="I1199" s="31" t="s">
        <v>58</v>
      </c>
      <c r="J1199" s="31" t="s">
        <v>1095</v>
      </c>
      <c r="K1199" s="31" t="s">
        <v>48</v>
      </c>
    </row>
    <row r="1200" customFormat="false" ht="15" hidden="false" customHeight="false" outlineLevel="0" collapsed="false">
      <c r="A1200" s="31" t="s">
        <v>1631</v>
      </c>
      <c r="B1200" s="31" t="s">
        <v>1632</v>
      </c>
      <c r="C1200" s="31" t="s">
        <v>20</v>
      </c>
      <c r="D1200" s="31" t="s">
        <v>87</v>
      </c>
      <c r="E1200" s="31" t="n">
        <v>1</v>
      </c>
      <c r="F1200" s="32" t="n">
        <v>35</v>
      </c>
      <c r="G1200" s="32" t="n">
        <v>35</v>
      </c>
      <c r="H1200" s="31" t="s">
        <v>45</v>
      </c>
      <c r="I1200" s="31" t="s">
        <v>58</v>
      </c>
      <c r="J1200" s="31" t="s">
        <v>1186</v>
      </c>
      <c r="K1200" s="31" t="s">
        <v>48</v>
      </c>
    </row>
    <row r="1201" customFormat="false" ht="15" hidden="false" customHeight="false" outlineLevel="0" collapsed="false">
      <c r="A1201" s="31" t="s">
        <v>1631</v>
      </c>
      <c r="B1201" s="31" t="s">
        <v>1632</v>
      </c>
      <c r="C1201" s="31" t="s">
        <v>44</v>
      </c>
      <c r="D1201" s="31" t="s">
        <v>44</v>
      </c>
      <c r="E1201" s="31" t="n">
        <v>1</v>
      </c>
      <c r="F1201" s="32" t="n">
        <v>5.95</v>
      </c>
      <c r="G1201" s="32" t="n">
        <v>5.95</v>
      </c>
      <c r="H1201" s="31" t="s">
        <v>45</v>
      </c>
      <c r="I1201" s="31" t="s">
        <v>58</v>
      </c>
      <c r="J1201" s="31" t="s">
        <v>1186</v>
      </c>
      <c r="K1201" s="31" t="s">
        <v>48</v>
      </c>
    </row>
    <row r="1202" customFormat="false" ht="15" hidden="false" customHeight="false" outlineLevel="0" collapsed="false">
      <c r="A1202" s="31" t="s">
        <v>1631</v>
      </c>
      <c r="B1202" s="31" t="s">
        <v>1633</v>
      </c>
      <c r="C1202" s="31" t="s">
        <v>20</v>
      </c>
      <c r="D1202" s="31" t="s">
        <v>123</v>
      </c>
      <c r="E1202" s="31" t="n">
        <v>2</v>
      </c>
      <c r="F1202" s="32" t="n">
        <v>75</v>
      </c>
      <c r="G1202" s="32" t="n">
        <v>150</v>
      </c>
      <c r="H1202" s="31" t="s">
        <v>45</v>
      </c>
      <c r="I1202" s="31" t="s">
        <v>58</v>
      </c>
      <c r="J1202" s="31" t="s">
        <v>1186</v>
      </c>
      <c r="K1202" s="31" t="s">
        <v>48</v>
      </c>
    </row>
    <row r="1203" customFormat="false" ht="15" hidden="false" customHeight="false" outlineLevel="0" collapsed="false">
      <c r="A1203" s="31" t="s">
        <v>1631</v>
      </c>
      <c r="B1203" s="31" t="s">
        <v>1632</v>
      </c>
      <c r="C1203" s="31" t="s">
        <v>50</v>
      </c>
      <c r="D1203" s="31" t="s">
        <v>51</v>
      </c>
      <c r="E1203" s="31" t="n">
        <v>1</v>
      </c>
      <c r="F1203" s="32" t="n">
        <v>-5</v>
      </c>
      <c r="G1203" s="32" t="n">
        <v>-5</v>
      </c>
      <c r="H1203" s="31" t="s">
        <v>45</v>
      </c>
      <c r="I1203" s="31" t="s">
        <v>58</v>
      </c>
      <c r="J1203" s="31" t="s">
        <v>1186</v>
      </c>
      <c r="K1203" s="31" t="s">
        <v>48</v>
      </c>
    </row>
    <row r="1204" customFormat="false" ht="15" hidden="false" customHeight="false" outlineLevel="0" collapsed="false">
      <c r="A1204" s="31" t="s">
        <v>1634</v>
      </c>
      <c r="B1204" s="31" t="s">
        <v>1635</v>
      </c>
      <c r="C1204" s="31" t="s">
        <v>20</v>
      </c>
      <c r="D1204" s="31" t="s">
        <v>78</v>
      </c>
      <c r="E1204" s="31" t="n">
        <v>1</v>
      </c>
      <c r="F1204" s="32" t="n">
        <v>89</v>
      </c>
      <c r="G1204" s="32" t="n">
        <v>89</v>
      </c>
      <c r="H1204" s="31" t="s">
        <v>45</v>
      </c>
      <c r="I1204" s="31" t="s">
        <v>104</v>
      </c>
      <c r="J1204" s="31" t="s">
        <v>261</v>
      </c>
      <c r="K1204" s="31" t="s">
        <v>48</v>
      </c>
    </row>
    <row r="1205" customFormat="false" ht="15" hidden="false" customHeight="false" outlineLevel="0" collapsed="false">
      <c r="A1205" s="31" t="s">
        <v>1636</v>
      </c>
      <c r="B1205" s="31" t="s">
        <v>1637</v>
      </c>
      <c r="C1205" s="31" t="s">
        <v>20</v>
      </c>
      <c r="D1205" s="31" t="s">
        <v>123</v>
      </c>
      <c r="E1205" s="31" t="n">
        <v>1</v>
      </c>
      <c r="F1205" s="32" t="n">
        <v>75</v>
      </c>
      <c r="G1205" s="32" t="n">
        <v>75</v>
      </c>
      <c r="H1205" s="31" t="s">
        <v>45</v>
      </c>
      <c r="I1205" s="31" t="s">
        <v>84</v>
      </c>
      <c r="J1205" s="31" t="s">
        <v>375</v>
      </c>
      <c r="K1205" s="31" t="s">
        <v>48</v>
      </c>
    </row>
    <row r="1206" customFormat="false" ht="15" hidden="false" customHeight="false" outlineLevel="0" collapsed="false">
      <c r="A1206" s="31" t="s">
        <v>1636</v>
      </c>
      <c r="B1206" s="31" t="s">
        <v>1637</v>
      </c>
      <c r="C1206" s="31" t="s">
        <v>20</v>
      </c>
      <c r="D1206" s="31" t="s">
        <v>52</v>
      </c>
      <c r="E1206" s="31" t="n">
        <v>1</v>
      </c>
      <c r="F1206" s="32" t="n">
        <v>22</v>
      </c>
      <c r="G1206" s="32" t="n">
        <v>22</v>
      </c>
      <c r="H1206" s="31" t="s">
        <v>45</v>
      </c>
      <c r="I1206" s="31" t="s">
        <v>84</v>
      </c>
      <c r="J1206" s="31" t="s">
        <v>375</v>
      </c>
      <c r="K1206" s="31" t="s">
        <v>48</v>
      </c>
    </row>
    <row r="1207" customFormat="false" ht="15" hidden="false" customHeight="false" outlineLevel="0" collapsed="false">
      <c r="A1207" s="31" t="s">
        <v>1636</v>
      </c>
      <c r="B1207" s="31" t="s">
        <v>1638</v>
      </c>
      <c r="C1207" s="31" t="s">
        <v>44</v>
      </c>
      <c r="D1207" s="31" t="s">
        <v>44</v>
      </c>
      <c r="E1207" s="31" t="n">
        <v>1</v>
      </c>
      <c r="F1207" s="32" t="n">
        <v>3.95</v>
      </c>
      <c r="G1207" s="32" t="n">
        <v>3.95</v>
      </c>
      <c r="H1207" s="31" t="s">
        <v>45</v>
      </c>
      <c r="I1207" s="31" t="s">
        <v>84</v>
      </c>
      <c r="J1207" s="31" t="s">
        <v>375</v>
      </c>
      <c r="K1207" s="31" t="s">
        <v>48</v>
      </c>
    </row>
    <row r="1208" customFormat="false" ht="15" hidden="false" customHeight="false" outlineLevel="0" collapsed="false">
      <c r="A1208" s="31" t="s">
        <v>1639</v>
      </c>
      <c r="B1208" s="31" t="s">
        <v>1640</v>
      </c>
      <c r="C1208" s="31" t="s">
        <v>20</v>
      </c>
      <c r="D1208" s="31" t="s">
        <v>56</v>
      </c>
      <c r="E1208" s="31" t="n">
        <v>3</v>
      </c>
      <c r="F1208" s="32" t="n">
        <v>45</v>
      </c>
      <c r="G1208" s="32" t="n">
        <v>135</v>
      </c>
      <c r="H1208" s="31" t="s">
        <v>45</v>
      </c>
      <c r="I1208" s="31" t="s">
        <v>58</v>
      </c>
      <c r="J1208" s="31"/>
      <c r="K1208" s="31" t="s">
        <v>48</v>
      </c>
    </row>
    <row r="1209" customFormat="false" ht="15" hidden="false" customHeight="false" outlineLevel="0" collapsed="false">
      <c r="A1209" s="31" t="s">
        <v>1639</v>
      </c>
      <c r="B1209" s="31" t="s">
        <v>1640</v>
      </c>
      <c r="C1209" s="31" t="s">
        <v>20</v>
      </c>
      <c r="D1209" s="31" t="s">
        <v>123</v>
      </c>
      <c r="E1209" s="31" t="n">
        <v>2</v>
      </c>
      <c r="F1209" s="32" t="n">
        <v>60</v>
      </c>
      <c r="G1209" s="32" t="n">
        <v>120</v>
      </c>
      <c r="H1209" s="31" t="s">
        <v>45</v>
      </c>
      <c r="I1209" s="31" t="s">
        <v>58</v>
      </c>
      <c r="J1209" s="31"/>
      <c r="K1209" s="31" t="s">
        <v>48</v>
      </c>
    </row>
    <row r="1210" customFormat="false" ht="15" hidden="false" customHeight="false" outlineLevel="0" collapsed="false">
      <c r="A1210" s="31" t="s">
        <v>1639</v>
      </c>
      <c r="B1210" s="31" t="s">
        <v>1640</v>
      </c>
      <c r="C1210" s="31" t="s">
        <v>20</v>
      </c>
      <c r="D1210" s="31" t="s">
        <v>78</v>
      </c>
      <c r="E1210" s="31" t="n">
        <v>1</v>
      </c>
      <c r="F1210" s="32" t="n">
        <v>75.65</v>
      </c>
      <c r="G1210" s="32" t="n">
        <v>75.65</v>
      </c>
      <c r="H1210" s="31" t="s">
        <v>45</v>
      </c>
      <c r="I1210" s="31" t="s">
        <v>58</v>
      </c>
      <c r="J1210" s="31"/>
      <c r="K1210" s="31" t="s">
        <v>48</v>
      </c>
    </row>
    <row r="1211" customFormat="false" ht="15" hidden="false" customHeight="false" outlineLevel="0" collapsed="false">
      <c r="A1211" s="31" t="s">
        <v>1639</v>
      </c>
      <c r="B1211" s="31" t="s">
        <v>1640</v>
      </c>
      <c r="C1211" s="31" t="s">
        <v>20</v>
      </c>
      <c r="D1211" s="31" t="s">
        <v>87</v>
      </c>
      <c r="E1211" s="31" t="n">
        <v>1</v>
      </c>
      <c r="F1211" s="32" t="n">
        <v>35</v>
      </c>
      <c r="G1211" s="32" t="n">
        <v>35</v>
      </c>
      <c r="H1211" s="31" t="s">
        <v>45</v>
      </c>
      <c r="I1211" s="31" t="s">
        <v>58</v>
      </c>
      <c r="J1211" s="31"/>
      <c r="K1211" s="31" t="s">
        <v>48</v>
      </c>
    </row>
    <row r="1212" customFormat="false" ht="15" hidden="false" customHeight="false" outlineLevel="0" collapsed="false">
      <c r="A1212" s="31" t="s">
        <v>1641</v>
      </c>
      <c r="B1212" s="31" t="s">
        <v>1642</v>
      </c>
      <c r="C1212" s="31" t="s">
        <v>44</v>
      </c>
      <c r="D1212" s="31" t="s">
        <v>44</v>
      </c>
      <c r="E1212" s="31" t="n">
        <v>1</v>
      </c>
      <c r="F1212" s="32" t="n">
        <v>3.95</v>
      </c>
      <c r="G1212" s="32" t="n">
        <v>3.95</v>
      </c>
      <c r="H1212" s="31" t="s">
        <v>45</v>
      </c>
      <c r="I1212" s="31" t="s">
        <v>58</v>
      </c>
      <c r="J1212" s="31" t="s">
        <v>1643</v>
      </c>
      <c r="K1212" s="31" t="s">
        <v>48</v>
      </c>
    </row>
    <row r="1213" customFormat="false" ht="15" hidden="false" customHeight="false" outlineLevel="0" collapsed="false">
      <c r="A1213" s="31" t="s">
        <v>1641</v>
      </c>
      <c r="B1213" s="31" t="s">
        <v>1644</v>
      </c>
      <c r="C1213" s="31" t="s">
        <v>20</v>
      </c>
      <c r="D1213" s="31" t="s">
        <v>53</v>
      </c>
      <c r="E1213" s="31" t="n">
        <v>2</v>
      </c>
      <c r="F1213" s="32" t="n">
        <v>39</v>
      </c>
      <c r="G1213" s="32" t="n">
        <v>78</v>
      </c>
      <c r="H1213" s="31" t="s">
        <v>45</v>
      </c>
      <c r="I1213" s="31" t="s">
        <v>58</v>
      </c>
      <c r="J1213" s="31" t="s">
        <v>1643</v>
      </c>
      <c r="K1213" s="31" t="s">
        <v>48</v>
      </c>
    </row>
    <row r="1214" customFormat="false" ht="15" hidden="false" customHeight="false" outlineLevel="0" collapsed="false">
      <c r="A1214" s="31" t="s">
        <v>1641</v>
      </c>
      <c r="B1214" s="31" t="s">
        <v>1644</v>
      </c>
      <c r="C1214" s="31" t="s">
        <v>20</v>
      </c>
      <c r="D1214" s="31" t="s">
        <v>63</v>
      </c>
      <c r="E1214" s="31" t="n">
        <v>1</v>
      </c>
      <c r="F1214" s="32" t="n">
        <v>14</v>
      </c>
      <c r="G1214" s="32" t="n">
        <v>14</v>
      </c>
      <c r="H1214" s="31" t="s">
        <v>45</v>
      </c>
      <c r="I1214" s="31" t="s">
        <v>58</v>
      </c>
      <c r="J1214" s="31" t="s">
        <v>1643</v>
      </c>
      <c r="K1214" s="31" t="s">
        <v>48</v>
      </c>
    </row>
    <row r="1215" customFormat="false" ht="15" hidden="false" customHeight="false" outlineLevel="0" collapsed="false">
      <c r="A1215" s="31" t="s">
        <v>1645</v>
      </c>
      <c r="B1215" s="31" t="s">
        <v>1646</v>
      </c>
      <c r="C1215" s="31" t="s">
        <v>44</v>
      </c>
      <c r="D1215" s="31" t="s">
        <v>44</v>
      </c>
      <c r="E1215" s="31" t="n">
        <v>1</v>
      </c>
      <c r="F1215" s="32" t="n">
        <v>4.95</v>
      </c>
      <c r="G1215" s="32" t="n">
        <v>4.95</v>
      </c>
      <c r="H1215" s="31" t="s">
        <v>45</v>
      </c>
      <c r="I1215" s="31" t="s">
        <v>58</v>
      </c>
      <c r="J1215" s="31" t="s">
        <v>642</v>
      </c>
      <c r="K1215" s="31" t="s">
        <v>48</v>
      </c>
    </row>
    <row r="1216" customFormat="false" ht="15" hidden="false" customHeight="false" outlineLevel="0" collapsed="false">
      <c r="A1216" s="31" t="s">
        <v>1645</v>
      </c>
      <c r="B1216" s="31" t="s">
        <v>1646</v>
      </c>
      <c r="C1216" s="31" t="s">
        <v>20</v>
      </c>
      <c r="D1216" s="31" t="s">
        <v>56</v>
      </c>
      <c r="E1216" s="31" t="n">
        <v>1</v>
      </c>
      <c r="F1216" s="32" t="n">
        <v>45</v>
      </c>
      <c r="G1216" s="32" t="n">
        <v>45</v>
      </c>
      <c r="H1216" s="31" t="s">
        <v>45</v>
      </c>
      <c r="I1216" s="31" t="s">
        <v>58</v>
      </c>
      <c r="J1216" s="31" t="s">
        <v>642</v>
      </c>
      <c r="K1216" s="31" t="s">
        <v>48</v>
      </c>
    </row>
    <row r="1217" customFormat="false" ht="15" hidden="false" customHeight="false" outlineLevel="0" collapsed="false">
      <c r="A1217" s="31" t="s">
        <v>1647</v>
      </c>
      <c r="B1217" s="31" t="s">
        <v>1648</v>
      </c>
      <c r="C1217" s="31" t="s">
        <v>44</v>
      </c>
      <c r="D1217" s="31" t="s">
        <v>44</v>
      </c>
      <c r="E1217" s="31" t="n">
        <v>1</v>
      </c>
      <c r="F1217" s="32" t="n">
        <v>0</v>
      </c>
      <c r="G1217" s="32" t="n">
        <v>0</v>
      </c>
      <c r="H1217" s="31" t="s">
        <v>45</v>
      </c>
      <c r="I1217" s="31" t="s">
        <v>46</v>
      </c>
      <c r="J1217" s="31" t="s">
        <v>1649</v>
      </c>
      <c r="K1217" s="31" t="s">
        <v>48</v>
      </c>
    </row>
    <row r="1218" customFormat="false" ht="15" hidden="false" customHeight="false" outlineLevel="0" collapsed="false">
      <c r="A1218" s="31" t="s">
        <v>1647</v>
      </c>
      <c r="B1218" s="31" t="s">
        <v>1650</v>
      </c>
      <c r="C1218" s="31" t="s">
        <v>20</v>
      </c>
      <c r="D1218" s="31" t="s">
        <v>53</v>
      </c>
      <c r="E1218" s="31" t="n">
        <v>1</v>
      </c>
      <c r="F1218" s="32" t="n">
        <v>39</v>
      </c>
      <c r="G1218" s="32" t="n">
        <v>39</v>
      </c>
      <c r="H1218" s="31" t="s">
        <v>45</v>
      </c>
      <c r="I1218" s="31" t="s">
        <v>46</v>
      </c>
      <c r="J1218" s="31" t="s">
        <v>1649</v>
      </c>
      <c r="K1218" s="31" t="s">
        <v>48</v>
      </c>
    </row>
    <row r="1219" customFormat="false" ht="15" hidden="false" customHeight="false" outlineLevel="0" collapsed="false">
      <c r="A1219" s="31" t="s">
        <v>1651</v>
      </c>
      <c r="B1219" s="31" t="s">
        <v>1652</v>
      </c>
      <c r="C1219" s="31" t="s">
        <v>20</v>
      </c>
      <c r="D1219" s="31" t="s">
        <v>73</v>
      </c>
      <c r="E1219" s="31" t="n">
        <v>1</v>
      </c>
      <c r="F1219" s="32" t="n">
        <v>69</v>
      </c>
      <c r="G1219" s="32" t="n">
        <v>69</v>
      </c>
      <c r="H1219" s="31" t="s">
        <v>145</v>
      </c>
      <c r="I1219" s="31" t="s">
        <v>58</v>
      </c>
      <c r="J1219" s="31" t="s">
        <v>1653</v>
      </c>
      <c r="K1219" s="31" t="s">
        <v>48</v>
      </c>
    </row>
    <row r="1220" customFormat="false" ht="15" hidden="false" customHeight="false" outlineLevel="0" collapsed="false">
      <c r="A1220" s="31" t="s">
        <v>1651</v>
      </c>
      <c r="B1220" s="31" t="s">
        <v>1652</v>
      </c>
      <c r="C1220" s="31" t="s">
        <v>50</v>
      </c>
      <c r="D1220" s="31" t="s">
        <v>51</v>
      </c>
      <c r="E1220" s="31" t="n">
        <v>1</v>
      </c>
      <c r="F1220" s="32" t="n">
        <v>-15</v>
      </c>
      <c r="G1220" s="32" t="n">
        <v>-15</v>
      </c>
      <c r="H1220" s="31" t="s">
        <v>145</v>
      </c>
      <c r="I1220" s="31" t="s">
        <v>58</v>
      </c>
      <c r="J1220" s="31" t="s">
        <v>1653</v>
      </c>
      <c r="K1220" s="31" t="s">
        <v>48</v>
      </c>
    </row>
    <row r="1221" customFormat="false" ht="15" hidden="false" customHeight="false" outlineLevel="0" collapsed="false">
      <c r="A1221" s="31" t="s">
        <v>1651</v>
      </c>
      <c r="B1221" s="31" t="s">
        <v>1652</v>
      </c>
      <c r="C1221" s="31" t="s">
        <v>20</v>
      </c>
      <c r="D1221" s="31" t="s">
        <v>53</v>
      </c>
      <c r="E1221" s="31" t="n">
        <v>1</v>
      </c>
      <c r="F1221" s="32" t="n">
        <v>33.15</v>
      </c>
      <c r="G1221" s="32" t="n">
        <v>33.15</v>
      </c>
      <c r="H1221" s="31" t="s">
        <v>145</v>
      </c>
      <c r="I1221" s="31" t="s">
        <v>58</v>
      </c>
      <c r="J1221" s="31" t="s">
        <v>1653</v>
      </c>
      <c r="K1221" s="31" t="s">
        <v>48</v>
      </c>
    </row>
    <row r="1222" customFormat="false" ht="15" hidden="false" customHeight="false" outlineLevel="0" collapsed="false">
      <c r="A1222" s="31" t="s">
        <v>1654</v>
      </c>
      <c r="B1222" s="31" t="s">
        <v>1655</v>
      </c>
      <c r="C1222" s="31" t="s">
        <v>44</v>
      </c>
      <c r="D1222" s="31" t="s">
        <v>44</v>
      </c>
      <c r="E1222" s="31" t="n">
        <v>1</v>
      </c>
      <c r="F1222" s="32" t="n">
        <v>0</v>
      </c>
      <c r="G1222" s="32" t="n">
        <v>0</v>
      </c>
      <c r="H1222" s="31" t="s">
        <v>45</v>
      </c>
      <c r="I1222" s="31" t="s">
        <v>58</v>
      </c>
      <c r="J1222" s="31" t="s">
        <v>1656</v>
      </c>
      <c r="K1222" s="31" t="s">
        <v>48</v>
      </c>
    </row>
    <row r="1223" customFormat="false" ht="15" hidden="false" customHeight="false" outlineLevel="0" collapsed="false">
      <c r="A1223" s="31" t="s">
        <v>1654</v>
      </c>
      <c r="B1223" s="31" t="s">
        <v>1657</v>
      </c>
      <c r="C1223" s="31" t="s">
        <v>20</v>
      </c>
      <c r="D1223" s="31" t="s">
        <v>140</v>
      </c>
      <c r="E1223" s="31" t="n">
        <v>1</v>
      </c>
      <c r="F1223" s="32" t="n">
        <v>23.4</v>
      </c>
      <c r="G1223" s="32" t="n">
        <v>23.4</v>
      </c>
      <c r="H1223" s="31" t="s">
        <v>45</v>
      </c>
      <c r="I1223" s="31" t="s">
        <v>58</v>
      </c>
      <c r="J1223" s="31" t="s">
        <v>1656</v>
      </c>
      <c r="K1223" s="31" t="s">
        <v>48</v>
      </c>
    </row>
    <row r="1224" customFormat="false" ht="15" hidden="false" customHeight="false" outlineLevel="0" collapsed="false">
      <c r="A1224" s="31" t="s">
        <v>1658</v>
      </c>
      <c r="B1224" s="31" t="s">
        <v>1659</v>
      </c>
      <c r="C1224" s="31" t="s">
        <v>44</v>
      </c>
      <c r="D1224" s="31" t="s">
        <v>44</v>
      </c>
      <c r="E1224" s="31" t="n">
        <v>1</v>
      </c>
      <c r="F1224" s="32" t="n">
        <v>5.95</v>
      </c>
      <c r="G1224" s="32" t="n">
        <v>5.95</v>
      </c>
      <c r="H1224" s="31" t="s">
        <v>45</v>
      </c>
      <c r="I1224" s="31" t="s">
        <v>46</v>
      </c>
      <c r="J1224" s="31" t="s">
        <v>751</v>
      </c>
      <c r="K1224" s="31" t="s">
        <v>48</v>
      </c>
    </row>
    <row r="1225" customFormat="false" ht="15" hidden="false" customHeight="false" outlineLevel="0" collapsed="false">
      <c r="A1225" s="31" t="s">
        <v>1658</v>
      </c>
      <c r="B1225" s="31" t="s">
        <v>1659</v>
      </c>
      <c r="C1225" s="31" t="s">
        <v>20</v>
      </c>
      <c r="D1225" s="31" t="s">
        <v>78</v>
      </c>
      <c r="E1225" s="31" t="n">
        <v>1</v>
      </c>
      <c r="F1225" s="32" t="n">
        <v>89</v>
      </c>
      <c r="G1225" s="32" t="n">
        <v>89</v>
      </c>
      <c r="H1225" s="31" t="s">
        <v>45</v>
      </c>
      <c r="I1225" s="31" t="s">
        <v>46</v>
      </c>
      <c r="J1225" s="31" t="s">
        <v>751</v>
      </c>
      <c r="K1225" s="31" t="s">
        <v>48</v>
      </c>
    </row>
    <row r="1226" customFormat="false" ht="15" hidden="false" customHeight="false" outlineLevel="0" collapsed="false">
      <c r="A1226" s="31" t="s">
        <v>1658</v>
      </c>
      <c r="B1226" s="31" t="s">
        <v>1659</v>
      </c>
      <c r="C1226" s="31" t="s">
        <v>20</v>
      </c>
      <c r="D1226" s="31" t="s">
        <v>52</v>
      </c>
      <c r="E1226" s="31" t="n">
        <v>1</v>
      </c>
      <c r="F1226" s="32" t="n">
        <v>22</v>
      </c>
      <c r="G1226" s="32" t="n">
        <v>22</v>
      </c>
      <c r="H1226" s="31" t="s">
        <v>45</v>
      </c>
      <c r="I1226" s="31" t="s">
        <v>46</v>
      </c>
      <c r="J1226" s="31" t="s">
        <v>751</v>
      </c>
      <c r="K1226" s="31" t="s">
        <v>48</v>
      </c>
    </row>
    <row r="1227" customFormat="false" ht="15" hidden="false" customHeight="false" outlineLevel="0" collapsed="false">
      <c r="A1227" s="31" t="s">
        <v>1660</v>
      </c>
      <c r="B1227" s="31" t="s">
        <v>1661</v>
      </c>
      <c r="C1227" s="31" t="s">
        <v>44</v>
      </c>
      <c r="D1227" s="31" t="s">
        <v>44</v>
      </c>
      <c r="E1227" s="31" t="n">
        <v>1</v>
      </c>
      <c r="F1227" s="32" t="n">
        <v>4.95</v>
      </c>
      <c r="G1227" s="32" t="n">
        <v>4.95</v>
      </c>
      <c r="H1227" s="31" t="s">
        <v>57</v>
      </c>
      <c r="I1227" s="31" t="s">
        <v>58</v>
      </c>
      <c r="J1227" s="31"/>
      <c r="K1227" s="31" t="s">
        <v>48</v>
      </c>
    </row>
    <row r="1228" customFormat="false" ht="15" hidden="false" customHeight="false" outlineLevel="0" collapsed="false">
      <c r="A1228" s="31" t="s">
        <v>1660</v>
      </c>
      <c r="B1228" s="31" t="s">
        <v>1662</v>
      </c>
      <c r="C1228" s="31" t="s">
        <v>20</v>
      </c>
      <c r="D1228" s="31" t="s">
        <v>78</v>
      </c>
      <c r="E1228" s="31" t="n">
        <v>1</v>
      </c>
      <c r="F1228" s="32" t="n">
        <v>71.2</v>
      </c>
      <c r="G1228" s="32" t="n">
        <v>71.2</v>
      </c>
      <c r="H1228" s="31" t="s">
        <v>57</v>
      </c>
      <c r="I1228" s="31" t="s">
        <v>58</v>
      </c>
      <c r="J1228" s="31"/>
      <c r="K1228" s="31" t="s">
        <v>48</v>
      </c>
    </row>
    <row r="1229" customFormat="false" ht="15" hidden="false" customHeight="false" outlineLevel="0" collapsed="false">
      <c r="A1229" s="31" t="s">
        <v>1660</v>
      </c>
      <c r="B1229" s="31" t="s">
        <v>1662</v>
      </c>
      <c r="C1229" s="31" t="s">
        <v>20</v>
      </c>
      <c r="D1229" s="31" t="s">
        <v>73</v>
      </c>
      <c r="E1229" s="31" t="n">
        <v>2</v>
      </c>
      <c r="F1229" s="32" t="n">
        <v>69</v>
      </c>
      <c r="G1229" s="32" t="n">
        <v>138</v>
      </c>
      <c r="H1229" s="31" t="s">
        <v>57</v>
      </c>
      <c r="I1229" s="31" t="s">
        <v>58</v>
      </c>
      <c r="J1229" s="31"/>
      <c r="K1229" s="31" t="s">
        <v>48</v>
      </c>
    </row>
    <row r="1230" customFormat="false" ht="15" hidden="false" customHeight="false" outlineLevel="0" collapsed="false">
      <c r="A1230" s="31" t="s">
        <v>1660</v>
      </c>
      <c r="B1230" s="31" t="s">
        <v>1662</v>
      </c>
      <c r="C1230" s="31" t="s">
        <v>20</v>
      </c>
      <c r="D1230" s="31" t="s">
        <v>140</v>
      </c>
      <c r="E1230" s="31" t="n">
        <v>2</v>
      </c>
      <c r="F1230" s="32" t="n">
        <v>26</v>
      </c>
      <c r="G1230" s="32" t="n">
        <v>52</v>
      </c>
      <c r="H1230" s="31" t="s">
        <v>57</v>
      </c>
      <c r="I1230" s="31" t="s">
        <v>58</v>
      </c>
      <c r="J1230" s="31"/>
      <c r="K1230" s="31" t="s">
        <v>48</v>
      </c>
    </row>
    <row r="1231" customFormat="false" ht="15" hidden="false" customHeight="false" outlineLevel="0" collapsed="false">
      <c r="A1231" s="31" t="s">
        <v>1663</v>
      </c>
      <c r="B1231" s="31" t="s">
        <v>1664</v>
      </c>
      <c r="C1231" s="31" t="s">
        <v>44</v>
      </c>
      <c r="D1231" s="31" t="s">
        <v>44</v>
      </c>
      <c r="E1231" s="31" t="n">
        <v>1</v>
      </c>
      <c r="F1231" s="32" t="n">
        <v>4.95</v>
      </c>
      <c r="G1231" s="32" t="n">
        <v>4.95</v>
      </c>
      <c r="H1231" s="31" t="s">
        <v>145</v>
      </c>
      <c r="I1231" s="31" t="s">
        <v>58</v>
      </c>
      <c r="J1231" s="31" t="s">
        <v>1665</v>
      </c>
      <c r="K1231" s="31" t="s">
        <v>48</v>
      </c>
    </row>
    <row r="1232" customFormat="false" ht="15" hidden="false" customHeight="false" outlineLevel="0" collapsed="false">
      <c r="A1232" s="31" t="s">
        <v>1663</v>
      </c>
      <c r="B1232" s="31" t="s">
        <v>1666</v>
      </c>
      <c r="C1232" s="31" t="s">
        <v>20</v>
      </c>
      <c r="D1232" s="31" t="s">
        <v>63</v>
      </c>
      <c r="E1232" s="31" t="n">
        <v>1</v>
      </c>
      <c r="F1232" s="32" t="n">
        <v>14</v>
      </c>
      <c r="G1232" s="32" t="n">
        <v>14</v>
      </c>
      <c r="H1232" s="31" t="s">
        <v>145</v>
      </c>
      <c r="I1232" s="31" t="s">
        <v>58</v>
      </c>
      <c r="J1232" s="31" t="s">
        <v>1665</v>
      </c>
      <c r="K1232" s="31" t="s">
        <v>48</v>
      </c>
    </row>
    <row r="1233" customFormat="false" ht="15" hidden="false" customHeight="false" outlineLevel="0" collapsed="false">
      <c r="A1233" s="31" t="s">
        <v>1667</v>
      </c>
      <c r="B1233" s="31" t="s">
        <v>1668</v>
      </c>
      <c r="C1233" s="31" t="s">
        <v>20</v>
      </c>
      <c r="D1233" s="31" t="s">
        <v>78</v>
      </c>
      <c r="E1233" s="31" t="n">
        <v>1</v>
      </c>
      <c r="F1233" s="32" t="n">
        <v>89</v>
      </c>
      <c r="G1233" s="32" t="n">
        <v>89</v>
      </c>
      <c r="H1233" s="31" t="s">
        <v>45</v>
      </c>
      <c r="I1233" s="31" t="s">
        <v>46</v>
      </c>
      <c r="J1233" s="31" t="s">
        <v>1507</v>
      </c>
      <c r="K1233" s="31" t="s">
        <v>48</v>
      </c>
    </row>
    <row r="1234" customFormat="false" ht="15" hidden="false" customHeight="false" outlineLevel="0" collapsed="false">
      <c r="A1234" s="31" t="s">
        <v>1667</v>
      </c>
      <c r="B1234" s="31" t="s">
        <v>1668</v>
      </c>
      <c r="C1234" s="31" t="s">
        <v>44</v>
      </c>
      <c r="D1234" s="31" t="s">
        <v>44</v>
      </c>
      <c r="E1234" s="31" t="n">
        <v>1</v>
      </c>
      <c r="F1234" s="32" t="n">
        <v>5.95</v>
      </c>
      <c r="G1234" s="32" t="n">
        <v>5.95</v>
      </c>
      <c r="H1234" s="31" t="s">
        <v>45</v>
      </c>
      <c r="I1234" s="31" t="s">
        <v>46</v>
      </c>
      <c r="J1234" s="31" t="s">
        <v>1507</v>
      </c>
      <c r="K1234" s="31" t="s">
        <v>48</v>
      </c>
    </row>
    <row r="1235" customFormat="false" ht="15" hidden="false" customHeight="false" outlineLevel="0" collapsed="false">
      <c r="A1235" s="31" t="s">
        <v>1669</v>
      </c>
      <c r="B1235" s="31" t="s">
        <v>1670</v>
      </c>
      <c r="C1235" s="31" t="s">
        <v>20</v>
      </c>
      <c r="D1235" s="31" t="s">
        <v>53</v>
      </c>
      <c r="E1235" s="31" t="n">
        <v>2</v>
      </c>
      <c r="F1235" s="32" t="n">
        <v>39</v>
      </c>
      <c r="G1235" s="32" t="n">
        <v>78</v>
      </c>
      <c r="H1235" s="31" t="s">
        <v>45</v>
      </c>
      <c r="I1235" s="31" t="s">
        <v>58</v>
      </c>
      <c r="J1235" s="31" t="s">
        <v>1671</v>
      </c>
      <c r="K1235" s="31" t="s">
        <v>48</v>
      </c>
    </row>
    <row r="1236" customFormat="false" ht="15" hidden="false" customHeight="false" outlineLevel="0" collapsed="false">
      <c r="A1236" s="31" t="s">
        <v>1669</v>
      </c>
      <c r="B1236" s="31" t="s">
        <v>1670</v>
      </c>
      <c r="C1236" s="31" t="s">
        <v>20</v>
      </c>
      <c r="D1236" s="31" t="s">
        <v>66</v>
      </c>
      <c r="E1236" s="31" t="n">
        <v>2</v>
      </c>
      <c r="F1236" s="32" t="n">
        <v>32</v>
      </c>
      <c r="G1236" s="32" t="n">
        <v>64</v>
      </c>
      <c r="H1236" s="31" t="s">
        <v>45</v>
      </c>
      <c r="I1236" s="31" t="s">
        <v>58</v>
      </c>
      <c r="J1236" s="31" t="s">
        <v>1671</v>
      </c>
      <c r="K1236" s="31" t="s">
        <v>48</v>
      </c>
    </row>
    <row r="1237" customFormat="false" ht="15" hidden="false" customHeight="false" outlineLevel="0" collapsed="false">
      <c r="A1237" s="31" t="s">
        <v>1669</v>
      </c>
      <c r="B1237" s="31" t="s">
        <v>1672</v>
      </c>
      <c r="C1237" s="31" t="s">
        <v>44</v>
      </c>
      <c r="D1237" s="31" t="s">
        <v>44</v>
      </c>
      <c r="E1237" s="31" t="n">
        <v>1</v>
      </c>
      <c r="F1237" s="32" t="n">
        <v>0</v>
      </c>
      <c r="G1237" s="32" t="n">
        <v>0</v>
      </c>
      <c r="H1237" s="31" t="s">
        <v>45</v>
      </c>
      <c r="I1237" s="31" t="s">
        <v>58</v>
      </c>
      <c r="J1237" s="31" t="s">
        <v>1671</v>
      </c>
      <c r="K1237" s="31" t="s">
        <v>48</v>
      </c>
    </row>
    <row r="1238" customFormat="false" ht="15" hidden="false" customHeight="false" outlineLevel="0" collapsed="false">
      <c r="A1238" s="31" t="s">
        <v>1673</v>
      </c>
      <c r="B1238" s="31" t="s">
        <v>1674</v>
      </c>
      <c r="C1238" s="31" t="s">
        <v>44</v>
      </c>
      <c r="D1238" s="31" t="s">
        <v>44</v>
      </c>
      <c r="E1238" s="31" t="n">
        <v>1</v>
      </c>
      <c r="F1238" s="32" t="n">
        <v>3.95</v>
      </c>
      <c r="G1238" s="32" t="n">
        <v>3.95</v>
      </c>
      <c r="H1238" s="31" t="s">
        <v>45</v>
      </c>
      <c r="I1238" s="31" t="s">
        <v>58</v>
      </c>
      <c r="J1238" s="31" t="s">
        <v>1675</v>
      </c>
      <c r="K1238" s="31" t="s">
        <v>48</v>
      </c>
    </row>
    <row r="1239" customFormat="false" ht="15" hidden="false" customHeight="false" outlineLevel="0" collapsed="false">
      <c r="A1239" s="31" t="s">
        <v>1673</v>
      </c>
      <c r="B1239" s="31" t="s">
        <v>1674</v>
      </c>
      <c r="C1239" s="31" t="s">
        <v>20</v>
      </c>
      <c r="D1239" s="31" t="s">
        <v>123</v>
      </c>
      <c r="E1239" s="31" t="n">
        <v>1</v>
      </c>
      <c r="F1239" s="32" t="n">
        <v>75</v>
      </c>
      <c r="G1239" s="32" t="n">
        <v>75</v>
      </c>
      <c r="H1239" s="31" t="s">
        <v>45</v>
      </c>
      <c r="I1239" s="31" t="s">
        <v>58</v>
      </c>
      <c r="J1239" s="31" t="s">
        <v>1675</v>
      </c>
      <c r="K1239" s="31" t="s">
        <v>48</v>
      </c>
    </row>
    <row r="1240" customFormat="false" ht="15" hidden="false" customHeight="false" outlineLevel="0" collapsed="false">
      <c r="A1240" s="31" t="s">
        <v>1590</v>
      </c>
      <c r="B1240" s="31" t="s">
        <v>1676</v>
      </c>
      <c r="C1240" s="31" t="s">
        <v>20</v>
      </c>
      <c r="D1240" s="31" t="s">
        <v>66</v>
      </c>
      <c r="E1240" s="31" t="n">
        <v>-2</v>
      </c>
      <c r="F1240" s="32" t="n">
        <v>32</v>
      </c>
      <c r="G1240" s="32" t="n">
        <v>-64</v>
      </c>
      <c r="H1240" s="31" t="s">
        <v>45</v>
      </c>
      <c r="I1240" s="31" t="s">
        <v>58</v>
      </c>
      <c r="J1240" s="31" t="s">
        <v>1592</v>
      </c>
      <c r="K1240" s="31" t="s">
        <v>243</v>
      </c>
    </row>
    <row r="1241" customFormat="false" ht="15" hidden="false" customHeight="false" outlineLevel="0" collapsed="false">
      <c r="A1241" s="31" t="s">
        <v>1677</v>
      </c>
      <c r="B1241" s="31" t="s">
        <v>1678</v>
      </c>
      <c r="C1241" s="31" t="s">
        <v>20</v>
      </c>
      <c r="D1241" s="31" t="s">
        <v>123</v>
      </c>
      <c r="E1241" s="31" t="n">
        <v>1</v>
      </c>
      <c r="F1241" s="32" t="n">
        <v>75</v>
      </c>
      <c r="G1241" s="32" t="n">
        <v>75</v>
      </c>
      <c r="H1241" s="31" t="s">
        <v>145</v>
      </c>
      <c r="I1241" s="31" t="s">
        <v>46</v>
      </c>
      <c r="J1241" s="31"/>
      <c r="K1241" s="31" t="s">
        <v>48</v>
      </c>
    </row>
    <row r="1242" customFormat="false" ht="15" hidden="false" customHeight="false" outlineLevel="0" collapsed="false">
      <c r="A1242" s="31" t="s">
        <v>1679</v>
      </c>
      <c r="B1242" s="31" t="s">
        <v>1680</v>
      </c>
      <c r="C1242" s="31" t="s">
        <v>20</v>
      </c>
      <c r="D1242" s="31" t="s">
        <v>140</v>
      </c>
      <c r="E1242" s="31" t="n">
        <v>1</v>
      </c>
      <c r="F1242" s="32" t="n">
        <v>26</v>
      </c>
      <c r="G1242" s="32" t="n">
        <v>26</v>
      </c>
      <c r="H1242" s="31" t="s">
        <v>45</v>
      </c>
      <c r="I1242" s="31" t="s">
        <v>58</v>
      </c>
      <c r="J1242" s="31" t="s">
        <v>821</v>
      </c>
      <c r="K1242" s="31" t="s">
        <v>48</v>
      </c>
    </row>
    <row r="1243" customFormat="false" ht="15" hidden="false" customHeight="false" outlineLevel="0" collapsed="false">
      <c r="A1243" s="31" t="s">
        <v>1679</v>
      </c>
      <c r="B1243" s="31" t="s">
        <v>1681</v>
      </c>
      <c r="C1243" s="31" t="s">
        <v>20</v>
      </c>
      <c r="D1243" s="31" t="s">
        <v>78</v>
      </c>
      <c r="E1243" s="31" t="n">
        <v>1</v>
      </c>
      <c r="F1243" s="32" t="n">
        <v>89</v>
      </c>
      <c r="G1243" s="32" t="n">
        <v>89</v>
      </c>
      <c r="H1243" s="31" t="s">
        <v>45</v>
      </c>
      <c r="I1243" s="31" t="s">
        <v>58</v>
      </c>
      <c r="J1243" s="31" t="s">
        <v>821</v>
      </c>
      <c r="K1243" s="31" t="s">
        <v>48</v>
      </c>
    </row>
    <row r="1244" customFormat="false" ht="15" hidden="false" customHeight="false" outlineLevel="0" collapsed="false">
      <c r="A1244" s="31" t="s">
        <v>1679</v>
      </c>
      <c r="B1244" s="31" t="s">
        <v>1681</v>
      </c>
      <c r="C1244" s="31" t="s">
        <v>20</v>
      </c>
      <c r="D1244" s="31" t="s">
        <v>52</v>
      </c>
      <c r="E1244" s="31" t="n">
        <v>2</v>
      </c>
      <c r="F1244" s="32" t="n">
        <v>22</v>
      </c>
      <c r="G1244" s="32" t="n">
        <v>44</v>
      </c>
      <c r="H1244" s="31" t="s">
        <v>45</v>
      </c>
      <c r="I1244" s="31" t="s">
        <v>58</v>
      </c>
      <c r="J1244" s="31" t="s">
        <v>821</v>
      </c>
      <c r="K1244" s="31" t="s">
        <v>48</v>
      </c>
    </row>
    <row r="1245" customFormat="false" ht="15" hidden="false" customHeight="false" outlineLevel="0" collapsed="false">
      <c r="A1245" s="31" t="s">
        <v>1679</v>
      </c>
      <c r="B1245" s="31" t="s">
        <v>1681</v>
      </c>
      <c r="C1245" s="31" t="s">
        <v>44</v>
      </c>
      <c r="D1245" s="31" t="s">
        <v>44</v>
      </c>
      <c r="E1245" s="31" t="n">
        <v>1</v>
      </c>
      <c r="F1245" s="32" t="n">
        <v>3.95</v>
      </c>
      <c r="G1245" s="32" t="n">
        <v>3.95</v>
      </c>
      <c r="H1245" s="31" t="s">
        <v>45</v>
      </c>
      <c r="I1245" s="31" t="s">
        <v>58</v>
      </c>
      <c r="J1245" s="31" t="s">
        <v>821</v>
      </c>
      <c r="K1245" s="31" t="s">
        <v>48</v>
      </c>
    </row>
    <row r="1246" customFormat="false" ht="15" hidden="false" customHeight="false" outlineLevel="0" collapsed="false">
      <c r="A1246" s="31" t="s">
        <v>1682</v>
      </c>
      <c r="B1246" s="31" t="s">
        <v>1683</v>
      </c>
      <c r="C1246" s="31" t="s">
        <v>20</v>
      </c>
      <c r="D1246" s="31" t="s">
        <v>87</v>
      </c>
      <c r="E1246" s="31" t="n">
        <v>1</v>
      </c>
      <c r="F1246" s="32" t="n">
        <v>35</v>
      </c>
      <c r="G1246" s="32" t="n">
        <v>35</v>
      </c>
      <c r="H1246" s="31" t="s">
        <v>45</v>
      </c>
      <c r="I1246" s="31" t="s">
        <v>58</v>
      </c>
      <c r="J1246" s="31" t="s">
        <v>254</v>
      </c>
      <c r="K1246" s="31" t="s">
        <v>48</v>
      </c>
    </row>
    <row r="1247" customFormat="false" ht="15" hidden="false" customHeight="false" outlineLevel="0" collapsed="false">
      <c r="A1247" s="31" t="s">
        <v>1684</v>
      </c>
      <c r="B1247" s="31" t="s">
        <v>1685</v>
      </c>
      <c r="C1247" s="31" t="s">
        <v>20</v>
      </c>
      <c r="D1247" s="31" t="s">
        <v>53</v>
      </c>
      <c r="E1247" s="31" t="n">
        <v>1</v>
      </c>
      <c r="F1247" s="32" t="n">
        <v>39</v>
      </c>
      <c r="G1247" s="32" t="n">
        <v>39</v>
      </c>
      <c r="H1247" s="31" t="s">
        <v>57</v>
      </c>
      <c r="I1247" s="31" t="s">
        <v>155</v>
      </c>
      <c r="J1247" s="31" t="s">
        <v>1686</v>
      </c>
      <c r="K1247" s="31" t="s">
        <v>48</v>
      </c>
    </row>
    <row r="1248" customFormat="false" ht="15" hidden="false" customHeight="false" outlineLevel="0" collapsed="false">
      <c r="A1248" s="31" t="s">
        <v>1684</v>
      </c>
      <c r="B1248" s="31" t="s">
        <v>1687</v>
      </c>
      <c r="C1248" s="31" t="s">
        <v>44</v>
      </c>
      <c r="D1248" s="31" t="s">
        <v>44</v>
      </c>
      <c r="E1248" s="31" t="n">
        <v>1</v>
      </c>
      <c r="F1248" s="32" t="n">
        <v>4.95</v>
      </c>
      <c r="G1248" s="32" t="n">
        <v>4.95</v>
      </c>
      <c r="H1248" s="31" t="s">
        <v>57</v>
      </c>
      <c r="I1248" s="31" t="s">
        <v>155</v>
      </c>
      <c r="J1248" s="31" t="s">
        <v>1686</v>
      </c>
      <c r="K1248" s="31" t="s">
        <v>48</v>
      </c>
    </row>
    <row r="1249" customFormat="false" ht="15" hidden="false" customHeight="false" outlineLevel="0" collapsed="false">
      <c r="A1249" s="31" t="s">
        <v>1688</v>
      </c>
      <c r="B1249" s="31" t="s">
        <v>1689</v>
      </c>
      <c r="C1249" s="31" t="s">
        <v>20</v>
      </c>
      <c r="D1249" s="31" t="s">
        <v>69</v>
      </c>
      <c r="E1249" s="31" t="n">
        <v>1</v>
      </c>
      <c r="F1249" s="32" t="n">
        <v>29</v>
      </c>
      <c r="G1249" s="32" t="n">
        <v>29</v>
      </c>
      <c r="H1249" s="31" t="s">
        <v>184</v>
      </c>
      <c r="I1249" s="31" t="s">
        <v>58</v>
      </c>
      <c r="J1249" s="31" t="s">
        <v>1690</v>
      </c>
      <c r="K1249" s="31" t="s">
        <v>48</v>
      </c>
    </row>
    <row r="1250" customFormat="false" ht="15" hidden="false" customHeight="false" outlineLevel="0" collapsed="false">
      <c r="A1250" s="31" t="s">
        <v>1688</v>
      </c>
      <c r="B1250" s="31" t="s">
        <v>1689</v>
      </c>
      <c r="C1250" s="31" t="s">
        <v>44</v>
      </c>
      <c r="D1250" s="31" t="s">
        <v>44</v>
      </c>
      <c r="E1250" s="31" t="n">
        <v>1</v>
      </c>
      <c r="F1250" s="32" t="n">
        <v>0</v>
      </c>
      <c r="G1250" s="32" t="n">
        <v>0</v>
      </c>
      <c r="H1250" s="31" t="s">
        <v>184</v>
      </c>
      <c r="I1250" s="31" t="s">
        <v>58</v>
      </c>
      <c r="J1250" s="31" t="s">
        <v>1690</v>
      </c>
      <c r="K1250" s="31" t="s">
        <v>48</v>
      </c>
    </row>
    <row r="1251" customFormat="false" ht="15" hidden="false" customHeight="false" outlineLevel="0" collapsed="false">
      <c r="A1251" s="31" t="s">
        <v>1691</v>
      </c>
      <c r="B1251" s="31" t="s">
        <v>1692</v>
      </c>
      <c r="C1251" s="31" t="s">
        <v>20</v>
      </c>
      <c r="D1251" s="31" t="s">
        <v>69</v>
      </c>
      <c r="E1251" s="31" t="n">
        <v>2</v>
      </c>
      <c r="F1251" s="32" t="n">
        <v>29</v>
      </c>
      <c r="G1251" s="32" t="n">
        <v>58</v>
      </c>
      <c r="H1251" s="31" t="s">
        <v>45</v>
      </c>
      <c r="I1251" s="31" t="s">
        <v>58</v>
      </c>
      <c r="J1251" s="31" t="s">
        <v>1693</v>
      </c>
      <c r="K1251" s="31" t="s">
        <v>48</v>
      </c>
    </row>
    <row r="1252" customFormat="false" ht="15" hidden="false" customHeight="false" outlineLevel="0" collapsed="false">
      <c r="A1252" s="31" t="s">
        <v>1694</v>
      </c>
      <c r="B1252" s="31" t="s">
        <v>1695</v>
      </c>
      <c r="C1252" s="31" t="s">
        <v>20</v>
      </c>
      <c r="D1252" s="31" t="s">
        <v>73</v>
      </c>
      <c r="E1252" s="31" t="n">
        <v>1</v>
      </c>
      <c r="F1252" s="32" t="n">
        <v>69</v>
      </c>
      <c r="G1252" s="32" t="n">
        <v>69</v>
      </c>
      <c r="H1252" s="31" t="s">
        <v>45</v>
      </c>
      <c r="I1252" s="31" t="s">
        <v>84</v>
      </c>
      <c r="J1252" s="31" t="s">
        <v>133</v>
      </c>
      <c r="K1252" s="31" t="s">
        <v>48</v>
      </c>
    </row>
    <row r="1253" customFormat="false" ht="15" hidden="false" customHeight="false" outlineLevel="0" collapsed="false">
      <c r="A1253" s="31" t="s">
        <v>1696</v>
      </c>
      <c r="B1253" s="31" t="s">
        <v>1697</v>
      </c>
      <c r="C1253" s="31" t="s">
        <v>20</v>
      </c>
      <c r="D1253" s="31" t="s">
        <v>63</v>
      </c>
      <c r="E1253" s="31" t="n">
        <v>1</v>
      </c>
      <c r="F1253" s="32" t="n">
        <v>11.2</v>
      </c>
      <c r="G1253" s="32" t="n">
        <v>11.2</v>
      </c>
      <c r="H1253" s="31" t="s">
        <v>45</v>
      </c>
      <c r="I1253" s="31" t="s">
        <v>58</v>
      </c>
      <c r="J1253" s="31"/>
      <c r="K1253" s="31" t="s">
        <v>48</v>
      </c>
    </row>
    <row r="1254" customFormat="false" ht="15" hidden="false" customHeight="false" outlineLevel="0" collapsed="false">
      <c r="A1254" s="31" t="s">
        <v>1696</v>
      </c>
      <c r="B1254" s="31" t="s">
        <v>1697</v>
      </c>
      <c r="C1254" s="31" t="s">
        <v>44</v>
      </c>
      <c r="D1254" s="31" t="s">
        <v>44</v>
      </c>
      <c r="E1254" s="31" t="n">
        <v>1</v>
      </c>
      <c r="F1254" s="32" t="n">
        <v>5.95</v>
      </c>
      <c r="G1254" s="32" t="n">
        <v>5.95</v>
      </c>
      <c r="H1254" s="31" t="s">
        <v>45</v>
      </c>
      <c r="I1254" s="31" t="s">
        <v>58</v>
      </c>
      <c r="J1254" s="31"/>
      <c r="K1254" s="31" t="s">
        <v>48</v>
      </c>
    </row>
    <row r="1255" customFormat="false" ht="15" hidden="false" customHeight="false" outlineLevel="0" collapsed="false">
      <c r="A1255" s="31" t="s">
        <v>1696</v>
      </c>
      <c r="B1255" s="31" t="s">
        <v>1697</v>
      </c>
      <c r="C1255" s="31" t="s">
        <v>20</v>
      </c>
      <c r="D1255" s="31" t="s">
        <v>73</v>
      </c>
      <c r="E1255" s="31" t="n">
        <v>3</v>
      </c>
      <c r="F1255" s="32" t="n">
        <v>69</v>
      </c>
      <c r="G1255" s="32" t="n">
        <v>207</v>
      </c>
      <c r="H1255" s="31" t="s">
        <v>45</v>
      </c>
      <c r="I1255" s="31" t="s">
        <v>58</v>
      </c>
      <c r="J1255" s="31"/>
      <c r="K1255" s="31" t="s">
        <v>48</v>
      </c>
    </row>
    <row r="1256" customFormat="false" ht="15" hidden="false" customHeight="false" outlineLevel="0" collapsed="false">
      <c r="A1256" s="31" t="s">
        <v>1698</v>
      </c>
      <c r="B1256" s="31" t="s">
        <v>1699</v>
      </c>
      <c r="C1256" s="31" t="s">
        <v>44</v>
      </c>
      <c r="D1256" s="31" t="s">
        <v>44</v>
      </c>
      <c r="E1256" s="31" t="n">
        <v>1</v>
      </c>
      <c r="F1256" s="32" t="n">
        <v>4.95</v>
      </c>
      <c r="G1256" s="32" t="n">
        <v>4.95</v>
      </c>
      <c r="H1256" s="31" t="s">
        <v>45</v>
      </c>
      <c r="I1256" s="31" t="s">
        <v>58</v>
      </c>
      <c r="J1256" s="31" t="s">
        <v>1700</v>
      </c>
      <c r="K1256" s="31" t="s">
        <v>48</v>
      </c>
    </row>
    <row r="1257" customFormat="false" ht="15" hidden="false" customHeight="false" outlineLevel="0" collapsed="false">
      <c r="A1257" s="31" t="s">
        <v>1698</v>
      </c>
      <c r="B1257" s="31" t="s">
        <v>1701</v>
      </c>
      <c r="C1257" s="31" t="s">
        <v>20</v>
      </c>
      <c r="D1257" s="31" t="s">
        <v>56</v>
      </c>
      <c r="E1257" s="31" t="n">
        <v>3</v>
      </c>
      <c r="F1257" s="32" t="n">
        <v>45</v>
      </c>
      <c r="G1257" s="32" t="n">
        <v>135</v>
      </c>
      <c r="H1257" s="31" t="s">
        <v>45</v>
      </c>
      <c r="I1257" s="31" t="s">
        <v>58</v>
      </c>
      <c r="J1257" s="31" t="s">
        <v>1700</v>
      </c>
      <c r="K1257" s="31" t="s">
        <v>48</v>
      </c>
    </row>
    <row r="1258" customFormat="false" ht="15" hidden="false" customHeight="false" outlineLevel="0" collapsed="false">
      <c r="A1258" s="31" t="s">
        <v>1698</v>
      </c>
      <c r="B1258" s="31" t="s">
        <v>1699</v>
      </c>
      <c r="C1258" s="31" t="s">
        <v>20</v>
      </c>
      <c r="D1258" s="31" t="s">
        <v>78</v>
      </c>
      <c r="E1258" s="31" t="n">
        <v>1</v>
      </c>
      <c r="F1258" s="32" t="n">
        <v>89</v>
      </c>
      <c r="G1258" s="32" t="n">
        <v>89</v>
      </c>
      <c r="H1258" s="31" t="s">
        <v>45</v>
      </c>
      <c r="I1258" s="31" t="s">
        <v>58</v>
      </c>
      <c r="J1258" s="31" t="s">
        <v>1700</v>
      </c>
      <c r="K1258" s="31" t="s">
        <v>48</v>
      </c>
    </row>
    <row r="1259" customFormat="false" ht="15" hidden="false" customHeight="false" outlineLevel="0" collapsed="false">
      <c r="A1259" s="31" t="s">
        <v>1698</v>
      </c>
      <c r="B1259" s="31" t="s">
        <v>1699</v>
      </c>
      <c r="C1259" s="31" t="s">
        <v>20</v>
      </c>
      <c r="D1259" s="31" t="s">
        <v>63</v>
      </c>
      <c r="E1259" s="31" t="n">
        <v>1</v>
      </c>
      <c r="F1259" s="32" t="n">
        <v>14</v>
      </c>
      <c r="G1259" s="32" t="n">
        <v>14</v>
      </c>
      <c r="H1259" s="31" t="s">
        <v>45</v>
      </c>
      <c r="I1259" s="31" t="s">
        <v>58</v>
      </c>
      <c r="J1259" s="31" t="s">
        <v>1700</v>
      </c>
      <c r="K1259" s="31" t="s">
        <v>48</v>
      </c>
    </row>
    <row r="1260" customFormat="false" ht="15" hidden="false" customHeight="false" outlineLevel="0" collapsed="false">
      <c r="A1260" s="31" t="s">
        <v>1702</v>
      </c>
      <c r="B1260" s="31" t="s">
        <v>1703</v>
      </c>
      <c r="C1260" s="31" t="s">
        <v>20</v>
      </c>
      <c r="D1260" s="31" t="s">
        <v>66</v>
      </c>
      <c r="E1260" s="31" t="n">
        <v>1</v>
      </c>
      <c r="F1260" s="32" t="n">
        <v>32</v>
      </c>
      <c r="G1260" s="32" t="n">
        <v>32</v>
      </c>
      <c r="H1260" s="31" t="s">
        <v>45</v>
      </c>
      <c r="I1260" s="31" t="s">
        <v>58</v>
      </c>
      <c r="J1260" s="31" t="s">
        <v>1704</v>
      </c>
      <c r="K1260" s="31" t="s">
        <v>48</v>
      </c>
    </row>
    <row r="1261" customFormat="false" ht="15" hidden="false" customHeight="false" outlineLevel="0" collapsed="false">
      <c r="A1261" s="31" t="s">
        <v>1702</v>
      </c>
      <c r="B1261" s="31" t="s">
        <v>1703</v>
      </c>
      <c r="C1261" s="31" t="s">
        <v>20</v>
      </c>
      <c r="D1261" s="31" t="s">
        <v>123</v>
      </c>
      <c r="E1261" s="31" t="n">
        <v>2</v>
      </c>
      <c r="F1261" s="32" t="n">
        <v>75</v>
      </c>
      <c r="G1261" s="32" t="n">
        <v>150</v>
      </c>
      <c r="H1261" s="31" t="s">
        <v>45</v>
      </c>
      <c r="I1261" s="31" t="s">
        <v>58</v>
      </c>
      <c r="J1261" s="31" t="s">
        <v>1704</v>
      </c>
      <c r="K1261" s="31" t="s">
        <v>48</v>
      </c>
    </row>
    <row r="1262" customFormat="false" ht="15" hidden="false" customHeight="false" outlineLevel="0" collapsed="false">
      <c r="A1262" s="31" t="s">
        <v>1705</v>
      </c>
      <c r="B1262" s="31" t="s">
        <v>1706</v>
      </c>
      <c r="C1262" s="31" t="s">
        <v>50</v>
      </c>
      <c r="D1262" s="31" t="s">
        <v>51</v>
      </c>
      <c r="E1262" s="31" t="n">
        <v>1</v>
      </c>
      <c r="F1262" s="32" t="n">
        <v>-15</v>
      </c>
      <c r="G1262" s="32" t="n">
        <v>-15</v>
      </c>
      <c r="H1262" s="31" t="s">
        <v>145</v>
      </c>
      <c r="I1262" s="31" t="s">
        <v>58</v>
      </c>
      <c r="J1262" s="31" t="s">
        <v>1707</v>
      </c>
      <c r="K1262" s="31" t="s">
        <v>48</v>
      </c>
    </row>
    <row r="1263" customFormat="false" ht="15" hidden="false" customHeight="false" outlineLevel="0" collapsed="false">
      <c r="A1263" s="31" t="s">
        <v>1705</v>
      </c>
      <c r="B1263" s="31" t="s">
        <v>1708</v>
      </c>
      <c r="C1263" s="31" t="s">
        <v>20</v>
      </c>
      <c r="D1263" s="31" t="s">
        <v>53</v>
      </c>
      <c r="E1263" s="31" t="n">
        <v>1</v>
      </c>
      <c r="F1263" s="32" t="n">
        <v>39</v>
      </c>
      <c r="G1263" s="32" t="n">
        <v>39</v>
      </c>
      <c r="H1263" s="31" t="s">
        <v>145</v>
      </c>
      <c r="I1263" s="31" t="s">
        <v>58</v>
      </c>
      <c r="J1263" s="31" t="s">
        <v>1707</v>
      </c>
      <c r="K1263" s="31" t="s">
        <v>48</v>
      </c>
    </row>
    <row r="1264" customFormat="false" ht="15" hidden="false" customHeight="false" outlineLevel="0" collapsed="false">
      <c r="A1264" s="31" t="s">
        <v>1705</v>
      </c>
      <c r="B1264" s="31" t="s">
        <v>1708</v>
      </c>
      <c r="C1264" s="31" t="s">
        <v>44</v>
      </c>
      <c r="D1264" s="31" t="s">
        <v>44</v>
      </c>
      <c r="E1264" s="31" t="n">
        <v>1</v>
      </c>
      <c r="F1264" s="32" t="n">
        <v>5.95</v>
      </c>
      <c r="G1264" s="32" t="n">
        <v>5.95</v>
      </c>
      <c r="H1264" s="31" t="s">
        <v>145</v>
      </c>
      <c r="I1264" s="31" t="s">
        <v>58</v>
      </c>
      <c r="J1264" s="31" t="s">
        <v>1707</v>
      </c>
      <c r="K1264" s="31" t="s">
        <v>48</v>
      </c>
    </row>
    <row r="1265" customFormat="false" ht="15" hidden="false" customHeight="false" outlineLevel="0" collapsed="false">
      <c r="A1265" s="31" t="s">
        <v>1709</v>
      </c>
      <c r="B1265" s="31" t="s">
        <v>1710</v>
      </c>
      <c r="C1265" s="31" t="s">
        <v>20</v>
      </c>
      <c r="D1265" s="31" t="s">
        <v>73</v>
      </c>
      <c r="E1265" s="31" t="n">
        <v>1</v>
      </c>
      <c r="F1265" s="32" t="n">
        <v>69</v>
      </c>
      <c r="G1265" s="32" t="n">
        <v>69</v>
      </c>
      <c r="H1265" s="31" t="s">
        <v>45</v>
      </c>
      <c r="I1265" s="31" t="s">
        <v>58</v>
      </c>
      <c r="J1265" s="31" t="s">
        <v>1091</v>
      </c>
      <c r="K1265" s="31" t="s">
        <v>48</v>
      </c>
    </row>
    <row r="1266" customFormat="false" ht="15" hidden="false" customHeight="false" outlineLevel="0" collapsed="false">
      <c r="A1266" s="31" t="s">
        <v>1709</v>
      </c>
      <c r="B1266" s="31" t="s">
        <v>1710</v>
      </c>
      <c r="C1266" s="31" t="s">
        <v>44</v>
      </c>
      <c r="D1266" s="31" t="s">
        <v>44</v>
      </c>
      <c r="E1266" s="31" t="n">
        <v>1</v>
      </c>
      <c r="F1266" s="32" t="n">
        <v>3.95</v>
      </c>
      <c r="G1266" s="32" t="n">
        <v>3.95</v>
      </c>
      <c r="H1266" s="31" t="s">
        <v>45</v>
      </c>
      <c r="I1266" s="31" t="s">
        <v>58</v>
      </c>
      <c r="J1266" s="31" t="s">
        <v>1091</v>
      </c>
      <c r="K1266" s="31" t="s">
        <v>48</v>
      </c>
    </row>
    <row r="1267" customFormat="false" ht="15" hidden="false" customHeight="false" outlineLevel="0" collapsed="false">
      <c r="A1267" s="31" t="s">
        <v>1711</v>
      </c>
      <c r="B1267" s="31" t="s">
        <v>1712</v>
      </c>
      <c r="C1267" s="31" t="s">
        <v>20</v>
      </c>
      <c r="D1267" s="31" t="s">
        <v>53</v>
      </c>
      <c r="E1267" s="31" t="n">
        <v>2</v>
      </c>
      <c r="F1267" s="32" t="n">
        <v>39</v>
      </c>
      <c r="G1267" s="32" t="n">
        <v>78</v>
      </c>
      <c r="H1267" s="31" t="s">
        <v>45</v>
      </c>
      <c r="I1267" s="31" t="s">
        <v>58</v>
      </c>
      <c r="J1267" s="31" t="s">
        <v>1428</v>
      </c>
      <c r="K1267" s="31" t="s">
        <v>48</v>
      </c>
    </row>
    <row r="1268" customFormat="false" ht="15" hidden="false" customHeight="false" outlineLevel="0" collapsed="false">
      <c r="A1268" s="31" t="s">
        <v>1711</v>
      </c>
      <c r="B1268" s="31" t="s">
        <v>1713</v>
      </c>
      <c r="C1268" s="31" t="s">
        <v>20</v>
      </c>
      <c r="D1268" s="31" t="s">
        <v>69</v>
      </c>
      <c r="E1268" s="31" t="n">
        <v>3</v>
      </c>
      <c r="F1268" s="32" t="n">
        <v>29</v>
      </c>
      <c r="G1268" s="32" t="n">
        <v>87</v>
      </c>
      <c r="H1268" s="31" t="s">
        <v>45</v>
      </c>
      <c r="I1268" s="31" t="s">
        <v>58</v>
      </c>
      <c r="J1268" s="31" t="s">
        <v>1428</v>
      </c>
      <c r="K1268" s="31" t="s">
        <v>48</v>
      </c>
    </row>
    <row r="1269" customFormat="false" ht="15" hidden="false" customHeight="false" outlineLevel="0" collapsed="false">
      <c r="A1269" s="31" t="s">
        <v>1711</v>
      </c>
      <c r="B1269" s="31" t="s">
        <v>1713</v>
      </c>
      <c r="C1269" s="31" t="s">
        <v>20</v>
      </c>
      <c r="D1269" s="31" t="s">
        <v>52</v>
      </c>
      <c r="E1269" s="31" t="n">
        <v>2</v>
      </c>
      <c r="F1269" s="32" t="n">
        <v>22</v>
      </c>
      <c r="G1269" s="32" t="n">
        <v>44</v>
      </c>
      <c r="H1269" s="31" t="s">
        <v>45</v>
      </c>
      <c r="I1269" s="31" t="s">
        <v>58</v>
      </c>
      <c r="J1269" s="31" t="s">
        <v>1428</v>
      </c>
      <c r="K1269" s="31" t="s">
        <v>48</v>
      </c>
    </row>
    <row r="1270" customFormat="false" ht="15" hidden="false" customHeight="false" outlineLevel="0" collapsed="false">
      <c r="A1270" s="31" t="s">
        <v>1711</v>
      </c>
      <c r="B1270" s="31" t="s">
        <v>1713</v>
      </c>
      <c r="C1270" s="31" t="s">
        <v>44</v>
      </c>
      <c r="D1270" s="31" t="s">
        <v>44</v>
      </c>
      <c r="E1270" s="31" t="n">
        <v>1</v>
      </c>
      <c r="F1270" s="32" t="n">
        <v>0</v>
      </c>
      <c r="G1270" s="32" t="n">
        <v>0</v>
      </c>
      <c r="H1270" s="31" t="s">
        <v>45</v>
      </c>
      <c r="I1270" s="31" t="s">
        <v>58</v>
      </c>
      <c r="J1270" s="31" t="s">
        <v>1428</v>
      </c>
      <c r="K1270" s="31" t="s">
        <v>48</v>
      </c>
    </row>
    <row r="1271" customFormat="false" ht="15" hidden="false" customHeight="false" outlineLevel="0" collapsed="false">
      <c r="A1271" s="31" t="s">
        <v>1714</v>
      </c>
      <c r="B1271" s="31" t="s">
        <v>1715</v>
      </c>
      <c r="C1271" s="31" t="s">
        <v>20</v>
      </c>
      <c r="D1271" s="31" t="s">
        <v>56</v>
      </c>
      <c r="E1271" s="31" t="n">
        <v>2</v>
      </c>
      <c r="F1271" s="32" t="n">
        <v>45</v>
      </c>
      <c r="G1271" s="32" t="n">
        <v>90</v>
      </c>
      <c r="H1271" s="31" t="s">
        <v>45</v>
      </c>
      <c r="I1271" s="31" t="s">
        <v>46</v>
      </c>
      <c r="J1271" s="31" t="s">
        <v>412</v>
      </c>
      <c r="K1271" s="31" t="s">
        <v>48</v>
      </c>
    </row>
    <row r="1272" customFormat="false" ht="15" hidden="false" customHeight="false" outlineLevel="0" collapsed="false">
      <c r="A1272" s="31" t="s">
        <v>1714</v>
      </c>
      <c r="B1272" s="31" t="s">
        <v>1716</v>
      </c>
      <c r="C1272" s="31" t="s">
        <v>20</v>
      </c>
      <c r="D1272" s="31" t="s">
        <v>73</v>
      </c>
      <c r="E1272" s="31" t="n">
        <v>1</v>
      </c>
      <c r="F1272" s="32" t="n">
        <v>69</v>
      </c>
      <c r="G1272" s="32" t="n">
        <v>69</v>
      </c>
      <c r="H1272" s="31" t="s">
        <v>45</v>
      </c>
      <c r="I1272" s="31" t="s">
        <v>46</v>
      </c>
      <c r="J1272" s="31" t="s">
        <v>412</v>
      </c>
      <c r="K1272" s="31" t="s">
        <v>48</v>
      </c>
    </row>
    <row r="1273" customFormat="false" ht="15" hidden="false" customHeight="false" outlineLevel="0" collapsed="false">
      <c r="A1273" s="31" t="s">
        <v>1714</v>
      </c>
      <c r="B1273" s="31" t="s">
        <v>1715</v>
      </c>
      <c r="C1273" s="31" t="s">
        <v>44</v>
      </c>
      <c r="D1273" s="31" t="s">
        <v>44</v>
      </c>
      <c r="E1273" s="31" t="n">
        <v>1</v>
      </c>
      <c r="F1273" s="32" t="n">
        <v>5.95</v>
      </c>
      <c r="G1273" s="32" t="n">
        <v>5.95</v>
      </c>
      <c r="H1273" s="31" t="s">
        <v>45</v>
      </c>
      <c r="I1273" s="31" t="s">
        <v>46</v>
      </c>
      <c r="J1273" s="31" t="s">
        <v>412</v>
      </c>
      <c r="K1273" s="31" t="s">
        <v>48</v>
      </c>
    </row>
    <row r="1274" customFormat="false" ht="15" hidden="false" customHeight="false" outlineLevel="0" collapsed="false">
      <c r="A1274" s="31" t="s">
        <v>1717</v>
      </c>
      <c r="B1274" s="31" t="s">
        <v>1718</v>
      </c>
      <c r="C1274" s="31" t="s">
        <v>20</v>
      </c>
      <c r="D1274" s="31" t="s">
        <v>73</v>
      </c>
      <c r="E1274" s="31" t="n">
        <v>2</v>
      </c>
      <c r="F1274" s="32" t="n">
        <v>69</v>
      </c>
      <c r="G1274" s="32" t="n">
        <v>138</v>
      </c>
      <c r="H1274" s="31" t="s">
        <v>45</v>
      </c>
      <c r="I1274" s="31" t="s">
        <v>58</v>
      </c>
      <c r="J1274" s="31" t="s">
        <v>1719</v>
      </c>
      <c r="K1274" s="31" t="s">
        <v>48</v>
      </c>
    </row>
    <row r="1275" customFormat="false" ht="15" hidden="false" customHeight="false" outlineLevel="0" collapsed="false">
      <c r="A1275" s="31" t="s">
        <v>1717</v>
      </c>
      <c r="B1275" s="31" t="s">
        <v>1718</v>
      </c>
      <c r="C1275" s="31" t="s">
        <v>44</v>
      </c>
      <c r="D1275" s="31" t="s">
        <v>44</v>
      </c>
      <c r="E1275" s="31" t="n">
        <v>1</v>
      </c>
      <c r="F1275" s="32" t="n">
        <v>5.95</v>
      </c>
      <c r="G1275" s="32" t="n">
        <v>5.95</v>
      </c>
      <c r="H1275" s="31" t="s">
        <v>45</v>
      </c>
      <c r="I1275" s="31" t="s">
        <v>58</v>
      </c>
      <c r="J1275" s="31" t="s">
        <v>1719</v>
      </c>
      <c r="K1275" s="31" t="s">
        <v>48</v>
      </c>
    </row>
    <row r="1276" customFormat="false" ht="15" hidden="false" customHeight="false" outlineLevel="0" collapsed="false">
      <c r="A1276" s="31" t="s">
        <v>1720</v>
      </c>
      <c r="B1276" s="31" t="s">
        <v>1721</v>
      </c>
      <c r="C1276" s="31" t="s">
        <v>20</v>
      </c>
      <c r="D1276" s="31" t="s">
        <v>69</v>
      </c>
      <c r="E1276" s="31" t="n">
        <v>1</v>
      </c>
      <c r="F1276" s="32" t="n">
        <v>29</v>
      </c>
      <c r="G1276" s="32" t="n">
        <v>29</v>
      </c>
      <c r="H1276" s="31" t="s">
        <v>45</v>
      </c>
      <c r="I1276" s="31" t="s">
        <v>58</v>
      </c>
      <c r="J1276" s="31" t="s">
        <v>1722</v>
      </c>
      <c r="K1276" s="31" t="s">
        <v>48</v>
      </c>
    </row>
    <row r="1277" customFormat="false" ht="15" hidden="false" customHeight="false" outlineLevel="0" collapsed="false">
      <c r="A1277" s="31" t="s">
        <v>1720</v>
      </c>
      <c r="B1277" s="31" t="s">
        <v>1723</v>
      </c>
      <c r="C1277" s="31" t="s">
        <v>20</v>
      </c>
      <c r="D1277" s="31" t="s">
        <v>66</v>
      </c>
      <c r="E1277" s="31" t="n">
        <v>1</v>
      </c>
      <c r="F1277" s="32" t="n">
        <v>32</v>
      </c>
      <c r="G1277" s="32" t="n">
        <v>32</v>
      </c>
      <c r="H1277" s="31" t="s">
        <v>45</v>
      </c>
      <c r="I1277" s="31" t="s">
        <v>58</v>
      </c>
      <c r="J1277" s="31" t="s">
        <v>1722</v>
      </c>
      <c r="K1277" s="31" t="s">
        <v>48</v>
      </c>
    </row>
    <row r="1278" customFormat="false" ht="15" hidden="false" customHeight="false" outlineLevel="0" collapsed="false">
      <c r="A1278" s="31" t="s">
        <v>1720</v>
      </c>
      <c r="B1278" s="31" t="s">
        <v>1721</v>
      </c>
      <c r="C1278" s="31" t="s">
        <v>44</v>
      </c>
      <c r="D1278" s="31" t="s">
        <v>44</v>
      </c>
      <c r="E1278" s="31" t="n">
        <v>1</v>
      </c>
      <c r="F1278" s="32" t="n">
        <v>3.95</v>
      </c>
      <c r="G1278" s="32" t="n">
        <v>3.95</v>
      </c>
      <c r="H1278" s="31" t="s">
        <v>45</v>
      </c>
      <c r="I1278" s="31" t="s">
        <v>58</v>
      </c>
      <c r="J1278" s="31" t="s">
        <v>1722</v>
      </c>
      <c r="K1278" s="31" t="s">
        <v>48</v>
      </c>
    </row>
    <row r="1279" customFormat="false" ht="15" hidden="false" customHeight="false" outlineLevel="0" collapsed="false">
      <c r="A1279" s="31" t="s">
        <v>1724</v>
      </c>
      <c r="B1279" s="31" t="s">
        <v>1725</v>
      </c>
      <c r="C1279" s="31" t="s">
        <v>44</v>
      </c>
      <c r="D1279" s="31" t="s">
        <v>44</v>
      </c>
      <c r="E1279" s="31" t="n">
        <v>1</v>
      </c>
      <c r="F1279" s="32" t="n">
        <v>4.95</v>
      </c>
      <c r="G1279" s="32" t="n">
        <v>4.95</v>
      </c>
      <c r="H1279" s="31" t="s">
        <v>45</v>
      </c>
      <c r="I1279" s="31" t="s">
        <v>58</v>
      </c>
      <c r="J1279" s="31" t="s">
        <v>1726</v>
      </c>
      <c r="K1279" s="31" t="s">
        <v>48</v>
      </c>
    </row>
    <row r="1280" customFormat="false" ht="15" hidden="false" customHeight="false" outlineLevel="0" collapsed="false">
      <c r="A1280" s="31" t="s">
        <v>1724</v>
      </c>
      <c r="B1280" s="31" t="s">
        <v>1725</v>
      </c>
      <c r="C1280" s="31" t="s">
        <v>20</v>
      </c>
      <c r="D1280" s="31" t="s">
        <v>52</v>
      </c>
      <c r="E1280" s="31" t="n">
        <v>2</v>
      </c>
      <c r="F1280" s="32" t="n">
        <v>22</v>
      </c>
      <c r="G1280" s="32" t="n">
        <v>44</v>
      </c>
      <c r="H1280" s="31" t="s">
        <v>45</v>
      </c>
      <c r="I1280" s="31" t="s">
        <v>58</v>
      </c>
      <c r="J1280" s="31" t="s">
        <v>1726</v>
      </c>
      <c r="K1280" s="31" t="s">
        <v>48</v>
      </c>
    </row>
    <row r="1281" customFormat="false" ht="15" hidden="false" customHeight="false" outlineLevel="0" collapsed="false">
      <c r="A1281" s="31" t="s">
        <v>1727</v>
      </c>
      <c r="B1281" s="31" t="s">
        <v>1728</v>
      </c>
      <c r="C1281" s="31" t="s">
        <v>44</v>
      </c>
      <c r="D1281" s="31" t="s">
        <v>44</v>
      </c>
      <c r="E1281" s="31" t="n">
        <v>1</v>
      </c>
      <c r="F1281" s="32" t="n">
        <v>4.95</v>
      </c>
      <c r="G1281" s="32" t="n">
        <v>4.95</v>
      </c>
      <c r="H1281" s="31" t="s">
        <v>45</v>
      </c>
      <c r="I1281" s="31" t="s">
        <v>84</v>
      </c>
      <c r="J1281" s="31" t="s">
        <v>1729</v>
      </c>
      <c r="K1281" s="31" t="s">
        <v>48</v>
      </c>
    </row>
    <row r="1282" customFormat="false" ht="15" hidden="false" customHeight="false" outlineLevel="0" collapsed="false">
      <c r="A1282" s="31" t="s">
        <v>1727</v>
      </c>
      <c r="B1282" s="31" t="s">
        <v>1730</v>
      </c>
      <c r="C1282" s="31" t="s">
        <v>20</v>
      </c>
      <c r="D1282" s="31" t="s">
        <v>78</v>
      </c>
      <c r="E1282" s="31" t="n">
        <v>1</v>
      </c>
      <c r="F1282" s="32" t="n">
        <v>75.65</v>
      </c>
      <c r="G1282" s="32" t="n">
        <v>75.65</v>
      </c>
      <c r="H1282" s="31" t="s">
        <v>45</v>
      </c>
      <c r="I1282" s="31" t="s">
        <v>84</v>
      </c>
      <c r="J1282" s="31" t="s">
        <v>1729</v>
      </c>
      <c r="K1282" s="31" t="s">
        <v>202</v>
      </c>
    </row>
    <row r="1283" customFormat="false" ht="15" hidden="false" customHeight="false" outlineLevel="0" collapsed="false">
      <c r="A1283" s="31" t="s">
        <v>1731</v>
      </c>
      <c r="B1283" s="31" t="s">
        <v>1732</v>
      </c>
      <c r="C1283" s="31" t="s">
        <v>20</v>
      </c>
      <c r="D1283" s="31" t="s">
        <v>87</v>
      </c>
      <c r="E1283" s="31" t="n">
        <v>1</v>
      </c>
      <c r="F1283" s="32" t="n">
        <v>29.75</v>
      </c>
      <c r="G1283" s="32" t="n">
        <v>29.75</v>
      </c>
      <c r="H1283" s="31" t="s">
        <v>184</v>
      </c>
      <c r="I1283" s="31" t="s">
        <v>58</v>
      </c>
      <c r="J1283" s="31" t="s">
        <v>745</v>
      </c>
      <c r="K1283" s="31" t="s">
        <v>202</v>
      </c>
    </row>
    <row r="1284" customFormat="false" ht="15" hidden="false" customHeight="false" outlineLevel="0" collapsed="false">
      <c r="A1284" s="31" t="s">
        <v>1731</v>
      </c>
      <c r="B1284" s="31" t="s">
        <v>1732</v>
      </c>
      <c r="C1284" s="31" t="s">
        <v>44</v>
      </c>
      <c r="D1284" s="31" t="s">
        <v>44</v>
      </c>
      <c r="E1284" s="31" t="n">
        <v>1</v>
      </c>
      <c r="F1284" s="32" t="n">
        <v>0</v>
      </c>
      <c r="G1284" s="32" t="n">
        <v>0</v>
      </c>
      <c r="H1284" s="31" t="s">
        <v>184</v>
      </c>
      <c r="I1284" s="31" t="s">
        <v>58</v>
      </c>
      <c r="J1284" s="31" t="s">
        <v>745</v>
      </c>
      <c r="K1284" s="31" t="s">
        <v>48</v>
      </c>
    </row>
    <row r="1285" customFormat="false" ht="15" hidden="false" customHeight="false" outlineLevel="0" collapsed="false">
      <c r="A1285" s="31" t="s">
        <v>1731</v>
      </c>
      <c r="B1285" s="31" t="s">
        <v>1732</v>
      </c>
      <c r="C1285" s="31" t="s">
        <v>20</v>
      </c>
      <c r="D1285" s="31" t="s">
        <v>78</v>
      </c>
      <c r="E1285" s="31" t="n">
        <v>1</v>
      </c>
      <c r="F1285" s="32" t="n">
        <v>89</v>
      </c>
      <c r="G1285" s="32" t="n">
        <v>89</v>
      </c>
      <c r="H1285" s="31" t="s">
        <v>184</v>
      </c>
      <c r="I1285" s="31" t="s">
        <v>58</v>
      </c>
      <c r="J1285" s="31" t="s">
        <v>745</v>
      </c>
      <c r="K1285" s="31" t="s">
        <v>48</v>
      </c>
    </row>
    <row r="1286" customFormat="false" ht="15" hidden="false" customHeight="false" outlineLevel="0" collapsed="false">
      <c r="A1286" s="31" t="s">
        <v>1733</v>
      </c>
      <c r="B1286" s="31" t="s">
        <v>1734</v>
      </c>
      <c r="C1286" s="31" t="s">
        <v>20</v>
      </c>
      <c r="D1286" s="31" t="s">
        <v>73</v>
      </c>
      <c r="E1286" s="31" t="n">
        <v>3</v>
      </c>
      <c r="F1286" s="32" t="n">
        <v>69</v>
      </c>
      <c r="G1286" s="32" t="n">
        <v>207</v>
      </c>
      <c r="H1286" s="31" t="s">
        <v>45</v>
      </c>
      <c r="I1286" s="31" t="s">
        <v>84</v>
      </c>
      <c r="J1286" s="31" t="s">
        <v>681</v>
      </c>
      <c r="K1286" s="31" t="s">
        <v>48</v>
      </c>
    </row>
    <row r="1287" customFormat="false" ht="15" hidden="false" customHeight="false" outlineLevel="0" collapsed="false">
      <c r="A1287" s="31" t="s">
        <v>1735</v>
      </c>
      <c r="B1287" s="31" t="s">
        <v>1736</v>
      </c>
      <c r="C1287" s="31" t="s">
        <v>20</v>
      </c>
      <c r="D1287" s="31" t="s">
        <v>140</v>
      </c>
      <c r="E1287" s="31" t="n">
        <v>1</v>
      </c>
      <c r="F1287" s="32" t="n">
        <v>26</v>
      </c>
      <c r="G1287" s="32" t="n">
        <v>26</v>
      </c>
      <c r="H1287" s="31" t="s">
        <v>45</v>
      </c>
      <c r="I1287" s="31" t="s">
        <v>58</v>
      </c>
      <c r="J1287" s="31" t="s">
        <v>1737</v>
      </c>
      <c r="K1287" s="31" t="s">
        <v>48</v>
      </c>
    </row>
    <row r="1288" customFormat="false" ht="15" hidden="false" customHeight="false" outlineLevel="0" collapsed="false">
      <c r="A1288" s="31" t="s">
        <v>1738</v>
      </c>
      <c r="B1288" s="31" t="s">
        <v>1739</v>
      </c>
      <c r="C1288" s="31" t="s">
        <v>20</v>
      </c>
      <c r="D1288" s="31" t="s">
        <v>52</v>
      </c>
      <c r="E1288" s="31" t="n">
        <v>2</v>
      </c>
      <c r="F1288" s="32" t="n">
        <v>22</v>
      </c>
      <c r="G1288" s="32" t="n">
        <v>44</v>
      </c>
      <c r="H1288" s="31" t="s">
        <v>45</v>
      </c>
      <c r="I1288" s="31" t="s">
        <v>155</v>
      </c>
      <c r="J1288" s="31" t="s">
        <v>1740</v>
      </c>
      <c r="K1288" s="31" t="s">
        <v>48</v>
      </c>
    </row>
    <row r="1289" customFormat="false" ht="15" hidden="false" customHeight="false" outlineLevel="0" collapsed="false">
      <c r="A1289" s="31" t="s">
        <v>1741</v>
      </c>
      <c r="B1289" s="31" t="s">
        <v>1742</v>
      </c>
      <c r="C1289" s="31" t="s">
        <v>20</v>
      </c>
      <c r="D1289" s="31" t="s">
        <v>53</v>
      </c>
      <c r="E1289" s="31" t="n">
        <v>2</v>
      </c>
      <c r="F1289" s="32" t="n">
        <v>39</v>
      </c>
      <c r="G1289" s="32" t="n">
        <v>78</v>
      </c>
      <c r="H1289" s="31" t="s">
        <v>45</v>
      </c>
      <c r="I1289" s="31" t="s">
        <v>46</v>
      </c>
      <c r="J1289" s="31" t="s">
        <v>1743</v>
      </c>
      <c r="K1289" s="31" t="s">
        <v>48</v>
      </c>
    </row>
    <row r="1290" customFormat="false" ht="15" hidden="false" customHeight="false" outlineLevel="0" collapsed="false">
      <c r="A1290" s="31" t="s">
        <v>1741</v>
      </c>
      <c r="B1290" s="31" t="s">
        <v>1742</v>
      </c>
      <c r="C1290" s="31" t="s">
        <v>44</v>
      </c>
      <c r="D1290" s="31" t="s">
        <v>44</v>
      </c>
      <c r="E1290" s="31" t="n">
        <v>1</v>
      </c>
      <c r="F1290" s="32" t="n">
        <v>3.95</v>
      </c>
      <c r="G1290" s="32" t="n">
        <v>3.95</v>
      </c>
      <c r="H1290" s="31" t="s">
        <v>45</v>
      </c>
      <c r="I1290" s="31" t="s">
        <v>46</v>
      </c>
      <c r="J1290" s="31" t="s">
        <v>1743</v>
      </c>
      <c r="K1290" s="31" t="s">
        <v>202</v>
      </c>
    </row>
    <row r="1291" customFormat="false" ht="15" hidden="false" customHeight="false" outlineLevel="0" collapsed="false">
      <c r="A1291" s="31" t="s">
        <v>1744</v>
      </c>
      <c r="B1291" s="31" t="s">
        <v>1745</v>
      </c>
      <c r="C1291" s="31" t="s">
        <v>20</v>
      </c>
      <c r="D1291" s="31" t="s">
        <v>73</v>
      </c>
      <c r="E1291" s="31" t="n">
        <v>1</v>
      </c>
      <c r="F1291" s="32" t="n">
        <v>69</v>
      </c>
      <c r="G1291" s="32" t="n">
        <v>69</v>
      </c>
      <c r="H1291" s="31" t="s">
        <v>45</v>
      </c>
      <c r="I1291" s="31" t="s">
        <v>58</v>
      </c>
      <c r="J1291" s="31" t="s">
        <v>1746</v>
      </c>
      <c r="K1291" s="31" t="s">
        <v>48</v>
      </c>
    </row>
    <row r="1292" customFormat="false" ht="15" hidden="false" customHeight="false" outlineLevel="0" collapsed="false">
      <c r="A1292" s="31" t="s">
        <v>1744</v>
      </c>
      <c r="B1292" s="31" t="s">
        <v>1747</v>
      </c>
      <c r="C1292" s="31" t="s">
        <v>20</v>
      </c>
      <c r="D1292" s="31" t="s">
        <v>53</v>
      </c>
      <c r="E1292" s="31" t="n">
        <v>1</v>
      </c>
      <c r="F1292" s="32" t="n">
        <v>39</v>
      </c>
      <c r="G1292" s="32" t="n">
        <v>39</v>
      </c>
      <c r="H1292" s="31" t="s">
        <v>45</v>
      </c>
      <c r="I1292" s="31" t="s">
        <v>58</v>
      </c>
      <c r="J1292" s="31" t="s">
        <v>1746</v>
      </c>
      <c r="K1292" s="31" t="s">
        <v>48</v>
      </c>
    </row>
    <row r="1293" customFormat="false" ht="15" hidden="false" customHeight="false" outlineLevel="0" collapsed="false">
      <c r="A1293" s="31" t="s">
        <v>1748</v>
      </c>
      <c r="B1293" s="31" t="s">
        <v>1749</v>
      </c>
      <c r="C1293" s="31" t="s">
        <v>44</v>
      </c>
      <c r="D1293" s="31" t="s">
        <v>44</v>
      </c>
      <c r="E1293" s="31" t="n">
        <v>1</v>
      </c>
      <c r="F1293" s="32" t="n">
        <v>4.95</v>
      </c>
      <c r="G1293" s="32" t="n">
        <v>4.95</v>
      </c>
      <c r="H1293" s="31" t="s">
        <v>45</v>
      </c>
      <c r="I1293" s="31" t="s">
        <v>58</v>
      </c>
      <c r="J1293" s="31" t="s">
        <v>1750</v>
      </c>
      <c r="K1293" s="31" t="s">
        <v>48</v>
      </c>
    </row>
    <row r="1294" customFormat="false" ht="15" hidden="false" customHeight="false" outlineLevel="0" collapsed="false">
      <c r="A1294" s="31" t="s">
        <v>1748</v>
      </c>
      <c r="B1294" s="31" t="s">
        <v>1749</v>
      </c>
      <c r="C1294" s="31" t="s">
        <v>20</v>
      </c>
      <c r="D1294" s="31" t="s">
        <v>69</v>
      </c>
      <c r="E1294" s="31" t="n">
        <v>2</v>
      </c>
      <c r="F1294" s="32" t="n">
        <v>29</v>
      </c>
      <c r="G1294" s="32" t="n">
        <v>58</v>
      </c>
      <c r="H1294" s="31" t="s">
        <v>45</v>
      </c>
      <c r="I1294" s="31" t="s">
        <v>58</v>
      </c>
      <c r="J1294" s="31" t="s">
        <v>1750</v>
      </c>
      <c r="K1294" s="31" t="s">
        <v>48</v>
      </c>
    </row>
    <row r="1295" customFormat="false" ht="15" hidden="false" customHeight="false" outlineLevel="0" collapsed="false">
      <c r="A1295" s="31" t="s">
        <v>1748</v>
      </c>
      <c r="B1295" s="31" t="s">
        <v>1749</v>
      </c>
      <c r="C1295" s="31" t="s">
        <v>20</v>
      </c>
      <c r="D1295" s="31" t="s">
        <v>123</v>
      </c>
      <c r="E1295" s="31" t="n">
        <v>2</v>
      </c>
      <c r="F1295" s="32" t="n">
        <v>75</v>
      </c>
      <c r="G1295" s="32" t="n">
        <v>150</v>
      </c>
      <c r="H1295" s="31" t="s">
        <v>45</v>
      </c>
      <c r="I1295" s="31" t="s">
        <v>58</v>
      </c>
      <c r="J1295" s="31" t="s">
        <v>1750</v>
      </c>
      <c r="K1295" s="31" t="s">
        <v>48</v>
      </c>
    </row>
    <row r="1296" customFormat="false" ht="15" hidden="false" customHeight="false" outlineLevel="0" collapsed="false">
      <c r="A1296" s="31" t="s">
        <v>1751</v>
      </c>
      <c r="B1296" s="31" t="s">
        <v>1752</v>
      </c>
      <c r="C1296" s="31" t="s">
        <v>20</v>
      </c>
      <c r="D1296" s="31" t="s">
        <v>140</v>
      </c>
      <c r="E1296" s="31" t="n">
        <v>1</v>
      </c>
      <c r="F1296" s="32" t="n">
        <v>26</v>
      </c>
      <c r="G1296" s="32" t="n">
        <v>26</v>
      </c>
      <c r="H1296" s="31" t="s">
        <v>184</v>
      </c>
      <c r="I1296" s="31" t="s">
        <v>104</v>
      </c>
      <c r="J1296" s="31" t="s">
        <v>137</v>
      </c>
      <c r="K1296" s="31" t="s">
        <v>48</v>
      </c>
    </row>
    <row r="1297" customFormat="false" ht="15" hidden="false" customHeight="false" outlineLevel="0" collapsed="false">
      <c r="A1297" s="31" t="s">
        <v>1751</v>
      </c>
      <c r="B1297" s="31" t="s">
        <v>1753</v>
      </c>
      <c r="C1297" s="31" t="s">
        <v>44</v>
      </c>
      <c r="D1297" s="31" t="s">
        <v>44</v>
      </c>
      <c r="E1297" s="31" t="n">
        <v>1</v>
      </c>
      <c r="F1297" s="32" t="n">
        <v>0</v>
      </c>
      <c r="G1297" s="32" t="n">
        <v>0</v>
      </c>
      <c r="H1297" s="31" t="s">
        <v>184</v>
      </c>
      <c r="I1297" s="31" t="s">
        <v>104</v>
      </c>
      <c r="J1297" s="31" t="s">
        <v>137</v>
      </c>
      <c r="K1297" s="31" t="s">
        <v>48</v>
      </c>
    </row>
    <row r="1298" customFormat="false" ht="15" hidden="false" customHeight="false" outlineLevel="0" collapsed="false">
      <c r="A1298" s="31" t="s">
        <v>1754</v>
      </c>
      <c r="B1298" s="31" t="s">
        <v>1755</v>
      </c>
      <c r="C1298" s="31" t="s">
        <v>20</v>
      </c>
      <c r="D1298" s="31" t="s">
        <v>78</v>
      </c>
      <c r="E1298" s="31" t="n">
        <v>1</v>
      </c>
      <c r="F1298" s="32" t="n">
        <v>89</v>
      </c>
      <c r="G1298" s="32" t="n">
        <v>89</v>
      </c>
      <c r="H1298" s="31" t="s">
        <v>184</v>
      </c>
      <c r="I1298" s="31" t="s">
        <v>58</v>
      </c>
      <c r="J1298" s="31" t="s">
        <v>1756</v>
      </c>
      <c r="K1298" s="31" t="s">
        <v>48</v>
      </c>
    </row>
    <row r="1299" customFormat="false" ht="15" hidden="false" customHeight="false" outlineLevel="0" collapsed="false">
      <c r="A1299" s="31" t="s">
        <v>1754</v>
      </c>
      <c r="B1299" s="31" t="s">
        <v>1755</v>
      </c>
      <c r="C1299" s="31" t="s">
        <v>20</v>
      </c>
      <c r="D1299" s="31" t="s">
        <v>87</v>
      </c>
      <c r="E1299" s="31" t="n">
        <v>3</v>
      </c>
      <c r="F1299" s="32" t="n">
        <v>35</v>
      </c>
      <c r="G1299" s="32" t="n">
        <v>105</v>
      </c>
      <c r="H1299" s="31" t="s">
        <v>184</v>
      </c>
      <c r="I1299" s="31" t="s">
        <v>58</v>
      </c>
      <c r="J1299" s="31" t="s">
        <v>1756</v>
      </c>
      <c r="K1299" s="31" t="s">
        <v>48</v>
      </c>
    </row>
    <row r="1300" customFormat="false" ht="15" hidden="false" customHeight="false" outlineLevel="0" collapsed="false">
      <c r="A1300" s="31" t="s">
        <v>1757</v>
      </c>
      <c r="B1300" s="31" t="s">
        <v>1758</v>
      </c>
      <c r="C1300" s="31" t="s">
        <v>20</v>
      </c>
      <c r="D1300" s="31" t="s">
        <v>52</v>
      </c>
      <c r="E1300" s="31" t="n">
        <v>1</v>
      </c>
      <c r="F1300" s="32" t="n">
        <v>18.7</v>
      </c>
      <c r="G1300" s="32" t="n">
        <v>18.7</v>
      </c>
      <c r="H1300" s="31" t="s">
        <v>145</v>
      </c>
      <c r="I1300" s="31" t="s">
        <v>58</v>
      </c>
      <c r="J1300" s="31" t="s">
        <v>1759</v>
      </c>
      <c r="K1300" s="31" t="s">
        <v>48</v>
      </c>
    </row>
    <row r="1301" customFormat="false" ht="15" hidden="false" customHeight="false" outlineLevel="0" collapsed="false">
      <c r="A1301" s="31" t="s">
        <v>1757</v>
      </c>
      <c r="B1301" s="31" t="s">
        <v>1758</v>
      </c>
      <c r="C1301" s="31" t="s">
        <v>44</v>
      </c>
      <c r="D1301" s="31" t="s">
        <v>44</v>
      </c>
      <c r="E1301" s="31" t="n">
        <v>1</v>
      </c>
      <c r="F1301" s="32" t="n">
        <v>3.95</v>
      </c>
      <c r="G1301" s="32" t="n">
        <v>3.95</v>
      </c>
      <c r="H1301" s="31" t="s">
        <v>145</v>
      </c>
      <c r="I1301" s="31" t="s">
        <v>58</v>
      </c>
      <c r="J1301" s="31" t="s">
        <v>1759</v>
      </c>
      <c r="K1301" s="31" t="s">
        <v>48</v>
      </c>
    </row>
    <row r="1302" customFormat="false" ht="15" hidden="false" customHeight="false" outlineLevel="0" collapsed="false">
      <c r="A1302" s="31" t="s">
        <v>1757</v>
      </c>
      <c r="B1302" s="31" t="s">
        <v>1760</v>
      </c>
      <c r="C1302" s="31" t="s">
        <v>20</v>
      </c>
      <c r="D1302" s="31" t="s">
        <v>78</v>
      </c>
      <c r="E1302" s="31" t="n">
        <v>1</v>
      </c>
      <c r="F1302" s="32" t="n">
        <v>89</v>
      </c>
      <c r="G1302" s="32" t="n">
        <v>89</v>
      </c>
      <c r="H1302" s="31" t="s">
        <v>145</v>
      </c>
      <c r="I1302" s="31" t="s">
        <v>58</v>
      </c>
      <c r="J1302" s="31" t="s">
        <v>1759</v>
      </c>
      <c r="K1302" s="31" t="s">
        <v>48</v>
      </c>
    </row>
    <row r="1303" customFormat="false" ht="15" hidden="false" customHeight="false" outlineLevel="0" collapsed="false">
      <c r="A1303" s="31" t="s">
        <v>1761</v>
      </c>
      <c r="B1303" s="31" t="s">
        <v>1762</v>
      </c>
      <c r="C1303" s="31" t="s">
        <v>20</v>
      </c>
      <c r="D1303" s="31" t="s">
        <v>69</v>
      </c>
      <c r="E1303" s="31" t="n">
        <v>1</v>
      </c>
      <c r="F1303" s="32" t="n">
        <v>29</v>
      </c>
      <c r="G1303" s="32" t="n">
        <v>29</v>
      </c>
      <c r="H1303" s="31" t="s">
        <v>45</v>
      </c>
      <c r="I1303" s="31" t="s">
        <v>58</v>
      </c>
      <c r="J1303" s="31"/>
      <c r="K1303" s="31" t="s">
        <v>48</v>
      </c>
    </row>
    <row r="1304" customFormat="false" ht="15" hidden="false" customHeight="false" outlineLevel="0" collapsed="false">
      <c r="A1304" s="31" t="s">
        <v>1763</v>
      </c>
      <c r="B1304" s="31" t="s">
        <v>1764</v>
      </c>
      <c r="C1304" s="31" t="s">
        <v>44</v>
      </c>
      <c r="D1304" s="31" t="s">
        <v>44</v>
      </c>
      <c r="E1304" s="31" t="n">
        <v>1</v>
      </c>
      <c r="F1304" s="32" t="n">
        <v>3.95</v>
      </c>
      <c r="G1304" s="32" t="n">
        <v>3.95</v>
      </c>
      <c r="H1304" s="31" t="s">
        <v>45</v>
      </c>
      <c r="I1304" s="31" t="s">
        <v>58</v>
      </c>
      <c r="J1304" s="31" t="s">
        <v>1765</v>
      </c>
      <c r="K1304" s="31" t="s">
        <v>48</v>
      </c>
    </row>
    <row r="1305" customFormat="false" ht="15" hidden="false" customHeight="false" outlineLevel="0" collapsed="false">
      <c r="A1305" s="31" t="s">
        <v>1763</v>
      </c>
      <c r="B1305" s="31" t="s">
        <v>1764</v>
      </c>
      <c r="C1305" s="31" t="s">
        <v>20</v>
      </c>
      <c r="D1305" s="31" t="s">
        <v>73</v>
      </c>
      <c r="E1305" s="31" t="n">
        <v>1</v>
      </c>
      <c r="F1305" s="32" t="n">
        <v>69</v>
      </c>
      <c r="G1305" s="32" t="n">
        <v>69</v>
      </c>
      <c r="H1305" s="31" t="s">
        <v>45</v>
      </c>
      <c r="I1305" s="31" t="s">
        <v>58</v>
      </c>
      <c r="J1305" s="31" t="s">
        <v>1765</v>
      </c>
      <c r="K1305" s="31" t="s">
        <v>48</v>
      </c>
    </row>
    <row r="1306" customFormat="false" ht="15" hidden="false" customHeight="false" outlineLevel="0" collapsed="false">
      <c r="A1306" s="31" t="s">
        <v>1763</v>
      </c>
      <c r="B1306" s="31" t="s">
        <v>1764</v>
      </c>
      <c r="C1306" s="31" t="s">
        <v>20</v>
      </c>
      <c r="D1306" s="31" t="s">
        <v>78</v>
      </c>
      <c r="E1306" s="31" t="n">
        <v>1</v>
      </c>
      <c r="F1306" s="32" t="n">
        <v>89</v>
      </c>
      <c r="G1306" s="32" t="n">
        <v>89</v>
      </c>
      <c r="H1306" s="31" t="s">
        <v>45</v>
      </c>
      <c r="I1306" s="31" t="s">
        <v>58</v>
      </c>
      <c r="J1306" s="31" t="s">
        <v>1765</v>
      </c>
      <c r="K1306" s="31" t="s">
        <v>48</v>
      </c>
    </row>
    <row r="1307" customFormat="false" ht="15" hidden="false" customHeight="false" outlineLevel="0" collapsed="false">
      <c r="A1307" s="31" t="s">
        <v>1766</v>
      </c>
      <c r="B1307" s="31" t="s">
        <v>1767</v>
      </c>
      <c r="C1307" s="31" t="s">
        <v>20</v>
      </c>
      <c r="D1307" s="31" t="s">
        <v>73</v>
      </c>
      <c r="E1307" s="31" t="n">
        <v>1</v>
      </c>
      <c r="F1307" s="32" t="n">
        <v>69</v>
      </c>
      <c r="G1307" s="32" t="n">
        <v>69</v>
      </c>
      <c r="H1307" s="31" t="s">
        <v>57</v>
      </c>
      <c r="I1307" s="31" t="s">
        <v>58</v>
      </c>
      <c r="J1307" s="31" t="s">
        <v>1768</v>
      </c>
      <c r="K1307" s="31" t="s">
        <v>48</v>
      </c>
    </row>
    <row r="1308" customFormat="false" ht="15" hidden="false" customHeight="false" outlineLevel="0" collapsed="false">
      <c r="A1308" s="31" t="s">
        <v>1766</v>
      </c>
      <c r="B1308" s="31" t="s">
        <v>1769</v>
      </c>
      <c r="C1308" s="31" t="s">
        <v>20</v>
      </c>
      <c r="D1308" s="31" t="s">
        <v>52</v>
      </c>
      <c r="E1308" s="31" t="n">
        <v>1</v>
      </c>
      <c r="F1308" s="32" t="n">
        <v>22</v>
      </c>
      <c r="G1308" s="32" t="n">
        <v>22</v>
      </c>
      <c r="H1308" s="31" t="s">
        <v>57</v>
      </c>
      <c r="I1308" s="31" t="s">
        <v>58</v>
      </c>
      <c r="J1308" s="31" t="s">
        <v>1768</v>
      </c>
      <c r="K1308" s="31" t="s">
        <v>48</v>
      </c>
    </row>
    <row r="1309" customFormat="false" ht="15" hidden="false" customHeight="false" outlineLevel="0" collapsed="false">
      <c r="A1309" s="31" t="s">
        <v>1766</v>
      </c>
      <c r="B1309" s="31" t="s">
        <v>1769</v>
      </c>
      <c r="C1309" s="31" t="s">
        <v>44</v>
      </c>
      <c r="D1309" s="31" t="s">
        <v>44</v>
      </c>
      <c r="E1309" s="31" t="n">
        <v>1</v>
      </c>
      <c r="F1309" s="32" t="n">
        <v>5.95</v>
      </c>
      <c r="G1309" s="32" t="n">
        <v>5.95</v>
      </c>
      <c r="H1309" s="31" t="s">
        <v>57</v>
      </c>
      <c r="I1309" s="31" t="s">
        <v>58</v>
      </c>
      <c r="J1309" s="31" t="s">
        <v>1768</v>
      </c>
      <c r="K1309" s="31" t="s">
        <v>48</v>
      </c>
    </row>
    <row r="1310" customFormat="false" ht="15" hidden="false" customHeight="false" outlineLevel="0" collapsed="false">
      <c r="A1310" s="31" t="s">
        <v>1770</v>
      </c>
      <c r="B1310" s="31" t="s">
        <v>1771</v>
      </c>
      <c r="C1310" s="31" t="s">
        <v>20</v>
      </c>
      <c r="D1310" s="31" t="s">
        <v>66</v>
      </c>
      <c r="E1310" s="31" t="n">
        <v>1</v>
      </c>
      <c r="F1310" s="32" t="n">
        <v>32</v>
      </c>
      <c r="G1310" s="32" t="n">
        <v>32</v>
      </c>
      <c r="H1310" s="31" t="s">
        <v>45</v>
      </c>
      <c r="I1310" s="31" t="s">
        <v>58</v>
      </c>
      <c r="J1310" s="31" t="s">
        <v>1161</v>
      </c>
      <c r="K1310" s="31" t="s">
        <v>48</v>
      </c>
    </row>
    <row r="1311" customFormat="false" ht="15" hidden="false" customHeight="false" outlineLevel="0" collapsed="false">
      <c r="A1311" s="31" t="s">
        <v>1770</v>
      </c>
      <c r="B1311" s="31" t="s">
        <v>1771</v>
      </c>
      <c r="C1311" s="31" t="s">
        <v>50</v>
      </c>
      <c r="D1311" s="31" t="s">
        <v>51</v>
      </c>
      <c r="E1311" s="31" t="n">
        <v>1</v>
      </c>
      <c r="F1311" s="32" t="n">
        <v>-10</v>
      </c>
      <c r="G1311" s="32" t="n">
        <v>-10</v>
      </c>
      <c r="H1311" s="31" t="s">
        <v>45</v>
      </c>
      <c r="I1311" s="31" t="s">
        <v>58</v>
      </c>
      <c r="J1311" s="31" t="s">
        <v>1161</v>
      </c>
      <c r="K1311" s="31" t="s">
        <v>48</v>
      </c>
    </row>
    <row r="1312" customFormat="false" ht="15" hidden="false" customHeight="false" outlineLevel="0" collapsed="false">
      <c r="A1312" s="31" t="s">
        <v>1772</v>
      </c>
      <c r="B1312" s="31" t="s">
        <v>1773</v>
      </c>
      <c r="C1312" s="31" t="s">
        <v>44</v>
      </c>
      <c r="D1312" s="31" t="s">
        <v>44</v>
      </c>
      <c r="E1312" s="31" t="n">
        <v>1</v>
      </c>
      <c r="F1312" s="32" t="n">
        <v>4.95</v>
      </c>
      <c r="G1312" s="32" t="n">
        <v>4.95</v>
      </c>
      <c r="H1312" s="31" t="s">
        <v>45</v>
      </c>
      <c r="I1312" s="31" t="s">
        <v>58</v>
      </c>
      <c r="J1312" s="31" t="s">
        <v>1774</v>
      </c>
      <c r="K1312" s="31" t="s">
        <v>48</v>
      </c>
    </row>
    <row r="1313" customFormat="false" ht="15" hidden="false" customHeight="false" outlineLevel="0" collapsed="false">
      <c r="A1313" s="31" t="s">
        <v>1772</v>
      </c>
      <c r="B1313" s="31" t="s">
        <v>1775</v>
      </c>
      <c r="C1313" s="31" t="s">
        <v>20</v>
      </c>
      <c r="D1313" s="31" t="s">
        <v>53</v>
      </c>
      <c r="E1313" s="31" t="n">
        <v>1</v>
      </c>
      <c r="F1313" s="32" t="n">
        <v>39</v>
      </c>
      <c r="G1313" s="32" t="n">
        <v>39</v>
      </c>
      <c r="H1313" s="31" t="s">
        <v>45</v>
      </c>
      <c r="I1313" s="31" t="s">
        <v>58</v>
      </c>
      <c r="J1313" s="31" t="s">
        <v>1774</v>
      </c>
      <c r="K1313" s="31" t="s">
        <v>48</v>
      </c>
    </row>
    <row r="1314" customFormat="false" ht="15" hidden="false" customHeight="false" outlineLevel="0" collapsed="false">
      <c r="A1314" s="31" t="s">
        <v>1776</v>
      </c>
      <c r="B1314" s="31" t="s">
        <v>1777</v>
      </c>
      <c r="C1314" s="31" t="s">
        <v>20</v>
      </c>
      <c r="D1314" s="31" t="s">
        <v>123</v>
      </c>
      <c r="E1314" s="31" t="n">
        <v>1</v>
      </c>
      <c r="F1314" s="32" t="n">
        <v>75</v>
      </c>
      <c r="G1314" s="32" t="n">
        <v>75</v>
      </c>
      <c r="H1314" s="31" t="s">
        <v>145</v>
      </c>
      <c r="I1314" s="31" t="s">
        <v>58</v>
      </c>
      <c r="J1314" s="31" t="s">
        <v>962</v>
      </c>
      <c r="K1314" s="31" t="s">
        <v>48</v>
      </c>
    </row>
    <row r="1315" customFormat="false" ht="15" hidden="false" customHeight="false" outlineLevel="0" collapsed="false">
      <c r="A1315" s="31" t="s">
        <v>1776</v>
      </c>
      <c r="B1315" s="31" t="s">
        <v>1777</v>
      </c>
      <c r="C1315" s="31" t="s">
        <v>20</v>
      </c>
      <c r="D1315" s="31" t="s">
        <v>78</v>
      </c>
      <c r="E1315" s="31" t="n">
        <v>2</v>
      </c>
      <c r="F1315" s="32" t="n">
        <v>89</v>
      </c>
      <c r="G1315" s="32" t="n">
        <v>178</v>
      </c>
      <c r="H1315" s="31" t="s">
        <v>145</v>
      </c>
      <c r="I1315" s="31" t="s">
        <v>58</v>
      </c>
      <c r="J1315" s="31" t="s">
        <v>962</v>
      </c>
      <c r="K1315" s="31" t="s">
        <v>48</v>
      </c>
    </row>
    <row r="1316" customFormat="false" ht="15" hidden="false" customHeight="false" outlineLevel="0" collapsed="false">
      <c r="A1316" s="31" t="s">
        <v>1776</v>
      </c>
      <c r="B1316" s="31" t="s">
        <v>1777</v>
      </c>
      <c r="C1316" s="31" t="s">
        <v>44</v>
      </c>
      <c r="D1316" s="31" t="s">
        <v>44</v>
      </c>
      <c r="E1316" s="31" t="n">
        <v>1</v>
      </c>
      <c r="F1316" s="32" t="n">
        <v>5.95</v>
      </c>
      <c r="G1316" s="32" t="n">
        <v>5.95</v>
      </c>
      <c r="H1316" s="31" t="s">
        <v>145</v>
      </c>
      <c r="I1316" s="31" t="s">
        <v>58</v>
      </c>
      <c r="J1316" s="31" t="s">
        <v>962</v>
      </c>
      <c r="K1316" s="31" t="s">
        <v>48</v>
      </c>
    </row>
    <row r="1317" customFormat="false" ht="15" hidden="false" customHeight="false" outlineLevel="0" collapsed="false">
      <c r="A1317" s="31" t="s">
        <v>1778</v>
      </c>
      <c r="B1317" s="31" t="s">
        <v>1779</v>
      </c>
      <c r="C1317" s="31" t="s">
        <v>20</v>
      </c>
      <c r="D1317" s="31" t="s">
        <v>73</v>
      </c>
      <c r="E1317" s="31" t="n">
        <v>1</v>
      </c>
      <c r="F1317" s="32" t="n">
        <v>69</v>
      </c>
      <c r="G1317" s="32" t="n">
        <v>69</v>
      </c>
      <c r="H1317" s="31" t="s">
        <v>45</v>
      </c>
      <c r="I1317" s="31" t="s">
        <v>58</v>
      </c>
      <c r="J1317" s="31" t="s">
        <v>1780</v>
      </c>
      <c r="K1317" s="31" t="s">
        <v>48</v>
      </c>
    </row>
    <row r="1318" customFormat="false" ht="15" hidden="false" customHeight="false" outlineLevel="0" collapsed="false">
      <c r="A1318" s="31" t="s">
        <v>1778</v>
      </c>
      <c r="B1318" s="31" t="s">
        <v>1781</v>
      </c>
      <c r="C1318" s="31" t="s">
        <v>44</v>
      </c>
      <c r="D1318" s="31" t="s">
        <v>44</v>
      </c>
      <c r="E1318" s="31" t="n">
        <v>1</v>
      </c>
      <c r="F1318" s="32" t="n">
        <v>4.95</v>
      </c>
      <c r="G1318" s="32" t="n">
        <v>4.95</v>
      </c>
      <c r="H1318" s="31" t="s">
        <v>45</v>
      </c>
      <c r="I1318" s="31" t="s">
        <v>58</v>
      </c>
      <c r="J1318" s="31" t="s">
        <v>1780</v>
      </c>
      <c r="K1318" s="31" t="s">
        <v>48</v>
      </c>
    </row>
    <row r="1319" customFormat="false" ht="15" hidden="false" customHeight="false" outlineLevel="0" collapsed="false">
      <c r="A1319" s="31" t="s">
        <v>1782</v>
      </c>
      <c r="B1319" s="31" t="s">
        <v>1783</v>
      </c>
      <c r="C1319" s="31" t="s">
        <v>20</v>
      </c>
      <c r="D1319" s="31" t="s">
        <v>53</v>
      </c>
      <c r="E1319" s="31" t="n">
        <v>2</v>
      </c>
      <c r="F1319" s="32" t="n">
        <v>39</v>
      </c>
      <c r="G1319" s="32" t="n">
        <v>78</v>
      </c>
      <c r="H1319" s="31" t="s">
        <v>45</v>
      </c>
      <c r="I1319" s="31" t="s">
        <v>84</v>
      </c>
      <c r="J1319" s="31" t="s">
        <v>1784</v>
      </c>
      <c r="K1319" s="31" t="s">
        <v>48</v>
      </c>
    </row>
    <row r="1320" customFormat="false" ht="15" hidden="false" customHeight="false" outlineLevel="0" collapsed="false">
      <c r="A1320" s="31" t="s">
        <v>1785</v>
      </c>
      <c r="B1320" s="31" t="s">
        <v>1786</v>
      </c>
      <c r="C1320" s="31" t="s">
        <v>44</v>
      </c>
      <c r="D1320" s="31" t="s">
        <v>44</v>
      </c>
      <c r="E1320" s="31" t="n">
        <v>1</v>
      </c>
      <c r="F1320" s="32" t="n">
        <v>4.95</v>
      </c>
      <c r="G1320" s="32" t="n">
        <v>4.95</v>
      </c>
      <c r="H1320" s="31" t="s">
        <v>45</v>
      </c>
      <c r="I1320" s="31" t="s">
        <v>58</v>
      </c>
      <c r="J1320" s="31" t="s">
        <v>1787</v>
      </c>
      <c r="K1320" s="31" t="s">
        <v>48</v>
      </c>
    </row>
    <row r="1321" customFormat="false" ht="15" hidden="false" customHeight="false" outlineLevel="0" collapsed="false">
      <c r="A1321" s="31" t="s">
        <v>1785</v>
      </c>
      <c r="B1321" s="31" t="s">
        <v>1786</v>
      </c>
      <c r="C1321" s="31" t="s">
        <v>20</v>
      </c>
      <c r="D1321" s="31" t="s">
        <v>53</v>
      </c>
      <c r="E1321" s="31" t="n">
        <v>1</v>
      </c>
      <c r="F1321" s="32" t="n">
        <v>39</v>
      </c>
      <c r="G1321" s="32" t="n">
        <v>39</v>
      </c>
      <c r="H1321" s="31" t="s">
        <v>45</v>
      </c>
      <c r="I1321" s="31" t="s">
        <v>58</v>
      </c>
      <c r="J1321" s="31" t="s">
        <v>1787</v>
      </c>
      <c r="K1321" s="31" t="s">
        <v>48</v>
      </c>
    </row>
    <row r="1322" customFormat="false" ht="15" hidden="false" customHeight="false" outlineLevel="0" collapsed="false">
      <c r="A1322" s="31" t="s">
        <v>1788</v>
      </c>
      <c r="B1322" s="31" t="s">
        <v>1789</v>
      </c>
      <c r="C1322" s="31" t="s">
        <v>44</v>
      </c>
      <c r="D1322" s="31" t="s">
        <v>44</v>
      </c>
      <c r="E1322" s="31" t="n">
        <v>1</v>
      </c>
      <c r="F1322" s="32" t="n">
        <v>4.95</v>
      </c>
      <c r="G1322" s="32" t="n">
        <v>4.95</v>
      </c>
      <c r="H1322" s="31" t="s">
        <v>184</v>
      </c>
      <c r="I1322" s="31" t="s">
        <v>58</v>
      </c>
      <c r="J1322" s="31" t="s">
        <v>1790</v>
      </c>
      <c r="K1322" s="31" t="s">
        <v>48</v>
      </c>
    </row>
    <row r="1323" customFormat="false" ht="15" hidden="false" customHeight="false" outlineLevel="0" collapsed="false">
      <c r="A1323" s="31" t="s">
        <v>1788</v>
      </c>
      <c r="B1323" s="31" t="s">
        <v>1791</v>
      </c>
      <c r="C1323" s="31" t="s">
        <v>20</v>
      </c>
      <c r="D1323" s="31" t="s">
        <v>87</v>
      </c>
      <c r="E1323" s="31" t="n">
        <v>1</v>
      </c>
      <c r="F1323" s="32" t="n">
        <v>35</v>
      </c>
      <c r="G1323" s="32" t="n">
        <v>35</v>
      </c>
      <c r="H1323" s="31" t="s">
        <v>184</v>
      </c>
      <c r="I1323" s="31" t="s">
        <v>58</v>
      </c>
      <c r="J1323" s="31" t="s">
        <v>1790</v>
      </c>
      <c r="K1323" s="31" t="s">
        <v>48</v>
      </c>
    </row>
    <row r="1324" customFormat="false" ht="15" hidden="false" customHeight="false" outlineLevel="0" collapsed="false">
      <c r="A1324" s="31" t="s">
        <v>1792</v>
      </c>
      <c r="B1324" s="31" t="s">
        <v>1793</v>
      </c>
      <c r="C1324" s="31" t="s">
        <v>20</v>
      </c>
      <c r="D1324" s="31" t="s">
        <v>73</v>
      </c>
      <c r="E1324" s="31" t="n">
        <v>2</v>
      </c>
      <c r="F1324" s="32" t="n">
        <v>55.2</v>
      </c>
      <c r="G1324" s="32" t="n">
        <v>110.4</v>
      </c>
      <c r="H1324" s="31" t="s">
        <v>145</v>
      </c>
      <c r="I1324" s="31" t="s">
        <v>104</v>
      </c>
      <c r="J1324" s="31" t="s">
        <v>1794</v>
      </c>
      <c r="K1324" s="31" t="s">
        <v>48</v>
      </c>
    </row>
    <row r="1325" customFormat="false" ht="15" hidden="false" customHeight="false" outlineLevel="0" collapsed="false">
      <c r="A1325" s="31" t="s">
        <v>1795</v>
      </c>
      <c r="B1325" s="31" t="s">
        <v>1796</v>
      </c>
      <c r="C1325" s="31" t="s">
        <v>44</v>
      </c>
      <c r="D1325" s="31" t="s">
        <v>44</v>
      </c>
      <c r="E1325" s="31" t="n">
        <v>1</v>
      </c>
      <c r="F1325" s="32" t="n">
        <v>3.95</v>
      </c>
      <c r="G1325" s="32" t="n">
        <v>3.95</v>
      </c>
      <c r="H1325" s="31" t="s">
        <v>45</v>
      </c>
      <c r="I1325" s="31" t="s">
        <v>46</v>
      </c>
      <c r="J1325" s="31" t="s">
        <v>1656</v>
      </c>
      <c r="K1325" s="31" t="s">
        <v>48</v>
      </c>
    </row>
    <row r="1326" customFormat="false" ht="15" hidden="false" customHeight="false" outlineLevel="0" collapsed="false">
      <c r="A1326" s="31" t="s">
        <v>1795</v>
      </c>
      <c r="B1326" s="31" t="s">
        <v>1796</v>
      </c>
      <c r="C1326" s="31" t="s">
        <v>20</v>
      </c>
      <c r="D1326" s="31" t="s">
        <v>73</v>
      </c>
      <c r="E1326" s="31" t="n">
        <v>1</v>
      </c>
      <c r="F1326" s="32" t="n">
        <v>55.2</v>
      </c>
      <c r="G1326" s="32" t="n">
        <v>55.2</v>
      </c>
      <c r="H1326" s="31" t="s">
        <v>45</v>
      </c>
      <c r="I1326" s="31" t="s">
        <v>46</v>
      </c>
      <c r="J1326" s="31" t="s">
        <v>1656</v>
      </c>
      <c r="K1326" s="31" t="s">
        <v>48</v>
      </c>
    </row>
    <row r="1327" customFormat="false" ht="15" hidden="false" customHeight="false" outlineLevel="0" collapsed="false">
      <c r="A1327" s="31" t="s">
        <v>1797</v>
      </c>
      <c r="B1327" s="31" t="s">
        <v>1798</v>
      </c>
      <c r="C1327" s="31" t="s">
        <v>20</v>
      </c>
      <c r="D1327" s="31" t="s">
        <v>73</v>
      </c>
      <c r="E1327" s="31" t="n">
        <v>2</v>
      </c>
      <c r="F1327" s="32" t="n">
        <v>69</v>
      </c>
      <c r="G1327" s="32" t="n">
        <v>138</v>
      </c>
      <c r="H1327" s="31" t="s">
        <v>45</v>
      </c>
      <c r="I1327" s="31" t="s">
        <v>46</v>
      </c>
      <c r="J1327" s="31" t="s">
        <v>1799</v>
      </c>
      <c r="K1327" s="31" t="s">
        <v>48</v>
      </c>
    </row>
    <row r="1328" customFormat="false" ht="15" hidden="false" customHeight="false" outlineLevel="0" collapsed="false">
      <c r="A1328" s="31" t="s">
        <v>1797</v>
      </c>
      <c r="B1328" s="31" t="s">
        <v>1800</v>
      </c>
      <c r="C1328" s="31" t="s">
        <v>44</v>
      </c>
      <c r="D1328" s="31" t="s">
        <v>44</v>
      </c>
      <c r="E1328" s="31" t="n">
        <v>1</v>
      </c>
      <c r="F1328" s="32" t="n">
        <v>4.95</v>
      </c>
      <c r="G1328" s="32" t="n">
        <v>4.95</v>
      </c>
      <c r="H1328" s="31" t="s">
        <v>45</v>
      </c>
      <c r="I1328" s="31" t="s">
        <v>46</v>
      </c>
      <c r="J1328" s="31" t="s">
        <v>1799</v>
      </c>
      <c r="K1328" s="31" t="s">
        <v>48</v>
      </c>
    </row>
    <row r="1329" customFormat="false" ht="15" hidden="false" customHeight="false" outlineLevel="0" collapsed="false">
      <c r="A1329" s="31" t="s">
        <v>1797</v>
      </c>
      <c r="B1329" s="31" t="s">
        <v>1800</v>
      </c>
      <c r="C1329" s="31" t="s">
        <v>20</v>
      </c>
      <c r="D1329" s="31" t="s">
        <v>56</v>
      </c>
      <c r="E1329" s="31" t="n">
        <v>1</v>
      </c>
      <c r="F1329" s="32" t="n">
        <v>45</v>
      </c>
      <c r="G1329" s="32" t="n">
        <v>45</v>
      </c>
      <c r="H1329" s="31" t="s">
        <v>45</v>
      </c>
      <c r="I1329" s="31" t="s">
        <v>46</v>
      </c>
      <c r="J1329" s="31" t="s">
        <v>1799</v>
      </c>
      <c r="K1329" s="31" t="s">
        <v>48</v>
      </c>
    </row>
    <row r="1330" customFormat="false" ht="15" hidden="false" customHeight="false" outlineLevel="0" collapsed="false">
      <c r="A1330" s="31" t="s">
        <v>1801</v>
      </c>
      <c r="B1330" s="31" t="s">
        <v>1802</v>
      </c>
      <c r="C1330" s="31" t="s">
        <v>20</v>
      </c>
      <c r="D1330" s="31" t="s">
        <v>73</v>
      </c>
      <c r="E1330" s="31" t="n">
        <v>1</v>
      </c>
      <c r="F1330" s="32" t="n">
        <v>55.2</v>
      </c>
      <c r="G1330" s="32" t="n">
        <v>55.2</v>
      </c>
      <c r="H1330" s="31" t="s">
        <v>45</v>
      </c>
      <c r="I1330" s="31" t="s">
        <v>58</v>
      </c>
      <c r="J1330" s="31" t="s">
        <v>1803</v>
      </c>
      <c r="K1330" s="31" t="s">
        <v>48</v>
      </c>
    </row>
    <row r="1331" customFormat="false" ht="15" hidden="false" customHeight="false" outlineLevel="0" collapsed="false">
      <c r="A1331" s="31" t="s">
        <v>1801</v>
      </c>
      <c r="B1331" s="31" t="s">
        <v>1802</v>
      </c>
      <c r="C1331" s="31" t="s">
        <v>20</v>
      </c>
      <c r="D1331" s="31" t="s">
        <v>63</v>
      </c>
      <c r="E1331" s="31" t="n">
        <v>1</v>
      </c>
      <c r="F1331" s="32" t="n">
        <v>14</v>
      </c>
      <c r="G1331" s="32" t="n">
        <v>14</v>
      </c>
      <c r="H1331" s="31" t="s">
        <v>45</v>
      </c>
      <c r="I1331" s="31" t="s">
        <v>58</v>
      </c>
      <c r="J1331" s="31" t="s">
        <v>1803</v>
      </c>
      <c r="K1331" s="31" t="s">
        <v>48</v>
      </c>
    </row>
    <row r="1332" customFormat="false" ht="15" hidden="false" customHeight="false" outlineLevel="0" collapsed="false">
      <c r="A1332" s="31" t="s">
        <v>1801</v>
      </c>
      <c r="B1332" s="31" t="s">
        <v>1804</v>
      </c>
      <c r="C1332" s="31" t="s">
        <v>44</v>
      </c>
      <c r="D1332" s="31" t="s">
        <v>44</v>
      </c>
      <c r="E1332" s="31" t="n">
        <v>1</v>
      </c>
      <c r="F1332" s="32" t="n">
        <v>5.95</v>
      </c>
      <c r="G1332" s="32" t="n">
        <v>5.95</v>
      </c>
      <c r="H1332" s="31" t="s">
        <v>45</v>
      </c>
      <c r="I1332" s="31" t="s">
        <v>58</v>
      </c>
      <c r="J1332" s="31" t="s">
        <v>1803</v>
      </c>
      <c r="K1332" s="31" t="s">
        <v>48</v>
      </c>
    </row>
    <row r="1333" customFormat="false" ht="15" hidden="false" customHeight="false" outlineLevel="0" collapsed="false">
      <c r="A1333" s="31" t="s">
        <v>1805</v>
      </c>
      <c r="B1333" s="31" t="s">
        <v>1806</v>
      </c>
      <c r="C1333" s="31" t="s">
        <v>20</v>
      </c>
      <c r="D1333" s="31" t="s">
        <v>52</v>
      </c>
      <c r="E1333" s="31" t="n">
        <v>1</v>
      </c>
      <c r="F1333" s="32" t="n">
        <v>22</v>
      </c>
      <c r="G1333" s="32" t="n">
        <v>22</v>
      </c>
      <c r="H1333" s="31" t="s">
        <v>45</v>
      </c>
      <c r="I1333" s="31" t="s">
        <v>58</v>
      </c>
      <c r="J1333" s="31" t="s">
        <v>988</v>
      </c>
      <c r="K1333" s="31" t="s">
        <v>48</v>
      </c>
    </row>
    <row r="1334" customFormat="false" ht="15" hidden="false" customHeight="false" outlineLevel="0" collapsed="false">
      <c r="A1334" s="31" t="s">
        <v>1805</v>
      </c>
      <c r="B1334" s="31" t="s">
        <v>1806</v>
      </c>
      <c r="C1334" s="31" t="s">
        <v>44</v>
      </c>
      <c r="D1334" s="31" t="s">
        <v>44</v>
      </c>
      <c r="E1334" s="31" t="n">
        <v>1</v>
      </c>
      <c r="F1334" s="32" t="n">
        <v>0</v>
      </c>
      <c r="G1334" s="32" t="n">
        <v>0</v>
      </c>
      <c r="H1334" s="31" t="s">
        <v>45</v>
      </c>
      <c r="I1334" s="31" t="s">
        <v>58</v>
      </c>
      <c r="J1334" s="31" t="s">
        <v>988</v>
      </c>
      <c r="K1334" s="31" t="s">
        <v>48</v>
      </c>
    </row>
    <row r="1335" customFormat="false" ht="15" hidden="false" customHeight="false" outlineLevel="0" collapsed="false">
      <c r="A1335" s="31" t="s">
        <v>1807</v>
      </c>
      <c r="B1335" s="31" t="s">
        <v>1808</v>
      </c>
      <c r="C1335" s="31" t="s">
        <v>20</v>
      </c>
      <c r="D1335" s="31" t="s">
        <v>69</v>
      </c>
      <c r="E1335" s="31" t="n">
        <v>1</v>
      </c>
      <c r="F1335" s="32" t="n">
        <v>29</v>
      </c>
      <c r="G1335" s="32" t="n">
        <v>29</v>
      </c>
      <c r="H1335" s="31" t="s">
        <v>57</v>
      </c>
      <c r="I1335" s="31" t="s">
        <v>46</v>
      </c>
      <c r="J1335" s="31" t="s">
        <v>1614</v>
      </c>
      <c r="K1335" s="31" t="s">
        <v>48</v>
      </c>
    </row>
    <row r="1336" customFormat="false" ht="15" hidden="false" customHeight="false" outlineLevel="0" collapsed="false">
      <c r="A1336" s="31" t="s">
        <v>1807</v>
      </c>
      <c r="B1336" s="31" t="s">
        <v>1808</v>
      </c>
      <c r="C1336" s="31" t="s">
        <v>44</v>
      </c>
      <c r="D1336" s="31" t="s">
        <v>44</v>
      </c>
      <c r="E1336" s="31" t="n">
        <v>1</v>
      </c>
      <c r="F1336" s="32" t="n">
        <v>5.95</v>
      </c>
      <c r="G1336" s="32" t="n">
        <v>5.95</v>
      </c>
      <c r="H1336" s="31" t="s">
        <v>57</v>
      </c>
      <c r="I1336" s="31" t="s">
        <v>46</v>
      </c>
      <c r="J1336" s="31" t="s">
        <v>1614</v>
      </c>
      <c r="K1336" s="31" t="s">
        <v>48</v>
      </c>
    </row>
    <row r="1337" customFormat="false" ht="15" hidden="false" customHeight="false" outlineLevel="0" collapsed="false">
      <c r="A1337" s="31" t="s">
        <v>1809</v>
      </c>
      <c r="B1337" s="31" t="s">
        <v>1810</v>
      </c>
      <c r="C1337" s="31" t="s">
        <v>20</v>
      </c>
      <c r="D1337" s="31" t="s">
        <v>78</v>
      </c>
      <c r="E1337" s="31" t="n">
        <v>2</v>
      </c>
      <c r="F1337" s="32" t="n">
        <v>89</v>
      </c>
      <c r="G1337" s="32" t="n">
        <v>178</v>
      </c>
      <c r="H1337" s="31" t="s">
        <v>57</v>
      </c>
      <c r="I1337" s="31" t="s">
        <v>58</v>
      </c>
      <c r="J1337" s="31" t="s">
        <v>1811</v>
      </c>
      <c r="K1337" s="31" t="s">
        <v>48</v>
      </c>
    </row>
    <row r="1338" customFormat="false" ht="15" hidden="false" customHeight="false" outlineLevel="0" collapsed="false">
      <c r="A1338" s="31" t="s">
        <v>1809</v>
      </c>
      <c r="B1338" s="31" t="s">
        <v>1812</v>
      </c>
      <c r="C1338" s="31" t="s">
        <v>20</v>
      </c>
      <c r="D1338" s="31" t="s">
        <v>140</v>
      </c>
      <c r="E1338" s="31" t="n">
        <v>1</v>
      </c>
      <c r="F1338" s="32" t="n">
        <v>26</v>
      </c>
      <c r="G1338" s="32" t="n">
        <v>26</v>
      </c>
      <c r="H1338" s="31" t="s">
        <v>57</v>
      </c>
      <c r="I1338" s="31" t="s">
        <v>58</v>
      </c>
      <c r="J1338" s="31" t="s">
        <v>1811</v>
      </c>
      <c r="K1338" s="31" t="s">
        <v>48</v>
      </c>
    </row>
    <row r="1339" customFormat="false" ht="15" hidden="false" customHeight="false" outlineLevel="0" collapsed="false">
      <c r="A1339" s="31" t="s">
        <v>1809</v>
      </c>
      <c r="B1339" s="31" t="s">
        <v>1812</v>
      </c>
      <c r="C1339" s="31" t="s">
        <v>44</v>
      </c>
      <c r="D1339" s="31" t="s">
        <v>44</v>
      </c>
      <c r="E1339" s="31" t="n">
        <v>1</v>
      </c>
      <c r="F1339" s="32" t="n">
        <v>4.95</v>
      </c>
      <c r="G1339" s="32" t="n">
        <v>4.95</v>
      </c>
      <c r="H1339" s="31" t="s">
        <v>57</v>
      </c>
      <c r="I1339" s="31" t="s">
        <v>58</v>
      </c>
      <c r="J1339" s="31" t="s">
        <v>1811</v>
      </c>
      <c r="K1339" s="31" t="s">
        <v>48</v>
      </c>
    </row>
    <row r="1340" customFormat="false" ht="15" hidden="false" customHeight="false" outlineLevel="0" collapsed="false">
      <c r="A1340" s="31" t="s">
        <v>1813</v>
      </c>
      <c r="B1340" s="31" t="s">
        <v>1814</v>
      </c>
      <c r="C1340" s="31" t="s">
        <v>50</v>
      </c>
      <c r="D1340" s="31" t="s">
        <v>51</v>
      </c>
      <c r="E1340" s="31" t="n">
        <v>1</v>
      </c>
      <c r="F1340" s="32" t="n">
        <v>-10</v>
      </c>
      <c r="G1340" s="32" t="n">
        <v>-10</v>
      </c>
      <c r="H1340" s="31" t="s">
        <v>57</v>
      </c>
      <c r="I1340" s="31" t="s">
        <v>121</v>
      </c>
      <c r="J1340" s="31" t="s">
        <v>1815</v>
      </c>
      <c r="K1340" s="31" t="s">
        <v>48</v>
      </c>
    </row>
    <row r="1341" customFormat="false" ht="15" hidden="false" customHeight="false" outlineLevel="0" collapsed="false">
      <c r="A1341" s="31" t="s">
        <v>1813</v>
      </c>
      <c r="B1341" s="31" t="s">
        <v>1814</v>
      </c>
      <c r="C1341" s="31" t="s">
        <v>20</v>
      </c>
      <c r="D1341" s="31" t="s">
        <v>73</v>
      </c>
      <c r="E1341" s="31" t="n">
        <v>2</v>
      </c>
      <c r="F1341" s="32" t="n">
        <v>69</v>
      </c>
      <c r="G1341" s="32" t="n">
        <v>138</v>
      </c>
      <c r="H1341" s="31" t="s">
        <v>57</v>
      </c>
      <c r="I1341" s="31" t="s">
        <v>121</v>
      </c>
      <c r="J1341" s="31" t="s">
        <v>1815</v>
      </c>
      <c r="K1341" s="31" t="s">
        <v>48</v>
      </c>
    </row>
    <row r="1342" customFormat="false" ht="15" hidden="false" customHeight="false" outlineLevel="0" collapsed="false">
      <c r="A1342" s="31" t="s">
        <v>1813</v>
      </c>
      <c r="B1342" s="31" t="s">
        <v>1816</v>
      </c>
      <c r="C1342" s="31" t="s">
        <v>20</v>
      </c>
      <c r="D1342" s="31" t="s">
        <v>66</v>
      </c>
      <c r="E1342" s="31" t="n">
        <v>2</v>
      </c>
      <c r="F1342" s="32" t="n">
        <v>32</v>
      </c>
      <c r="G1342" s="32" t="n">
        <v>64</v>
      </c>
      <c r="H1342" s="31" t="s">
        <v>57</v>
      </c>
      <c r="I1342" s="31" t="s">
        <v>121</v>
      </c>
      <c r="J1342" s="31" t="s">
        <v>1815</v>
      </c>
      <c r="K1342" s="31" t="s">
        <v>48</v>
      </c>
    </row>
    <row r="1343" customFormat="false" ht="15" hidden="false" customHeight="false" outlineLevel="0" collapsed="false">
      <c r="A1343" s="31" t="s">
        <v>1813</v>
      </c>
      <c r="B1343" s="31" t="s">
        <v>1814</v>
      </c>
      <c r="C1343" s="31" t="s">
        <v>20</v>
      </c>
      <c r="D1343" s="31" t="s">
        <v>56</v>
      </c>
      <c r="E1343" s="31" t="n">
        <v>1</v>
      </c>
      <c r="F1343" s="32" t="n">
        <v>45</v>
      </c>
      <c r="G1343" s="32" t="n">
        <v>45</v>
      </c>
      <c r="H1343" s="31" t="s">
        <v>57</v>
      </c>
      <c r="I1343" s="31" t="s">
        <v>121</v>
      </c>
      <c r="J1343" s="31" t="s">
        <v>1815</v>
      </c>
      <c r="K1343" s="31" t="s">
        <v>48</v>
      </c>
    </row>
    <row r="1344" customFormat="false" ht="15" hidden="false" customHeight="false" outlineLevel="0" collapsed="false">
      <c r="A1344" s="31" t="s">
        <v>1813</v>
      </c>
      <c r="B1344" s="31" t="s">
        <v>1814</v>
      </c>
      <c r="C1344" s="31" t="s">
        <v>44</v>
      </c>
      <c r="D1344" s="31" t="s">
        <v>44</v>
      </c>
      <c r="E1344" s="31" t="n">
        <v>1</v>
      </c>
      <c r="F1344" s="32" t="n">
        <v>5.95</v>
      </c>
      <c r="G1344" s="32" t="n">
        <v>5.95</v>
      </c>
      <c r="H1344" s="31" t="s">
        <v>57</v>
      </c>
      <c r="I1344" s="31" t="s">
        <v>121</v>
      </c>
      <c r="J1344" s="31" t="s">
        <v>1815</v>
      </c>
      <c r="K1344" s="31" t="s">
        <v>48</v>
      </c>
    </row>
    <row r="1345" customFormat="false" ht="15" hidden="false" customHeight="false" outlineLevel="0" collapsed="false">
      <c r="A1345" s="31" t="s">
        <v>1813</v>
      </c>
      <c r="B1345" s="31" t="s">
        <v>1814</v>
      </c>
      <c r="C1345" s="31" t="s">
        <v>20</v>
      </c>
      <c r="D1345" s="31" t="s">
        <v>56</v>
      </c>
      <c r="E1345" s="31" t="n">
        <v>1</v>
      </c>
      <c r="F1345" s="32" t="n">
        <v>45</v>
      </c>
      <c r="G1345" s="32" t="n">
        <v>45</v>
      </c>
      <c r="H1345" s="31" t="s">
        <v>57</v>
      </c>
      <c r="I1345" s="31" t="s">
        <v>121</v>
      </c>
      <c r="J1345" s="31" t="s">
        <v>1815</v>
      </c>
      <c r="K1345" s="31" t="s">
        <v>48</v>
      </c>
    </row>
    <row r="1346" customFormat="false" ht="15" hidden="false" customHeight="false" outlineLevel="0" collapsed="false">
      <c r="A1346" s="31" t="s">
        <v>1817</v>
      </c>
      <c r="B1346" s="31" t="s">
        <v>1818</v>
      </c>
      <c r="C1346" s="31" t="s">
        <v>44</v>
      </c>
      <c r="D1346" s="31" t="s">
        <v>44</v>
      </c>
      <c r="E1346" s="31" t="n">
        <v>1</v>
      </c>
      <c r="F1346" s="32" t="n">
        <v>3.95</v>
      </c>
      <c r="G1346" s="32" t="n">
        <v>3.95</v>
      </c>
      <c r="H1346" s="31" t="s">
        <v>45</v>
      </c>
      <c r="I1346" s="31" t="s">
        <v>84</v>
      </c>
      <c r="J1346" s="31" t="s">
        <v>1819</v>
      </c>
      <c r="K1346" s="31" t="s">
        <v>48</v>
      </c>
    </row>
    <row r="1347" customFormat="false" ht="15" hidden="false" customHeight="false" outlineLevel="0" collapsed="false">
      <c r="A1347" s="31" t="s">
        <v>1817</v>
      </c>
      <c r="B1347" s="31" t="s">
        <v>1820</v>
      </c>
      <c r="C1347" s="31" t="s">
        <v>20</v>
      </c>
      <c r="D1347" s="31" t="s">
        <v>78</v>
      </c>
      <c r="E1347" s="31" t="n">
        <v>2</v>
      </c>
      <c r="F1347" s="32" t="n">
        <v>89</v>
      </c>
      <c r="G1347" s="32" t="n">
        <v>178</v>
      </c>
      <c r="H1347" s="31" t="s">
        <v>45</v>
      </c>
      <c r="I1347" s="31" t="s">
        <v>84</v>
      </c>
      <c r="J1347" s="31" t="s">
        <v>1819</v>
      </c>
      <c r="K1347" s="31" t="s">
        <v>48</v>
      </c>
    </row>
    <row r="1348" customFormat="false" ht="15" hidden="false" customHeight="false" outlineLevel="0" collapsed="false">
      <c r="A1348" s="31" t="s">
        <v>1817</v>
      </c>
      <c r="B1348" s="31" t="s">
        <v>1818</v>
      </c>
      <c r="C1348" s="31" t="s">
        <v>20</v>
      </c>
      <c r="D1348" s="31" t="s">
        <v>140</v>
      </c>
      <c r="E1348" s="31" t="n">
        <v>1</v>
      </c>
      <c r="F1348" s="32" t="n">
        <v>26</v>
      </c>
      <c r="G1348" s="32" t="n">
        <v>26</v>
      </c>
      <c r="H1348" s="31" t="s">
        <v>45</v>
      </c>
      <c r="I1348" s="31" t="s">
        <v>84</v>
      </c>
      <c r="J1348" s="31" t="s">
        <v>1819</v>
      </c>
      <c r="K1348" s="31" t="s">
        <v>48</v>
      </c>
    </row>
    <row r="1349" customFormat="false" ht="15" hidden="false" customHeight="false" outlineLevel="0" collapsed="false">
      <c r="A1349" s="31" t="s">
        <v>1821</v>
      </c>
      <c r="B1349" s="31" t="s">
        <v>1822</v>
      </c>
      <c r="C1349" s="31" t="s">
        <v>44</v>
      </c>
      <c r="D1349" s="31" t="s">
        <v>44</v>
      </c>
      <c r="E1349" s="31" t="n">
        <v>1</v>
      </c>
      <c r="F1349" s="32" t="n">
        <v>4.95</v>
      </c>
      <c r="G1349" s="32" t="n">
        <v>4.95</v>
      </c>
      <c r="H1349" s="31" t="s">
        <v>45</v>
      </c>
      <c r="I1349" s="31" t="s">
        <v>46</v>
      </c>
      <c r="J1349" s="31" t="s">
        <v>1823</v>
      </c>
      <c r="K1349" s="31" t="s">
        <v>48</v>
      </c>
    </row>
    <row r="1350" customFormat="false" ht="15" hidden="false" customHeight="false" outlineLevel="0" collapsed="false">
      <c r="A1350" s="31" t="s">
        <v>1821</v>
      </c>
      <c r="B1350" s="31" t="s">
        <v>1822</v>
      </c>
      <c r="C1350" s="31" t="s">
        <v>20</v>
      </c>
      <c r="D1350" s="31" t="s">
        <v>73</v>
      </c>
      <c r="E1350" s="31" t="n">
        <v>2</v>
      </c>
      <c r="F1350" s="32" t="n">
        <v>69</v>
      </c>
      <c r="G1350" s="32" t="n">
        <v>138</v>
      </c>
      <c r="H1350" s="31" t="s">
        <v>45</v>
      </c>
      <c r="I1350" s="31" t="s">
        <v>46</v>
      </c>
      <c r="J1350" s="31" t="s">
        <v>1823</v>
      </c>
      <c r="K1350" s="31" t="s">
        <v>48</v>
      </c>
    </row>
    <row r="1351" customFormat="false" ht="15" hidden="false" customHeight="false" outlineLevel="0" collapsed="false">
      <c r="A1351" s="31" t="s">
        <v>1824</v>
      </c>
      <c r="B1351" s="31" t="s">
        <v>1825</v>
      </c>
      <c r="C1351" s="31" t="s">
        <v>20</v>
      </c>
      <c r="D1351" s="31" t="s">
        <v>56</v>
      </c>
      <c r="E1351" s="31" t="n">
        <v>2</v>
      </c>
      <c r="F1351" s="32" t="n">
        <v>40.5</v>
      </c>
      <c r="G1351" s="32" t="n">
        <v>81</v>
      </c>
      <c r="H1351" s="31" t="s">
        <v>45</v>
      </c>
      <c r="I1351" s="31" t="s">
        <v>58</v>
      </c>
      <c r="J1351" s="31" t="s">
        <v>1826</v>
      </c>
      <c r="K1351" s="31" t="s">
        <v>48</v>
      </c>
    </row>
    <row r="1352" customFormat="false" ht="15" hidden="false" customHeight="false" outlineLevel="0" collapsed="false">
      <c r="A1352" s="31" t="s">
        <v>1824</v>
      </c>
      <c r="B1352" s="31" t="s">
        <v>1827</v>
      </c>
      <c r="C1352" s="31" t="s">
        <v>44</v>
      </c>
      <c r="D1352" s="31" t="s">
        <v>44</v>
      </c>
      <c r="E1352" s="31" t="n">
        <v>1</v>
      </c>
      <c r="F1352" s="32" t="n">
        <v>0</v>
      </c>
      <c r="G1352" s="32" t="n">
        <v>0</v>
      </c>
      <c r="H1352" s="31" t="s">
        <v>45</v>
      </c>
      <c r="I1352" s="31" t="s">
        <v>58</v>
      </c>
      <c r="J1352" s="31" t="s">
        <v>1826</v>
      </c>
      <c r="K1352" s="31" t="s">
        <v>48</v>
      </c>
    </row>
    <row r="1353" customFormat="false" ht="15" hidden="false" customHeight="false" outlineLevel="0" collapsed="false">
      <c r="A1353" s="31" t="s">
        <v>1828</v>
      </c>
      <c r="B1353" s="31" t="s">
        <v>1829</v>
      </c>
      <c r="C1353" s="31" t="s">
        <v>20</v>
      </c>
      <c r="D1353" s="31" t="s">
        <v>66</v>
      </c>
      <c r="E1353" s="31" t="n">
        <v>2</v>
      </c>
      <c r="F1353" s="32" t="n">
        <v>32</v>
      </c>
      <c r="G1353" s="32" t="n">
        <v>64</v>
      </c>
      <c r="H1353" s="31" t="s">
        <v>57</v>
      </c>
      <c r="I1353" s="31" t="s">
        <v>58</v>
      </c>
      <c r="J1353" s="31" t="s">
        <v>306</v>
      </c>
      <c r="K1353" s="31" t="s">
        <v>48</v>
      </c>
    </row>
    <row r="1354" customFormat="false" ht="15" hidden="false" customHeight="false" outlineLevel="0" collapsed="false">
      <c r="A1354" s="31" t="s">
        <v>1830</v>
      </c>
      <c r="B1354" s="31" t="s">
        <v>1831</v>
      </c>
      <c r="C1354" s="31" t="s">
        <v>20</v>
      </c>
      <c r="D1354" s="31" t="s">
        <v>78</v>
      </c>
      <c r="E1354" s="31" t="n">
        <v>2</v>
      </c>
      <c r="F1354" s="32" t="n">
        <v>89</v>
      </c>
      <c r="G1354" s="32" t="n">
        <v>178</v>
      </c>
      <c r="H1354" s="31" t="s">
        <v>45</v>
      </c>
      <c r="I1354" s="31" t="s">
        <v>58</v>
      </c>
      <c r="J1354" s="31" t="s">
        <v>1832</v>
      </c>
      <c r="K1354" s="31" t="s">
        <v>48</v>
      </c>
    </row>
    <row r="1355" customFormat="false" ht="15" hidden="false" customHeight="false" outlineLevel="0" collapsed="false">
      <c r="A1355" s="31" t="s">
        <v>1830</v>
      </c>
      <c r="B1355" s="31" t="s">
        <v>1831</v>
      </c>
      <c r="C1355" s="31" t="s">
        <v>44</v>
      </c>
      <c r="D1355" s="31" t="s">
        <v>44</v>
      </c>
      <c r="E1355" s="31" t="n">
        <v>1</v>
      </c>
      <c r="F1355" s="32" t="n">
        <v>5.95</v>
      </c>
      <c r="G1355" s="32" t="n">
        <v>5.95</v>
      </c>
      <c r="H1355" s="31" t="s">
        <v>45</v>
      </c>
      <c r="I1355" s="31" t="s">
        <v>58</v>
      </c>
      <c r="J1355" s="31" t="s">
        <v>1832</v>
      </c>
      <c r="K1355" s="31" t="s">
        <v>48</v>
      </c>
    </row>
    <row r="1356" customFormat="false" ht="15" hidden="false" customHeight="false" outlineLevel="0" collapsed="false">
      <c r="A1356" s="31" t="s">
        <v>1833</v>
      </c>
      <c r="B1356" s="31" t="s">
        <v>1834</v>
      </c>
      <c r="C1356" s="31" t="s">
        <v>20</v>
      </c>
      <c r="D1356" s="31" t="s">
        <v>73</v>
      </c>
      <c r="E1356" s="31" t="n">
        <v>1</v>
      </c>
      <c r="F1356" s="32" t="n">
        <v>69</v>
      </c>
      <c r="G1356" s="32" t="n">
        <v>69</v>
      </c>
      <c r="H1356" s="31" t="s">
        <v>45</v>
      </c>
      <c r="I1356" s="31" t="s">
        <v>58</v>
      </c>
      <c r="J1356" s="31" t="s">
        <v>926</v>
      </c>
      <c r="K1356" s="31" t="s">
        <v>48</v>
      </c>
    </row>
    <row r="1357" customFormat="false" ht="15" hidden="false" customHeight="false" outlineLevel="0" collapsed="false">
      <c r="A1357" s="31" t="s">
        <v>1833</v>
      </c>
      <c r="B1357" s="31" t="s">
        <v>1835</v>
      </c>
      <c r="C1357" s="31" t="s">
        <v>50</v>
      </c>
      <c r="D1357" s="31" t="s">
        <v>51</v>
      </c>
      <c r="E1357" s="31" t="n">
        <v>1</v>
      </c>
      <c r="F1357" s="32" t="n">
        <v>-10</v>
      </c>
      <c r="G1357" s="32" t="n">
        <v>-10</v>
      </c>
      <c r="H1357" s="31" t="s">
        <v>45</v>
      </c>
      <c r="I1357" s="31" t="s">
        <v>58</v>
      </c>
      <c r="J1357" s="31" t="s">
        <v>926</v>
      </c>
      <c r="K1357" s="31" t="s">
        <v>48</v>
      </c>
    </row>
    <row r="1358" customFormat="false" ht="15" hidden="false" customHeight="false" outlineLevel="0" collapsed="false">
      <c r="A1358" s="31" t="s">
        <v>1836</v>
      </c>
      <c r="B1358" s="31" t="s">
        <v>1837</v>
      </c>
      <c r="C1358" s="31" t="s">
        <v>44</v>
      </c>
      <c r="D1358" s="31" t="s">
        <v>44</v>
      </c>
      <c r="E1358" s="31" t="n">
        <v>1</v>
      </c>
      <c r="F1358" s="32" t="n">
        <v>5.95</v>
      </c>
      <c r="G1358" s="32" t="n">
        <v>5.95</v>
      </c>
      <c r="H1358" s="31" t="s">
        <v>45</v>
      </c>
      <c r="I1358" s="31" t="s">
        <v>58</v>
      </c>
      <c r="J1358" s="31" t="s">
        <v>375</v>
      </c>
      <c r="K1358" s="31" t="s">
        <v>48</v>
      </c>
    </row>
    <row r="1359" customFormat="false" ht="15" hidden="false" customHeight="false" outlineLevel="0" collapsed="false">
      <c r="A1359" s="31" t="s">
        <v>1836</v>
      </c>
      <c r="B1359" s="31" t="s">
        <v>1837</v>
      </c>
      <c r="C1359" s="31" t="s">
        <v>20</v>
      </c>
      <c r="D1359" s="31" t="s">
        <v>78</v>
      </c>
      <c r="E1359" s="31" t="n">
        <v>1</v>
      </c>
      <c r="F1359" s="32" t="n">
        <v>89</v>
      </c>
      <c r="G1359" s="32" t="n">
        <v>89</v>
      </c>
      <c r="H1359" s="31" t="s">
        <v>45</v>
      </c>
      <c r="I1359" s="31" t="s">
        <v>58</v>
      </c>
      <c r="J1359" s="31" t="s">
        <v>375</v>
      </c>
      <c r="K1359" s="31" t="s">
        <v>48</v>
      </c>
    </row>
    <row r="1360" customFormat="false" ht="15" hidden="false" customHeight="false" outlineLevel="0" collapsed="false">
      <c r="A1360" s="31" t="s">
        <v>1838</v>
      </c>
      <c r="B1360" s="31" t="s">
        <v>1839</v>
      </c>
      <c r="C1360" s="31" t="s">
        <v>20</v>
      </c>
      <c r="D1360" s="31" t="s">
        <v>140</v>
      </c>
      <c r="E1360" s="31" t="n">
        <v>2</v>
      </c>
      <c r="F1360" s="32" t="n">
        <v>26</v>
      </c>
      <c r="G1360" s="32" t="n">
        <v>52</v>
      </c>
      <c r="H1360" s="31" t="s">
        <v>45</v>
      </c>
      <c r="I1360" s="31" t="s">
        <v>155</v>
      </c>
      <c r="J1360" s="31" t="s">
        <v>1257</v>
      </c>
      <c r="K1360" s="31" t="s">
        <v>48</v>
      </c>
    </row>
    <row r="1361" customFormat="false" ht="15" hidden="false" customHeight="false" outlineLevel="0" collapsed="false">
      <c r="A1361" s="31" t="s">
        <v>1838</v>
      </c>
      <c r="B1361" s="31" t="s">
        <v>1839</v>
      </c>
      <c r="C1361" s="31" t="s">
        <v>50</v>
      </c>
      <c r="D1361" s="31" t="s">
        <v>51</v>
      </c>
      <c r="E1361" s="31" t="n">
        <v>1</v>
      </c>
      <c r="F1361" s="32" t="n">
        <v>-10</v>
      </c>
      <c r="G1361" s="32" t="n">
        <v>-10</v>
      </c>
      <c r="H1361" s="31" t="s">
        <v>45</v>
      </c>
      <c r="I1361" s="31" t="s">
        <v>155</v>
      </c>
      <c r="J1361" s="31" t="s">
        <v>1257</v>
      </c>
      <c r="K1361" s="31" t="s">
        <v>48</v>
      </c>
    </row>
    <row r="1362" customFormat="false" ht="15" hidden="false" customHeight="false" outlineLevel="0" collapsed="false">
      <c r="A1362" s="31" t="s">
        <v>1838</v>
      </c>
      <c r="B1362" s="31" t="s">
        <v>1840</v>
      </c>
      <c r="C1362" s="31" t="s">
        <v>44</v>
      </c>
      <c r="D1362" s="31" t="s">
        <v>44</v>
      </c>
      <c r="E1362" s="31" t="n">
        <v>1</v>
      </c>
      <c r="F1362" s="32" t="n">
        <v>3.95</v>
      </c>
      <c r="G1362" s="32" t="n">
        <v>3.95</v>
      </c>
      <c r="H1362" s="31" t="s">
        <v>45</v>
      </c>
      <c r="I1362" s="31" t="s">
        <v>155</v>
      </c>
      <c r="J1362" s="31" t="s">
        <v>1257</v>
      </c>
      <c r="K1362" s="31" t="s">
        <v>48</v>
      </c>
    </row>
    <row r="1363" customFormat="false" ht="15" hidden="false" customHeight="false" outlineLevel="0" collapsed="false">
      <c r="A1363" s="31" t="s">
        <v>1841</v>
      </c>
      <c r="B1363" s="31" t="s">
        <v>1842</v>
      </c>
      <c r="C1363" s="31" t="s">
        <v>20</v>
      </c>
      <c r="D1363" s="31" t="s">
        <v>87</v>
      </c>
      <c r="E1363" s="31" t="n">
        <v>1</v>
      </c>
      <c r="F1363" s="32" t="n">
        <v>35</v>
      </c>
      <c r="G1363" s="32" t="n">
        <v>35</v>
      </c>
      <c r="H1363" s="31" t="s">
        <v>45</v>
      </c>
      <c r="I1363" s="31" t="s">
        <v>121</v>
      </c>
      <c r="J1363" s="31" t="s">
        <v>1843</v>
      </c>
      <c r="K1363" s="31" t="s">
        <v>48</v>
      </c>
    </row>
    <row r="1364" customFormat="false" ht="15" hidden="false" customHeight="false" outlineLevel="0" collapsed="false">
      <c r="A1364" s="31" t="s">
        <v>1841</v>
      </c>
      <c r="B1364" s="31" t="s">
        <v>1842</v>
      </c>
      <c r="C1364" s="31" t="s">
        <v>44</v>
      </c>
      <c r="D1364" s="31" t="s">
        <v>44</v>
      </c>
      <c r="E1364" s="31" t="n">
        <v>1</v>
      </c>
      <c r="F1364" s="32" t="n">
        <v>4.95</v>
      </c>
      <c r="G1364" s="32" t="n">
        <v>4.95</v>
      </c>
      <c r="H1364" s="31" t="s">
        <v>45</v>
      </c>
      <c r="I1364" s="31" t="s">
        <v>121</v>
      </c>
      <c r="J1364" s="31" t="s">
        <v>1843</v>
      </c>
      <c r="K1364" s="31" t="s">
        <v>48</v>
      </c>
    </row>
    <row r="1365" customFormat="false" ht="15" hidden="false" customHeight="false" outlineLevel="0" collapsed="false">
      <c r="A1365" s="31" t="s">
        <v>1844</v>
      </c>
      <c r="B1365" s="31" t="s">
        <v>1845</v>
      </c>
      <c r="C1365" s="31" t="s">
        <v>20</v>
      </c>
      <c r="D1365" s="31" t="s">
        <v>69</v>
      </c>
      <c r="E1365" s="31" t="n">
        <v>1</v>
      </c>
      <c r="F1365" s="32" t="n">
        <v>29</v>
      </c>
      <c r="G1365" s="32" t="n">
        <v>29</v>
      </c>
      <c r="H1365" s="31" t="s">
        <v>57</v>
      </c>
      <c r="I1365" s="31" t="s">
        <v>58</v>
      </c>
      <c r="J1365" s="31" t="s">
        <v>1846</v>
      </c>
      <c r="K1365" s="31" t="s">
        <v>48</v>
      </c>
    </row>
    <row r="1366" customFormat="false" ht="15" hidden="false" customHeight="false" outlineLevel="0" collapsed="false">
      <c r="A1366" s="31" t="s">
        <v>1844</v>
      </c>
      <c r="B1366" s="31" t="s">
        <v>1845</v>
      </c>
      <c r="C1366" s="31" t="s">
        <v>44</v>
      </c>
      <c r="D1366" s="31" t="s">
        <v>44</v>
      </c>
      <c r="E1366" s="31" t="n">
        <v>1</v>
      </c>
      <c r="F1366" s="32" t="n">
        <v>0</v>
      </c>
      <c r="G1366" s="32" t="n">
        <v>0</v>
      </c>
      <c r="H1366" s="31" t="s">
        <v>57</v>
      </c>
      <c r="I1366" s="31" t="s">
        <v>58</v>
      </c>
      <c r="J1366" s="31" t="s">
        <v>1846</v>
      </c>
      <c r="K1366" s="31" t="s">
        <v>48</v>
      </c>
    </row>
    <row r="1367" customFormat="false" ht="15" hidden="false" customHeight="false" outlineLevel="0" collapsed="false">
      <c r="A1367" s="31" t="s">
        <v>1847</v>
      </c>
      <c r="B1367" s="31" t="s">
        <v>1848</v>
      </c>
      <c r="C1367" s="31" t="s">
        <v>20</v>
      </c>
      <c r="D1367" s="31" t="s">
        <v>87</v>
      </c>
      <c r="E1367" s="31" t="n">
        <v>2</v>
      </c>
      <c r="F1367" s="32" t="n">
        <v>35</v>
      </c>
      <c r="G1367" s="32" t="n">
        <v>70</v>
      </c>
      <c r="H1367" s="31" t="s">
        <v>184</v>
      </c>
      <c r="I1367" s="31" t="s">
        <v>104</v>
      </c>
      <c r="J1367" s="31" t="s">
        <v>433</v>
      </c>
      <c r="K1367" s="31" t="s">
        <v>48</v>
      </c>
    </row>
    <row r="1368" customFormat="false" ht="15" hidden="false" customHeight="false" outlineLevel="0" collapsed="false">
      <c r="A1368" s="31" t="s">
        <v>1847</v>
      </c>
      <c r="B1368" s="31" t="s">
        <v>1849</v>
      </c>
      <c r="C1368" s="31" t="s">
        <v>20</v>
      </c>
      <c r="D1368" s="31" t="s">
        <v>78</v>
      </c>
      <c r="E1368" s="31" t="n">
        <v>1</v>
      </c>
      <c r="F1368" s="32" t="n">
        <v>89</v>
      </c>
      <c r="G1368" s="32" t="n">
        <v>89</v>
      </c>
      <c r="H1368" s="31" t="s">
        <v>184</v>
      </c>
      <c r="I1368" s="31" t="s">
        <v>104</v>
      </c>
      <c r="J1368" s="31" t="s">
        <v>433</v>
      </c>
      <c r="K1368" s="31" t="s">
        <v>48</v>
      </c>
    </row>
    <row r="1369" customFormat="false" ht="15" hidden="false" customHeight="false" outlineLevel="0" collapsed="false">
      <c r="A1369" s="31" t="s">
        <v>1850</v>
      </c>
      <c r="B1369" s="31" t="s">
        <v>1851</v>
      </c>
      <c r="C1369" s="31" t="s">
        <v>20</v>
      </c>
      <c r="D1369" s="31" t="s">
        <v>63</v>
      </c>
      <c r="E1369" s="31" t="n">
        <v>1</v>
      </c>
      <c r="F1369" s="32" t="n">
        <v>11.9</v>
      </c>
      <c r="G1369" s="32" t="n">
        <v>11.9</v>
      </c>
      <c r="H1369" s="31" t="s">
        <v>45</v>
      </c>
      <c r="I1369" s="31" t="s">
        <v>58</v>
      </c>
      <c r="J1369" s="31" t="s">
        <v>1852</v>
      </c>
      <c r="K1369" s="31" t="s">
        <v>48</v>
      </c>
    </row>
    <row r="1370" customFormat="false" ht="15" hidden="false" customHeight="false" outlineLevel="0" collapsed="false">
      <c r="A1370" s="31" t="s">
        <v>1850</v>
      </c>
      <c r="B1370" s="31" t="s">
        <v>1851</v>
      </c>
      <c r="C1370" s="31" t="s">
        <v>20</v>
      </c>
      <c r="D1370" s="31" t="s">
        <v>53</v>
      </c>
      <c r="E1370" s="31" t="n">
        <v>2</v>
      </c>
      <c r="F1370" s="32" t="n">
        <v>39</v>
      </c>
      <c r="G1370" s="32" t="n">
        <v>78</v>
      </c>
      <c r="H1370" s="31" t="s">
        <v>45</v>
      </c>
      <c r="I1370" s="31" t="s">
        <v>58</v>
      </c>
      <c r="J1370" s="31" t="s">
        <v>1852</v>
      </c>
      <c r="K1370" s="31" t="s">
        <v>48</v>
      </c>
    </row>
    <row r="1371" customFormat="false" ht="15" hidden="false" customHeight="false" outlineLevel="0" collapsed="false">
      <c r="A1371" s="31" t="s">
        <v>1853</v>
      </c>
      <c r="B1371" s="31" t="s">
        <v>1854</v>
      </c>
      <c r="C1371" s="31" t="s">
        <v>20</v>
      </c>
      <c r="D1371" s="31" t="s">
        <v>87</v>
      </c>
      <c r="E1371" s="31" t="n">
        <v>2</v>
      </c>
      <c r="F1371" s="32" t="n">
        <v>35</v>
      </c>
      <c r="G1371" s="32" t="n">
        <v>70</v>
      </c>
      <c r="H1371" s="31" t="s">
        <v>45</v>
      </c>
      <c r="I1371" s="31" t="s">
        <v>58</v>
      </c>
      <c r="J1371" s="31" t="s">
        <v>903</v>
      </c>
      <c r="K1371" s="31" t="s">
        <v>48</v>
      </c>
    </row>
    <row r="1372" customFormat="false" ht="15" hidden="false" customHeight="false" outlineLevel="0" collapsed="false">
      <c r="A1372" s="31" t="s">
        <v>1853</v>
      </c>
      <c r="B1372" s="31" t="s">
        <v>1855</v>
      </c>
      <c r="C1372" s="31" t="s">
        <v>20</v>
      </c>
      <c r="D1372" s="31" t="s">
        <v>52</v>
      </c>
      <c r="E1372" s="31" t="n">
        <v>2</v>
      </c>
      <c r="F1372" s="32" t="n">
        <v>22</v>
      </c>
      <c r="G1372" s="32" t="n">
        <v>44</v>
      </c>
      <c r="H1372" s="31" t="s">
        <v>45</v>
      </c>
      <c r="I1372" s="31" t="s">
        <v>58</v>
      </c>
      <c r="J1372" s="31" t="s">
        <v>903</v>
      </c>
      <c r="K1372" s="31" t="s">
        <v>48</v>
      </c>
    </row>
    <row r="1373" customFormat="false" ht="15" hidden="false" customHeight="false" outlineLevel="0" collapsed="false">
      <c r="A1373" s="31" t="s">
        <v>1856</v>
      </c>
      <c r="B1373" s="31" t="s">
        <v>1857</v>
      </c>
      <c r="C1373" s="31" t="s">
        <v>20</v>
      </c>
      <c r="D1373" s="31" t="s">
        <v>63</v>
      </c>
      <c r="E1373" s="31" t="n">
        <v>1</v>
      </c>
      <c r="F1373" s="32" t="n">
        <v>14</v>
      </c>
      <c r="G1373" s="32" t="n">
        <v>14</v>
      </c>
      <c r="H1373" s="31" t="s">
        <v>145</v>
      </c>
      <c r="I1373" s="31" t="s">
        <v>58</v>
      </c>
      <c r="J1373" s="31" t="s">
        <v>489</v>
      </c>
      <c r="K1373" s="31" t="s">
        <v>202</v>
      </c>
    </row>
    <row r="1374" customFormat="false" ht="15" hidden="false" customHeight="false" outlineLevel="0" collapsed="false">
      <c r="A1374" s="31" t="s">
        <v>1856</v>
      </c>
      <c r="B1374" s="31" t="s">
        <v>1857</v>
      </c>
      <c r="C1374" s="31" t="s">
        <v>44</v>
      </c>
      <c r="D1374" s="31" t="s">
        <v>44</v>
      </c>
      <c r="E1374" s="31" t="n">
        <v>1</v>
      </c>
      <c r="F1374" s="32" t="n">
        <v>0</v>
      </c>
      <c r="G1374" s="32" t="n">
        <v>0</v>
      </c>
      <c r="H1374" s="31" t="s">
        <v>145</v>
      </c>
      <c r="I1374" s="31" t="s">
        <v>58</v>
      </c>
      <c r="J1374" s="31" t="s">
        <v>489</v>
      </c>
      <c r="K1374" s="31" t="s">
        <v>48</v>
      </c>
    </row>
    <row r="1375" customFormat="false" ht="15" hidden="false" customHeight="false" outlineLevel="0" collapsed="false">
      <c r="A1375" s="31" t="s">
        <v>1858</v>
      </c>
      <c r="B1375" s="31" t="s">
        <v>1859</v>
      </c>
      <c r="C1375" s="31" t="s">
        <v>44</v>
      </c>
      <c r="D1375" s="31" t="s">
        <v>44</v>
      </c>
      <c r="E1375" s="31" t="n">
        <v>1</v>
      </c>
      <c r="F1375" s="32" t="n">
        <v>0</v>
      </c>
      <c r="G1375" s="32" t="n">
        <v>0</v>
      </c>
      <c r="H1375" s="31" t="s">
        <v>145</v>
      </c>
      <c r="I1375" s="31" t="s">
        <v>121</v>
      </c>
      <c r="J1375" s="31" t="s">
        <v>1364</v>
      </c>
      <c r="K1375" s="31" t="s">
        <v>48</v>
      </c>
    </row>
    <row r="1376" customFormat="false" ht="15" hidden="false" customHeight="false" outlineLevel="0" collapsed="false">
      <c r="A1376" s="31" t="s">
        <v>1858</v>
      </c>
      <c r="B1376" s="31" t="s">
        <v>1859</v>
      </c>
      <c r="C1376" s="31" t="s">
        <v>20</v>
      </c>
      <c r="D1376" s="31" t="s">
        <v>52</v>
      </c>
      <c r="E1376" s="31" t="n">
        <v>1</v>
      </c>
      <c r="F1376" s="32" t="n">
        <v>22</v>
      </c>
      <c r="G1376" s="32" t="n">
        <v>22</v>
      </c>
      <c r="H1376" s="31" t="s">
        <v>145</v>
      </c>
      <c r="I1376" s="31" t="s">
        <v>121</v>
      </c>
      <c r="J1376" s="31" t="s">
        <v>1364</v>
      </c>
      <c r="K1376" s="31" t="s">
        <v>48</v>
      </c>
    </row>
    <row r="1377" customFormat="false" ht="15" hidden="false" customHeight="false" outlineLevel="0" collapsed="false">
      <c r="A1377" s="31" t="s">
        <v>1860</v>
      </c>
      <c r="B1377" s="31" t="s">
        <v>1861</v>
      </c>
      <c r="C1377" s="31" t="s">
        <v>44</v>
      </c>
      <c r="D1377" s="31" t="s">
        <v>44</v>
      </c>
      <c r="E1377" s="31" t="n">
        <v>1</v>
      </c>
      <c r="F1377" s="32" t="n">
        <v>5.95</v>
      </c>
      <c r="G1377" s="32" t="n">
        <v>5.95</v>
      </c>
      <c r="H1377" s="31" t="s">
        <v>45</v>
      </c>
      <c r="I1377" s="31" t="s">
        <v>58</v>
      </c>
      <c r="J1377" s="31" t="s">
        <v>1862</v>
      </c>
      <c r="K1377" s="31" t="s">
        <v>48</v>
      </c>
    </row>
    <row r="1378" customFormat="false" ht="15" hidden="false" customHeight="false" outlineLevel="0" collapsed="false">
      <c r="A1378" s="31" t="s">
        <v>1860</v>
      </c>
      <c r="B1378" s="31" t="s">
        <v>1863</v>
      </c>
      <c r="C1378" s="31" t="s">
        <v>20</v>
      </c>
      <c r="D1378" s="31" t="s">
        <v>123</v>
      </c>
      <c r="E1378" s="31" t="n">
        <v>2</v>
      </c>
      <c r="F1378" s="32" t="n">
        <v>75</v>
      </c>
      <c r="G1378" s="32" t="n">
        <v>150</v>
      </c>
      <c r="H1378" s="31" t="s">
        <v>45</v>
      </c>
      <c r="I1378" s="31" t="s">
        <v>58</v>
      </c>
      <c r="J1378" s="31" t="s">
        <v>1862</v>
      </c>
      <c r="K1378" s="31" t="s">
        <v>48</v>
      </c>
    </row>
    <row r="1379" customFormat="false" ht="15" hidden="false" customHeight="false" outlineLevel="0" collapsed="false">
      <c r="A1379" s="31" t="s">
        <v>1864</v>
      </c>
      <c r="B1379" s="31" t="s">
        <v>1865</v>
      </c>
      <c r="C1379" s="31" t="s">
        <v>44</v>
      </c>
      <c r="D1379" s="31" t="s">
        <v>44</v>
      </c>
      <c r="E1379" s="31" t="n">
        <v>1</v>
      </c>
      <c r="F1379" s="32" t="n">
        <v>3.95</v>
      </c>
      <c r="G1379" s="32" t="n">
        <v>3.95</v>
      </c>
      <c r="H1379" s="31" t="s">
        <v>45</v>
      </c>
      <c r="I1379" s="31" t="s">
        <v>58</v>
      </c>
      <c r="J1379" s="31" t="s">
        <v>1866</v>
      </c>
      <c r="K1379" s="31" t="s">
        <v>202</v>
      </c>
    </row>
    <row r="1380" customFormat="false" ht="15" hidden="false" customHeight="false" outlineLevel="0" collapsed="false">
      <c r="A1380" s="31" t="s">
        <v>1864</v>
      </c>
      <c r="B1380" s="31" t="s">
        <v>1865</v>
      </c>
      <c r="C1380" s="31" t="s">
        <v>20</v>
      </c>
      <c r="D1380" s="31" t="s">
        <v>78</v>
      </c>
      <c r="E1380" s="31" t="n">
        <v>1</v>
      </c>
      <c r="F1380" s="32" t="n">
        <v>89</v>
      </c>
      <c r="G1380" s="32" t="n">
        <v>89</v>
      </c>
      <c r="H1380" s="31" t="s">
        <v>45</v>
      </c>
      <c r="I1380" s="31" t="s">
        <v>58</v>
      </c>
      <c r="J1380" s="31" t="s">
        <v>1866</v>
      </c>
      <c r="K1380" s="31" t="s">
        <v>48</v>
      </c>
    </row>
    <row r="1381" customFormat="false" ht="15" hidden="false" customHeight="false" outlineLevel="0" collapsed="false">
      <c r="A1381" s="31" t="s">
        <v>1864</v>
      </c>
      <c r="B1381" s="31" t="s">
        <v>1865</v>
      </c>
      <c r="C1381" s="31" t="s">
        <v>20</v>
      </c>
      <c r="D1381" s="31" t="s">
        <v>87</v>
      </c>
      <c r="E1381" s="31" t="n">
        <v>1</v>
      </c>
      <c r="F1381" s="32" t="n">
        <v>35</v>
      </c>
      <c r="G1381" s="32" t="n">
        <v>35</v>
      </c>
      <c r="H1381" s="31" t="s">
        <v>45</v>
      </c>
      <c r="I1381" s="31" t="s">
        <v>58</v>
      </c>
      <c r="J1381" s="31" t="s">
        <v>1866</v>
      </c>
      <c r="K1381" s="31" t="s">
        <v>48</v>
      </c>
    </row>
    <row r="1382" customFormat="false" ht="15" hidden="false" customHeight="false" outlineLevel="0" collapsed="false">
      <c r="A1382" s="31" t="s">
        <v>1867</v>
      </c>
      <c r="B1382" s="31" t="s">
        <v>1868</v>
      </c>
      <c r="C1382" s="31" t="s">
        <v>20</v>
      </c>
      <c r="D1382" s="31" t="s">
        <v>123</v>
      </c>
      <c r="E1382" s="31" t="n">
        <v>2</v>
      </c>
      <c r="F1382" s="32" t="n">
        <v>67.5</v>
      </c>
      <c r="G1382" s="32" t="n">
        <v>135</v>
      </c>
      <c r="H1382" s="31" t="s">
        <v>45</v>
      </c>
      <c r="I1382" s="31" t="s">
        <v>58</v>
      </c>
      <c r="J1382" s="31" t="s">
        <v>1869</v>
      </c>
      <c r="K1382" s="31" t="s">
        <v>48</v>
      </c>
    </row>
    <row r="1383" customFormat="false" ht="15" hidden="false" customHeight="false" outlineLevel="0" collapsed="false">
      <c r="A1383" s="31" t="s">
        <v>1867</v>
      </c>
      <c r="B1383" s="31" t="s">
        <v>1870</v>
      </c>
      <c r="C1383" s="31" t="s">
        <v>44</v>
      </c>
      <c r="D1383" s="31" t="s">
        <v>44</v>
      </c>
      <c r="E1383" s="31" t="n">
        <v>1</v>
      </c>
      <c r="F1383" s="32" t="n">
        <v>4.95</v>
      </c>
      <c r="G1383" s="32" t="n">
        <v>4.95</v>
      </c>
      <c r="H1383" s="31" t="s">
        <v>45</v>
      </c>
      <c r="I1383" s="31" t="s">
        <v>58</v>
      </c>
      <c r="J1383" s="31" t="s">
        <v>1869</v>
      </c>
      <c r="K1383" s="31" t="s">
        <v>48</v>
      </c>
    </row>
    <row r="1384" customFormat="false" ht="15" hidden="false" customHeight="false" outlineLevel="0" collapsed="false">
      <c r="A1384" s="31" t="s">
        <v>1867</v>
      </c>
      <c r="B1384" s="31" t="s">
        <v>1870</v>
      </c>
      <c r="C1384" s="31" t="s">
        <v>44</v>
      </c>
      <c r="D1384" s="31" t="s">
        <v>44</v>
      </c>
      <c r="E1384" s="31" t="n">
        <v>1</v>
      </c>
      <c r="F1384" s="32" t="n">
        <v>4.95</v>
      </c>
      <c r="G1384" s="32" t="n">
        <v>4.95</v>
      </c>
      <c r="H1384" s="31" t="s">
        <v>45</v>
      </c>
      <c r="I1384" s="31" t="s">
        <v>58</v>
      </c>
      <c r="J1384" s="31" t="s">
        <v>1869</v>
      </c>
      <c r="K1384" s="31" t="s">
        <v>48</v>
      </c>
    </row>
    <row r="1385" customFormat="false" ht="15" hidden="false" customHeight="false" outlineLevel="0" collapsed="false">
      <c r="A1385" s="31" t="s">
        <v>1871</v>
      </c>
      <c r="B1385" s="31" t="s">
        <v>1872</v>
      </c>
      <c r="C1385" s="31" t="s">
        <v>20</v>
      </c>
      <c r="D1385" s="31" t="s">
        <v>53</v>
      </c>
      <c r="E1385" s="31" t="n">
        <v>1</v>
      </c>
      <c r="F1385" s="32" t="n">
        <v>39</v>
      </c>
      <c r="G1385" s="32" t="n">
        <v>39</v>
      </c>
      <c r="H1385" s="31" t="s">
        <v>45</v>
      </c>
      <c r="I1385" s="31" t="s">
        <v>104</v>
      </c>
      <c r="J1385" s="31" t="s">
        <v>1579</v>
      </c>
      <c r="K1385" s="31" t="s">
        <v>202</v>
      </c>
    </row>
    <row r="1386" customFormat="false" ht="15" hidden="false" customHeight="false" outlineLevel="0" collapsed="false">
      <c r="A1386" s="31" t="s">
        <v>1871</v>
      </c>
      <c r="B1386" s="31" t="s">
        <v>1872</v>
      </c>
      <c r="C1386" s="31" t="s">
        <v>44</v>
      </c>
      <c r="D1386" s="31" t="s">
        <v>44</v>
      </c>
      <c r="E1386" s="31" t="n">
        <v>1</v>
      </c>
      <c r="F1386" s="32" t="n">
        <v>3.95</v>
      </c>
      <c r="G1386" s="32" t="n">
        <v>3.95</v>
      </c>
      <c r="H1386" s="31" t="s">
        <v>45</v>
      </c>
      <c r="I1386" s="31" t="s">
        <v>104</v>
      </c>
      <c r="J1386" s="31" t="s">
        <v>1579</v>
      </c>
      <c r="K1386" s="31" t="s">
        <v>48</v>
      </c>
    </row>
    <row r="1387" customFormat="false" ht="15" hidden="false" customHeight="false" outlineLevel="0" collapsed="false">
      <c r="A1387" s="31" t="s">
        <v>1873</v>
      </c>
      <c r="B1387" s="31" t="s">
        <v>1874</v>
      </c>
      <c r="C1387" s="31" t="s">
        <v>20</v>
      </c>
      <c r="D1387" s="31" t="s">
        <v>78</v>
      </c>
      <c r="E1387" s="31" t="n">
        <v>1</v>
      </c>
      <c r="F1387" s="32" t="n">
        <v>89</v>
      </c>
      <c r="G1387" s="32" t="n">
        <v>89</v>
      </c>
      <c r="H1387" s="31" t="s">
        <v>45</v>
      </c>
      <c r="I1387" s="31" t="s">
        <v>58</v>
      </c>
      <c r="J1387" s="31" t="s">
        <v>1875</v>
      </c>
      <c r="K1387" s="31" t="s">
        <v>48</v>
      </c>
    </row>
    <row r="1388" customFormat="false" ht="15" hidden="false" customHeight="false" outlineLevel="0" collapsed="false">
      <c r="A1388" s="31" t="s">
        <v>1873</v>
      </c>
      <c r="B1388" s="31" t="s">
        <v>1876</v>
      </c>
      <c r="C1388" s="31" t="s">
        <v>44</v>
      </c>
      <c r="D1388" s="31" t="s">
        <v>44</v>
      </c>
      <c r="E1388" s="31" t="n">
        <v>1</v>
      </c>
      <c r="F1388" s="32" t="n">
        <v>5.95</v>
      </c>
      <c r="G1388" s="32" t="n">
        <v>5.95</v>
      </c>
      <c r="H1388" s="31" t="s">
        <v>45</v>
      </c>
      <c r="I1388" s="31" t="s">
        <v>58</v>
      </c>
      <c r="J1388" s="31" t="s">
        <v>1875</v>
      </c>
      <c r="K1388" s="31" t="s">
        <v>48</v>
      </c>
    </row>
    <row r="1389" customFormat="false" ht="15" hidden="false" customHeight="false" outlineLevel="0" collapsed="false">
      <c r="A1389" s="31" t="s">
        <v>1877</v>
      </c>
      <c r="B1389" s="31" t="s">
        <v>1878</v>
      </c>
      <c r="C1389" s="31" t="s">
        <v>20</v>
      </c>
      <c r="D1389" s="31" t="s">
        <v>56</v>
      </c>
      <c r="E1389" s="31" t="n">
        <v>1</v>
      </c>
      <c r="F1389" s="32" t="n">
        <v>45</v>
      </c>
      <c r="G1389" s="32" t="n">
        <v>45</v>
      </c>
      <c r="H1389" s="31" t="s">
        <v>45</v>
      </c>
      <c r="I1389" s="31" t="s">
        <v>58</v>
      </c>
      <c r="J1389" s="31" t="s">
        <v>1879</v>
      </c>
      <c r="K1389" s="31" t="s">
        <v>48</v>
      </c>
    </row>
    <row r="1390" customFormat="false" ht="15" hidden="false" customHeight="false" outlineLevel="0" collapsed="false">
      <c r="A1390" s="31" t="s">
        <v>1877</v>
      </c>
      <c r="B1390" s="31" t="s">
        <v>1878</v>
      </c>
      <c r="C1390" s="31" t="s">
        <v>44</v>
      </c>
      <c r="D1390" s="31" t="s">
        <v>44</v>
      </c>
      <c r="E1390" s="31" t="n">
        <v>1</v>
      </c>
      <c r="F1390" s="32" t="n">
        <v>0</v>
      </c>
      <c r="G1390" s="32" t="n">
        <v>0</v>
      </c>
      <c r="H1390" s="31" t="s">
        <v>45</v>
      </c>
      <c r="I1390" s="31" t="s">
        <v>58</v>
      </c>
      <c r="J1390" s="31" t="s">
        <v>1879</v>
      </c>
      <c r="K1390" s="31" t="s">
        <v>48</v>
      </c>
    </row>
    <row r="1391" customFormat="false" ht="15" hidden="false" customHeight="false" outlineLevel="0" collapsed="false">
      <c r="A1391" s="31" t="s">
        <v>1877</v>
      </c>
      <c r="B1391" s="31" t="s">
        <v>1878</v>
      </c>
      <c r="C1391" s="31" t="s">
        <v>20</v>
      </c>
      <c r="D1391" s="31" t="s">
        <v>69</v>
      </c>
      <c r="E1391" s="31" t="n">
        <v>1</v>
      </c>
      <c r="F1391" s="32" t="n">
        <v>29</v>
      </c>
      <c r="G1391" s="32" t="n">
        <v>29</v>
      </c>
      <c r="H1391" s="31" t="s">
        <v>45</v>
      </c>
      <c r="I1391" s="31" t="s">
        <v>58</v>
      </c>
      <c r="J1391" s="31" t="s">
        <v>1879</v>
      </c>
      <c r="K1391" s="31" t="s">
        <v>48</v>
      </c>
    </row>
    <row r="1392" customFormat="false" ht="15" hidden="false" customHeight="false" outlineLevel="0" collapsed="false">
      <c r="A1392" s="31" t="s">
        <v>1880</v>
      </c>
      <c r="B1392" s="31" t="s">
        <v>1881</v>
      </c>
      <c r="C1392" s="31" t="s">
        <v>50</v>
      </c>
      <c r="D1392" s="31" t="s">
        <v>51</v>
      </c>
      <c r="E1392" s="31" t="n">
        <v>1</v>
      </c>
      <c r="F1392" s="32" t="n">
        <v>-5</v>
      </c>
      <c r="G1392" s="32" t="n">
        <v>-5</v>
      </c>
      <c r="H1392" s="31" t="s">
        <v>45</v>
      </c>
      <c r="I1392" s="31" t="s">
        <v>58</v>
      </c>
      <c r="J1392" s="31" t="s">
        <v>859</v>
      </c>
      <c r="K1392" s="31" t="s">
        <v>48</v>
      </c>
    </row>
    <row r="1393" customFormat="false" ht="15" hidden="false" customHeight="false" outlineLevel="0" collapsed="false">
      <c r="A1393" s="31" t="s">
        <v>1880</v>
      </c>
      <c r="B1393" s="31" t="s">
        <v>1882</v>
      </c>
      <c r="C1393" s="31" t="s">
        <v>20</v>
      </c>
      <c r="D1393" s="31" t="s">
        <v>140</v>
      </c>
      <c r="E1393" s="31" t="n">
        <v>1</v>
      </c>
      <c r="F1393" s="32" t="n">
        <v>23.4</v>
      </c>
      <c r="G1393" s="32" t="n">
        <v>23.4</v>
      </c>
      <c r="H1393" s="31" t="s">
        <v>45</v>
      </c>
      <c r="I1393" s="31" t="s">
        <v>58</v>
      </c>
      <c r="J1393" s="31" t="s">
        <v>859</v>
      </c>
      <c r="K1393" s="31" t="s">
        <v>48</v>
      </c>
    </row>
    <row r="1394" customFormat="false" ht="15" hidden="false" customHeight="false" outlineLevel="0" collapsed="false">
      <c r="A1394" s="31" t="s">
        <v>1880</v>
      </c>
      <c r="B1394" s="31" t="s">
        <v>1882</v>
      </c>
      <c r="C1394" s="31" t="s">
        <v>44</v>
      </c>
      <c r="D1394" s="31" t="s">
        <v>44</v>
      </c>
      <c r="E1394" s="31" t="n">
        <v>1</v>
      </c>
      <c r="F1394" s="32" t="n">
        <v>4.95</v>
      </c>
      <c r="G1394" s="32" t="n">
        <v>4.95</v>
      </c>
      <c r="H1394" s="31" t="s">
        <v>45</v>
      </c>
      <c r="I1394" s="31" t="s">
        <v>58</v>
      </c>
      <c r="J1394" s="31" t="s">
        <v>859</v>
      </c>
      <c r="K1394" s="31" t="s">
        <v>48</v>
      </c>
    </row>
    <row r="1395" customFormat="false" ht="15" hidden="false" customHeight="false" outlineLevel="0" collapsed="false">
      <c r="A1395" s="31" t="s">
        <v>1883</v>
      </c>
      <c r="B1395" s="31" t="s">
        <v>1884</v>
      </c>
      <c r="C1395" s="31" t="s">
        <v>20</v>
      </c>
      <c r="D1395" s="31" t="s">
        <v>69</v>
      </c>
      <c r="E1395" s="31" t="n">
        <v>1</v>
      </c>
      <c r="F1395" s="32" t="n">
        <v>29</v>
      </c>
      <c r="G1395" s="32" t="n">
        <v>29</v>
      </c>
      <c r="H1395" s="31" t="s">
        <v>45</v>
      </c>
      <c r="I1395" s="31" t="s">
        <v>58</v>
      </c>
      <c r="J1395" s="31" t="s">
        <v>1579</v>
      </c>
      <c r="K1395" s="31" t="s">
        <v>48</v>
      </c>
    </row>
    <row r="1396" customFormat="false" ht="15" hidden="false" customHeight="false" outlineLevel="0" collapsed="false">
      <c r="A1396" s="31" t="s">
        <v>1883</v>
      </c>
      <c r="B1396" s="31" t="s">
        <v>1884</v>
      </c>
      <c r="C1396" s="31" t="s">
        <v>50</v>
      </c>
      <c r="D1396" s="31" t="s">
        <v>51</v>
      </c>
      <c r="E1396" s="31" t="n">
        <v>1</v>
      </c>
      <c r="F1396" s="32" t="n">
        <v>-15</v>
      </c>
      <c r="G1396" s="32" t="n">
        <v>-15</v>
      </c>
      <c r="H1396" s="31" t="s">
        <v>45</v>
      </c>
      <c r="I1396" s="31" t="s">
        <v>58</v>
      </c>
      <c r="J1396" s="31" t="s">
        <v>1579</v>
      </c>
      <c r="K1396" s="31" t="s">
        <v>48</v>
      </c>
    </row>
    <row r="1397" customFormat="false" ht="15" hidden="false" customHeight="false" outlineLevel="0" collapsed="false">
      <c r="A1397" s="31" t="s">
        <v>1883</v>
      </c>
      <c r="B1397" s="31" t="s">
        <v>1885</v>
      </c>
      <c r="C1397" s="31" t="s">
        <v>44</v>
      </c>
      <c r="D1397" s="31" t="s">
        <v>44</v>
      </c>
      <c r="E1397" s="31" t="n">
        <v>1</v>
      </c>
      <c r="F1397" s="32" t="n">
        <v>3.95</v>
      </c>
      <c r="G1397" s="32" t="n">
        <v>3.95</v>
      </c>
      <c r="H1397" s="31" t="s">
        <v>45</v>
      </c>
      <c r="I1397" s="31" t="s">
        <v>58</v>
      </c>
      <c r="J1397" s="31" t="s">
        <v>1579</v>
      </c>
      <c r="K1397" s="31" t="s">
        <v>48</v>
      </c>
    </row>
    <row r="1398" customFormat="false" ht="15" hidden="false" customHeight="false" outlineLevel="0" collapsed="false">
      <c r="A1398" s="31" t="s">
        <v>1883</v>
      </c>
      <c r="B1398" s="31" t="s">
        <v>1884</v>
      </c>
      <c r="C1398" s="31" t="s">
        <v>20</v>
      </c>
      <c r="D1398" s="31" t="s">
        <v>53</v>
      </c>
      <c r="E1398" s="31" t="n">
        <v>1</v>
      </c>
      <c r="F1398" s="32" t="n">
        <v>39</v>
      </c>
      <c r="G1398" s="32" t="n">
        <v>39</v>
      </c>
      <c r="H1398" s="31" t="s">
        <v>45</v>
      </c>
      <c r="I1398" s="31" t="s">
        <v>58</v>
      </c>
      <c r="J1398" s="31" t="s">
        <v>1579</v>
      </c>
      <c r="K1398" s="31" t="s">
        <v>48</v>
      </c>
    </row>
    <row r="1399" customFormat="false" ht="15" hidden="false" customHeight="false" outlineLevel="0" collapsed="false">
      <c r="A1399" s="31" t="s">
        <v>1886</v>
      </c>
      <c r="B1399" s="31" t="s">
        <v>1887</v>
      </c>
      <c r="C1399" s="31" t="s">
        <v>20</v>
      </c>
      <c r="D1399" s="31" t="s">
        <v>78</v>
      </c>
      <c r="E1399" s="31" t="n">
        <v>2</v>
      </c>
      <c r="F1399" s="32" t="n">
        <v>89</v>
      </c>
      <c r="G1399" s="32" t="n">
        <v>178</v>
      </c>
      <c r="H1399" s="31" t="s">
        <v>57</v>
      </c>
      <c r="I1399" s="31" t="s">
        <v>58</v>
      </c>
      <c r="J1399" s="31" t="s">
        <v>1888</v>
      </c>
      <c r="K1399" s="31" t="s">
        <v>48</v>
      </c>
    </row>
    <row r="1400" customFormat="false" ht="15" hidden="false" customHeight="false" outlineLevel="0" collapsed="false">
      <c r="A1400" s="31" t="s">
        <v>1886</v>
      </c>
      <c r="B1400" s="31" t="s">
        <v>1887</v>
      </c>
      <c r="C1400" s="31" t="s">
        <v>20</v>
      </c>
      <c r="D1400" s="31" t="s">
        <v>78</v>
      </c>
      <c r="E1400" s="31" t="n">
        <v>2</v>
      </c>
      <c r="F1400" s="32" t="n">
        <v>89</v>
      </c>
      <c r="G1400" s="32" t="n">
        <v>178</v>
      </c>
      <c r="H1400" s="31" t="s">
        <v>57</v>
      </c>
      <c r="I1400" s="31" t="s">
        <v>58</v>
      </c>
      <c r="J1400" s="31" t="s">
        <v>1888</v>
      </c>
      <c r="K1400" s="31" t="s">
        <v>48</v>
      </c>
    </row>
    <row r="1401" customFormat="false" ht="15" hidden="false" customHeight="false" outlineLevel="0" collapsed="false">
      <c r="A1401" s="31" t="s">
        <v>1886</v>
      </c>
      <c r="B1401" s="31" t="s">
        <v>1887</v>
      </c>
      <c r="C1401" s="31" t="s">
        <v>20</v>
      </c>
      <c r="D1401" s="31" t="s">
        <v>56</v>
      </c>
      <c r="E1401" s="31" t="n">
        <v>1</v>
      </c>
      <c r="F1401" s="32" t="n">
        <v>45</v>
      </c>
      <c r="G1401" s="32" t="n">
        <v>45</v>
      </c>
      <c r="H1401" s="31" t="s">
        <v>57</v>
      </c>
      <c r="I1401" s="31" t="s">
        <v>58</v>
      </c>
      <c r="J1401" s="31" t="s">
        <v>1888</v>
      </c>
      <c r="K1401" s="31" t="s">
        <v>48</v>
      </c>
    </row>
    <row r="1402" customFormat="false" ht="15" hidden="false" customHeight="false" outlineLevel="0" collapsed="false">
      <c r="A1402" s="31" t="s">
        <v>1886</v>
      </c>
      <c r="B1402" s="31" t="s">
        <v>1889</v>
      </c>
      <c r="C1402" s="31" t="s">
        <v>44</v>
      </c>
      <c r="D1402" s="31" t="s">
        <v>44</v>
      </c>
      <c r="E1402" s="31" t="n">
        <v>1</v>
      </c>
      <c r="F1402" s="32" t="n">
        <v>5.95</v>
      </c>
      <c r="G1402" s="32" t="n">
        <v>5.95</v>
      </c>
      <c r="H1402" s="31" t="s">
        <v>57</v>
      </c>
      <c r="I1402" s="31" t="s">
        <v>58</v>
      </c>
      <c r="J1402" s="31" t="s">
        <v>1888</v>
      </c>
      <c r="K1402" s="31" t="s">
        <v>48</v>
      </c>
    </row>
    <row r="1403" customFormat="false" ht="15" hidden="false" customHeight="false" outlineLevel="0" collapsed="false">
      <c r="A1403" s="31" t="s">
        <v>1886</v>
      </c>
      <c r="B1403" s="31" t="s">
        <v>1887</v>
      </c>
      <c r="C1403" s="31" t="s">
        <v>20</v>
      </c>
      <c r="D1403" s="31" t="s">
        <v>73</v>
      </c>
      <c r="E1403" s="31" t="n">
        <v>1</v>
      </c>
      <c r="F1403" s="32" t="n">
        <v>69</v>
      </c>
      <c r="G1403" s="32" t="n">
        <v>69</v>
      </c>
      <c r="H1403" s="31" t="s">
        <v>57</v>
      </c>
      <c r="I1403" s="31" t="s">
        <v>58</v>
      </c>
      <c r="J1403" s="31" t="s">
        <v>1888</v>
      </c>
      <c r="K1403" s="31" t="s">
        <v>48</v>
      </c>
    </row>
    <row r="1404" customFormat="false" ht="15" hidden="false" customHeight="false" outlineLevel="0" collapsed="false">
      <c r="A1404" s="31" t="s">
        <v>1886</v>
      </c>
      <c r="B1404" s="31" t="s">
        <v>1887</v>
      </c>
      <c r="C1404" s="31" t="s">
        <v>20</v>
      </c>
      <c r="D1404" s="31" t="s">
        <v>73</v>
      </c>
      <c r="E1404" s="31" t="n">
        <v>1</v>
      </c>
      <c r="F1404" s="32" t="n">
        <v>69</v>
      </c>
      <c r="G1404" s="32" t="n">
        <v>69</v>
      </c>
      <c r="H1404" s="31" t="s">
        <v>57</v>
      </c>
      <c r="I1404" s="31" t="s">
        <v>58</v>
      </c>
      <c r="J1404" s="31" t="s">
        <v>1888</v>
      </c>
      <c r="K1404" s="31" t="s">
        <v>48</v>
      </c>
    </row>
    <row r="1405" customFormat="false" ht="15" hidden="false" customHeight="false" outlineLevel="0" collapsed="false">
      <c r="A1405" s="31" t="s">
        <v>1890</v>
      </c>
      <c r="B1405" s="31" t="s">
        <v>1891</v>
      </c>
      <c r="C1405" s="31" t="s">
        <v>20</v>
      </c>
      <c r="D1405" s="31" t="s">
        <v>73</v>
      </c>
      <c r="E1405" s="31" t="n">
        <v>1</v>
      </c>
      <c r="F1405" s="32" t="n">
        <v>69</v>
      </c>
      <c r="G1405" s="32" t="n">
        <v>69</v>
      </c>
      <c r="H1405" s="31" t="s">
        <v>45</v>
      </c>
      <c r="I1405" s="31" t="s">
        <v>58</v>
      </c>
      <c r="J1405" s="31" t="s">
        <v>1892</v>
      </c>
      <c r="K1405" s="31" t="s">
        <v>48</v>
      </c>
    </row>
    <row r="1406" customFormat="false" ht="15" hidden="false" customHeight="false" outlineLevel="0" collapsed="false">
      <c r="A1406" s="31" t="s">
        <v>1890</v>
      </c>
      <c r="B1406" s="31" t="s">
        <v>1891</v>
      </c>
      <c r="C1406" s="31" t="s">
        <v>20</v>
      </c>
      <c r="D1406" s="31" t="s">
        <v>53</v>
      </c>
      <c r="E1406" s="31" t="n">
        <v>1</v>
      </c>
      <c r="F1406" s="32" t="n">
        <v>39</v>
      </c>
      <c r="G1406" s="32" t="n">
        <v>39</v>
      </c>
      <c r="H1406" s="31" t="s">
        <v>45</v>
      </c>
      <c r="I1406" s="31" t="s">
        <v>58</v>
      </c>
      <c r="J1406" s="31" t="s">
        <v>1892</v>
      </c>
      <c r="K1406" s="31" t="s">
        <v>48</v>
      </c>
    </row>
    <row r="1407" customFormat="false" ht="15" hidden="false" customHeight="false" outlineLevel="0" collapsed="false">
      <c r="A1407" s="31" t="s">
        <v>1890</v>
      </c>
      <c r="B1407" s="31" t="s">
        <v>1893</v>
      </c>
      <c r="C1407" s="31" t="s">
        <v>44</v>
      </c>
      <c r="D1407" s="31" t="s">
        <v>44</v>
      </c>
      <c r="E1407" s="31" t="n">
        <v>1</v>
      </c>
      <c r="F1407" s="32" t="n">
        <v>5.95</v>
      </c>
      <c r="G1407" s="32" t="n">
        <v>5.95</v>
      </c>
      <c r="H1407" s="31" t="s">
        <v>45</v>
      </c>
      <c r="I1407" s="31" t="s">
        <v>58</v>
      </c>
      <c r="J1407" s="31" t="s">
        <v>1892</v>
      </c>
      <c r="K1407" s="31" t="s">
        <v>48</v>
      </c>
    </row>
    <row r="1408" customFormat="false" ht="15" hidden="false" customHeight="false" outlineLevel="0" collapsed="false">
      <c r="A1408" s="31" t="s">
        <v>1894</v>
      </c>
      <c r="B1408" s="31" t="s">
        <v>1895</v>
      </c>
      <c r="C1408" s="31" t="s">
        <v>44</v>
      </c>
      <c r="D1408" s="31" t="s">
        <v>44</v>
      </c>
      <c r="E1408" s="31" t="n">
        <v>1</v>
      </c>
      <c r="F1408" s="32" t="n">
        <v>0</v>
      </c>
      <c r="G1408" s="32" t="n">
        <v>0</v>
      </c>
      <c r="H1408" s="31" t="s">
        <v>145</v>
      </c>
      <c r="I1408" s="31" t="s">
        <v>58</v>
      </c>
      <c r="J1408" s="31"/>
      <c r="K1408" s="31" t="s">
        <v>48</v>
      </c>
    </row>
    <row r="1409" customFormat="false" ht="15" hidden="false" customHeight="false" outlineLevel="0" collapsed="false">
      <c r="A1409" s="31" t="s">
        <v>1894</v>
      </c>
      <c r="B1409" s="31" t="s">
        <v>1895</v>
      </c>
      <c r="C1409" s="31" t="s">
        <v>20</v>
      </c>
      <c r="D1409" s="31" t="s">
        <v>87</v>
      </c>
      <c r="E1409" s="31" t="n">
        <v>1</v>
      </c>
      <c r="F1409" s="32" t="n">
        <v>35</v>
      </c>
      <c r="G1409" s="32" t="n">
        <v>35</v>
      </c>
      <c r="H1409" s="31" t="s">
        <v>145</v>
      </c>
      <c r="I1409" s="31" t="s">
        <v>58</v>
      </c>
      <c r="J1409" s="31"/>
      <c r="K1409" s="31" t="s">
        <v>48</v>
      </c>
    </row>
    <row r="1410" customFormat="false" ht="15" hidden="false" customHeight="false" outlineLevel="0" collapsed="false">
      <c r="A1410" s="31" t="s">
        <v>1801</v>
      </c>
      <c r="B1410" s="31" t="s">
        <v>1896</v>
      </c>
      <c r="C1410" s="31" t="s">
        <v>20</v>
      </c>
      <c r="D1410" s="31" t="s">
        <v>63</v>
      </c>
      <c r="E1410" s="31" t="n">
        <v>-1</v>
      </c>
      <c r="F1410" s="32" t="n">
        <v>14</v>
      </c>
      <c r="G1410" s="32" t="n">
        <v>-14</v>
      </c>
      <c r="H1410" s="31" t="s">
        <v>45</v>
      </c>
      <c r="I1410" s="31" t="s">
        <v>58</v>
      </c>
      <c r="J1410" s="31" t="s">
        <v>1803</v>
      </c>
      <c r="K1410" s="31" t="s">
        <v>243</v>
      </c>
    </row>
    <row r="1411" customFormat="false" ht="15" hidden="false" customHeight="false" outlineLevel="0" collapsed="false">
      <c r="A1411" s="31" t="s">
        <v>1897</v>
      </c>
      <c r="B1411" s="31" t="s">
        <v>1898</v>
      </c>
      <c r="C1411" s="31" t="s">
        <v>20</v>
      </c>
      <c r="D1411" s="31" t="s">
        <v>69</v>
      </c>
      <c r="E1411" s="31" t="n">
        <v>2</v>
      </c>
      <c r="F1411" s="32" t="n">
        <v>29</v>
      </c>
      <c r="G1411" s="32" t="n">
        <v>58</v>
      </c>
      <c r="H1411" s="31" t="s">
        <v>57</v>
      </c>
      <c r="I1411" s="31" t="s">
        <v>58</v>
      </c>
      <c r="J1411" s="31" t="s">
        <v>1899</v>
      </c>
      <c r="K1411" s="31" t="s">
        <v>48</v>
      </c>
    </row>
    <row r="1412" customFormat="false" ht="15" hidden="false" customHeight="false" outlineLevel="0" collapsed="false">
      <c r="A1412" s="31" t="s">
        <v>1897</v>
      </c>
      <c r="B1412" s="31" t="s">
        <v>1900</v>
      </c>
      <c r="C1412" s="31" t="s">
        <v>20</v>
      </c>
      <c r="D1412" s="31" t="s">
        <v>63</v>
      </c>
      <c r="E1412" s="31" t="n">
        <v>1</v>
      </c>
      <c r="F1412" s="32" t="n">
        <v>14</v>
      </c>
      <c r="G1412" s="32" t="n">
        <v>14</v>
      </c>
      <c r="H1412" s="31" t="s">
        <v>57</v>
      </c>
      <c r="I1412" s="31" t="s">
        <v>58</v>
      </c>
      <c r="J1412" s="31" t="s">
        <v>1899</v>
      </c>
      <c r="K1412" s="31" t="s">
        <v>48</v>
      </c>
    </row>
    <row r="1413" customFormat="false" ht="15" hidden="false" customHeight="false" outlineLevel="0" collapsed="false">
      <c r="A1413" s="31" t="s">
        <v>1897</v>
      </c>
      <c r="B1413" s="31" t="s">
        <v>1898</v>
      </c>
      <c r="C1413" s="31" t="s">
        <v>20</v>
      </c>
      <c r="D1413" s="31" t="s">
        <v>123</v>
      </c>
      <c r="E1413" s="31" t="n">
        <v>2</v>
      </c>
      <c r="F1413" s="32" t="n">
        <v>75</v>
      </c>
      <c r="G1413" s="32" t="n">
        <v>150</v>
      </c>
      <c r="H1413" s="31" t="s">
        <v>57</v>
      </c>
      <c r="I1413" s="31" t="s">
        <v>58</v>
      </c>
      <c r="J1413" s="31" t="s">
        <v>1899</v>
      </c>
      <c r="K1413" s="31" t="s">
        <v>48</v>
      </c>
    </row>
    <row r="1414" customFormat="false" ht="15" hidden="false" customHeight="false" outlineLevel="0" collapsed="false">
      <c r="A1414" s="31" t="s">
        <v>1901</v>
      </c>
      <c r="B1414" s="31" t="s">
        <v>1902</v>
      </c>
      <c r="C1414" s="31" t="s">
        <v>20</v>
      </c>
      <c r="D1414" s="31" t="s">
        <v>53</v>
      </c>
      <c r="E1414" s="31" t="n">
        <v>1</v>
      </c>
      <c r="F1414" s="32" t="n">
        <v>39</v>
      </c>
      <c r="G1414" s="32" t="n">
        <v>39</v>
      </c>
      <c r="H1414" s="31" t="s">
        <v>45</v>
      </c>
      <c r="I1414" s="31" t="s">
        <v>58</v>
      </c>
      <c r="J1414" s="31" t="s">
        <v>1498</v>
      </c>
      <c r="K1414" s="31" t="s">
        <v>48</v>
      </c>
    </row>
    <row r="1415" customFormat="false" ht="15" hidden="false" customHeight="false" outlineLevel="0" collapsed="false">
      <c r="A1415" s="31" t="s">
        <v>1903</v>
      </c>
      <c r="B1415" s="31" t="s">
        <v>1904</v>
      </c>
      <c r="C1415" s="31" t="s">
        <v>20</v>
      </c>
      <c r="D1415" s="31" t="s">
        <v>56</v>
      </c>
      <c r="E1415" s="31" t="n">
        <v>1</v>
      </c>
      <c r="F1415" s="32" t="n">
        <v>45</v>
      </c>
      <c r="G1415" s="32" t="n">
        <v>45</v>
      </c>
      <c r="H1415" s="31" t="s">
        <v>45</v>
      </c>
      <c r="I1415" s="31" t="s">
        <v>58</v>
      </c>
      <c r="J1415" s="31" t="s">
        <v>391</v>
      </c>
      <c r="K1415" s="31" t="s">
        <v>48</v>
      </c>
    </row>
    <row r="1416" customFormat="false" ht="15" hidden="false" customHeight="false" outlineLevel="0" collapsed="false">
      <c r="A1416" s="31" t="s">
        <v>1905</v>
      </c>
      <c r="B1416" s="31" t="s">
        <v>1906</v>
      </c>
      <c r="C1416" s="31" t="s">
        <v>20</v>
      </c>
      <c r="D1416" s="31" t="s">
        <v>52</v>
      </c>
      <c r="E1416" s="31" t="n">
        <v>1</v>
      </c>
      <c r="F1416" s="32" t="n">
        <v>22</v>
      </c>
      <c r="G1416" s="32" t="n">
        <v>22</v>
      </c>
      <c r="H1416" s="31" t="s">
        <v>45</v>
      </c>
      <c r="I1416" s="31" t="s">
        <v>58</v>
      </c>
      <c r="J1416" s="31" t="s">
        <v>1907</v>
      </c>
      <c r="K1416" s="31" t="s">
        <v>48</v>
      </c>
    </row>
    <row r="1417" customFormat="false" ht="15" hidden="false" customHeight="false" outlineLevel="0" collapsed="false">
      <c r="A1417" s="31" t="s">
        <v>1908</v>
      </c>
      <c r="B1417" s="31" t="s">
        <v>1909</v>
      </c>
      <c r="C1417" s="31" t="s">
        <v>50</v>
      </c>
      <c r="D1417" s="31" t="s">
        <v>51</v>
      </c>
      <c r="E1417" s="31" t="n">
        <v>1</v>
      </c>
      <c r="F1417" s="32" t="n">
        <v>-5</v>
      </c>
      <c r="G1417" s="32" t="n">
        <v>-5</v>
      </c>
      <c r="H1417" s="31" t="s">
        <v>45</v>
      </c>
      <c r="I1417" s="31" t="s">
        <v>46</v>
      </c>
      <c r="J1417" s="31" t="s">
        <v>1275</v>
      </c>
      <c r="K1417" s="31" t="s">
        <v>48</v>
      </c>
    </row>
    <row r="1418" customFormat="false" ht="15" hidden="false" customHeight="false" outlineLevel="0" collapsed="false">
      <c r="A1418" s="31" t="s">
        <v>1908</v>
      </c>
      <c r="B1418" s="31" t="s">
        <v>1910</v>
      </c>
      <c r="C1418" s="31" t="s">
        <v>20</v>
      </c>
      <c r="D1418" s="31" t="s">
        <v>53</v>
      </c>
      <c r="E1418" s="31" t="n">
        <v>1</v>
      </c>
      <c r="F1418" s="32" t="n">
        <v>39</v>
      </c>
      <c r="G1418" s="32" t="n">
        <v>39</v>
      </c>
      <c r="H1418" s="31" t="s">
        <v>45</v>
      </c>
      <c r="I1418" s="31" t="s">
        <v>46</v>
      </c>
      <c r="J1418" s="31" t="s">
        <v>1275</v>
      </c>
      <c r="K1418" s="31" t="s">
        <v>48</v>
      </c>
    </row>
    <row r="1419" customFormat="false" ht="15" hidden="false" customHeight="false" outlineLevel="0" collapsed="false">
      <c r="A1419" s="31" t="s">
        <v>1908</v>
      </c>
      <c r="B1419" s="31" t="s">
        <v>1910</v>
      </c>
      <c r="C1419" s="31" t="s">
        <v>44</v>
      </c>
      <c r="D1419" s="31" t="s">
        <v>44</v>
      </c>
      <c r="E1419" s="31" t="n">
        <v>1</v>
      </c>
      <c r="F1419" s="32" t="n">
        <v>0</v>
      </c>
      <c r="G1419" s="32" t="n">
        <v>0</v>
      </c>
      <c r="H1419" s="31" t="s">
        <v>45</v>
      </c>
      <c r="I1419" s="31" t="s">
        <v>46</v>
      </c>
      <c r="J1419" s="31" t="s">
        <v>1275</v>
      </c>
      <c r="K1419" s="31" t="s">
        <v>48</v>
      </c>
    </row>
    <row r="1420" customFormat="false" ht="15" hidden="false" customHeight="false" outlineLevel="0" collapsed="false">
      <c r="A1420" s="31" t="s">
        <v>1908</v>
      </c>
      <c r="B1420" s="31" t="s">
        <v>1910</v>
      </c>
      <c r="C1420" s="31" t="s">
        <v>20</v>
      </c>
      <c r="D1420" s="31" t="s">
        <v>78</v>
      </c>
      <c r="E1420" s="31" t="n">
        <v>1</v>
      </c>
      <c r="F1420" s="32" t="n">
        <v>89</v>
      </c>
      <c r="G1420" s="32" t="n">
        <v>89</v>
      </c>
      <c r="H1420" s="31" t="s">
        <v>45</v>
      </c>
      <c r="I1420" s="31" t="s">
        <v>46</v>
      </c>
      <c r="J1420" s="31" t="s">
        <v>1275</v>
      </c>
      <c r="K1420" s="31" t="s">
        <v>48</v>
      </c>
    </row>
    <row r="1421" customFormat="false" ht="15" hidden="false" customHeight="false" outlineLevel="0" collapsed="false">
      <c r="A1421" s="31" t="s">
        <v>1911</v>
      </c>
      <c r="B1421" s="31" t="s">
        <v>1912</v>
      </c>
      <c r="C1421" s="31" t="s">
        <v>20</v>
      </c>
      <c r="D1421" s="31" t="s">
        <v>78</v>
      </c>
      <c r="E1421" s="31" t="n">
        <v>1</v>
      </c>
      <c r="F1421" s="32" t="n">
        <v>89</v>
      </c>
      <c r="G1421" s="32" t="n">
        <v>89</v>
      </c>
      <c r="H1421" s="31" t="s">
        <v>57</v>
      </c>
      <c r="I1421" s="31" t="s">
        <v>58</v>
      </c>
      <c r="J1421" s="31" t="s">
        <v>1913</v>
      </c>
      <c r="K1421" s="31" t="s">
        <v>48</v>
      </c>
    </row>
    <row r="1422" customFormat="false" ht="15" hidden="false" customHeight="false" outlineLevel="0" collapsed="false">
      <c r="A1422" s="31" t="s">
        <v>1911</v>
      </c>
      <c r="B1422" s="31" t="s">
        <v>1914</v>
      </c>
      <c r="C1422" s="31" t="s">
        <v>44</v>
      </c>
      <c r="D1422" s="31" t="s">
        <v>44</v>
      </c>
      <c r="E1422" s="31" t="n">
        <v>1</v>
      </c>
      <c r="F1422" s="32" t="n">
        <v>5.95</v>
      </c>
      <c r="G1422" s="32" t="n">
        <v>5.95</v>
      </c>
      <c r="H1422" s="31" t="s">
        <v>57</v>
      </c>
      <c r="I1422" s="31" t="s">
        <v>58</v>
      </c>
      <c r="J1422" s="31" t="s">
        <v>1913</v>
      </c>
      <c r="K1422" s="31" t="s">
        <v>48</v>
      </c>
    </row>
    <row r="1423" customFormat="false" ht="15" hidden="false" customHeight="false" outlineLevel="0" collapsed="false">
      <c r="A1423" s="31" t="s">
        <v>1911</v>
      </c>
      <c r="B1423" s="31" t="s">
        <v>1912</v>
      </c>
      <c r="C1423" s="31" t="s">
        <v>20</v>
      </c>
      <c r="D1423" s="31" t="s">
        <v>66</v>
      </c>
      <c r="E1423" s="31" t="n">
        <v>2</v>
      </c>
      <c r="F1423" s="32" t="n">
        <v>32</v>
      </c>
      <c r="G1423" s="32" t="n">
        <v>64</v>
      </c>
      <c r="H1423" s="31" t="s">
        <v>57</v>
      </c>
      <c r="I1423" s="31" t="s">
        <v>58</v>
      </c>
      <c r="J1423" s="31" t="s">
        <v>1913</v>
      </c>
      <c r="K1423" s="31" t="s">
        <v>48</v>
      </c>
    </row>
    <row r="1424" customFormat="false" ht="15" hidden="false" customHeight="false" outlineLevel="0" collapsed="false">
      <c r="A1424" s="31" t="s">
        <v>1836</v>
      </c>
      <c r="B1424" s="31" t="s">
        <v>1915</v>
      </c>
      <c r="C1424" s="31" t="s">
        <v>20</v>
      </c>
      <c r="D1424" s="31" t="s">
        <v>78</v>
      </c>
      <c r="E1424" s="31" t="n">
        <v>-1</v>
      </c>
      <c r="F1424" s="32" t="n">
        <v>89</v>
      </c>
      <c r="G1424" s="32" t="n">
        <v>-89</v>
      </c>
      <c r="H1424" s="31" t="s">
        <v>45</v>
      </c>
      <c r="I1424" s="31" t="s">
        <v>58</v>
      </c>
      <c r="J1424" s="31" t="s">
        <v>375</v>
      </c>
      <c r="K1424" s="31" t="s">
        <v>243</v>
      </c>
    </row>
    <row r="1425" customFormat="false" ht="15" hidden="false" customHeight="false" outlineLevel="0" collapsed="false">
      <c r="A1425" s="31" t="s">
        <v>1916</v>
      </c>
      <c r="B1425" s="31" t="s">
        <v>1917</v>
      </c>
      <c r="C1425" s="31" t="s">
        <v>44</v>
      </c>
      <c r="D1425" s="31" t="s">
        <v>44</v>
      </c>
      <c r="E1425" s="31" t="n">
        <v>1</v>
      </c>
      <c r="F1425" s="32" t="n">
        <v>0</v>
      </c>
      <c r="G1425" s="32" t="n">
        <v>0</v>
      </c>
      <c r="H1425" s="31" t="s">
        <v>45</v>
      </c>
      <c r="I1425" s="31" t="s">
        <v>58</v>
      </c>
      <c r="J1425" s="31" t="s">
        <v>1918</v>
      </c>
      <c r="K1425" s="31" t="s">
        <v>48</v>
      </c>
    </row>
    <row r="1426" customFormat="false" ht="15" hidden="false" customHeight="false" outlineLevel="0" collapsed="false">
      <c r="A1426" s="31" t="s">
        <v>1916</v>
      </c>
      <c r="B1426" s="31" t="s">
        <v>1917</v>
      </c>
      <c r="C1426" s="31" t="s">
        <v>44</v>
      </c>
      <c r="D1426" s="31" t="s">
        <v>44</v>
      </c>
      <c r="E1426" s="31" t="n">
        <v>1</v>
      </c>
      <c r="F1426" s="32" t="n">
        <v>0</v>
      </c>
      <c r="G1426" s="32" t="n">
        <v>0</v>
      </c>
      <c r="H1426" s="31" t="s">
        <v>45</v>
      </c>
      <c r="I1426" s="31" t="s">
        <v>58</v>
      </c>
      <c r="J1426" s="31" t="s">
        <v>1918</v>
      </c>
      <c r="K1426" s="31" t="s">
        <v>48</v>
      </c>
    </row>
    <row r="1427" customFormat="false" ht="15" hidden="false" customHeight="false" outlineLevel="0" collapsed="false">
      <c r="A1427" s="31" t="s">
        <v>1916</v>
      </c>
      <c r="B1427" s="31" t="s">
        <v>1919</v>
      </c>
      <c r="C1427" s="31" t="s">
        <v>20</v>
      </c>
      <c r="D1427" s="31" t="s">
        <v>66</v>
      </c>
      <c r="E1427" s="31" t="n">
        <v>1</v>
      </c>
      <c r="F1427" s="32" t="n">
        <v>32</v>
      </c>
      <c r="G1427" s="32" t="n">
        <v>32</v>
      </c>
      <c r="H1427" s="31" t="s">
        <v>45</v>
      </c>
      <c r="I1427" s="31" t="s">
        <v>58</v>
      </c>
      <c r="J1427" s="31" t="s">
        <v>1918</v>
      </c>
      <c r="K1427" s="31" t="s">
        <v>48</v>
      </c>
    </row>
    <row r="1428" customFormat="false" ht="15" hidden="false" customHeight="false" outlineLevel="0" collapsed="false">
      <c r="A1428" s="31" t="s">
        <v>1920</v>
      </c>
      <c r="B1428" s="31" t="s">
        <v>1921</v>
      </c>
      <c r="C1428" s="31" t="s">
        <v>20</v>
      </c>
      <c r="D1428" s="31" t="s">
        <v>63</v>
      </c>
      <c r="E1428" s="31" t="n">
        <v>1</v>
      </c>
      <c r="F1428" s="32" t="n">
        <v>14</v>
      </c>
      <c r="G1428" s="32" t="n">
        <v>14</v>
      </c>
      <c r="H1428" s="31" t="s">
        <v>45</v>
      </c>
      <c r="I1428" s="31" t="s">
        <v>58</v>
      </c>
      <c r="J1428" s="31"/>
      <c r="K1428" s="31" t="s">
        <v>48</v>
      </c>
    </row>
    <row r="1429" customFormat="false" ht="15" hidden="false" customHeight="false" outlineLevel="0" collapsed="false">
      <c r="A1429" s="31" t="s">
        <v>1920</v>
      </c>
      <c r="B1429" s="31" t="s">
        <v>1921</v>
      </c>
      <c r="C1429" s="31" t="s">
        <v>20</v>
      </c>
      <c r="D1429" s="31" t="s">
        <v>52</v>
      </c>
      <c r="E1429" s="31" t="n">
        <v>1</v>
      </c>
      <c r="F1429" s="32" t="n">
        <v>22</v>
      </c>
      <c r="G1429" s="32" t="n">
        <v>22</v>
      </c>
      <c r="H1429" s="31" t="s">
        <v>45</v>
      </c>
      <c r="I1429" s="31" t="s">
        <v>58</v>
      </c>
      <c r="J1429" s="31"/>
      <c r="K1429" s="31" t="s">
        <v>48</v>
      </c>
    </row>
    <row r="1430" customFormat="false" ht="15" hidden="false" customHeight="false" outlineLevel="0" collapsed="false">
      <c r="A1430" s="31" t="s">
        <v>1922</v>
      </c>
      <c r="B1430" s="31" t="s">
        <v>1923</v>
      </c>
      <c r="C1430" s="31" t="s">
        <v>20</v>
      </c>
      <c r="D1430" s="31" t="s">
        <v>87</v>
      </c>
      <c r="E1430" s="31" t="n">
        <v>1</v>
      </c>
      <c r="F1430" s="32" t="n">
        <v>35</v>
      </c>
      <c r="G1430" s="32" t="n">
        <v>35</v>
      </c>
      <c r="H1430" s="31" t="s">
        <v>45</v>
      </c>
      <c r="I1430" s="31" t="s">
        <v>58</v>
      </c>
      <c r="J1430" s="31" t="s">
        <v>1310</v>
      </c>
      <c r="K1430" s="31" t="s">
        <v>48</v>
      </c>
    </row>
    <row r="1431" customFormat="false" ht="15" hidden="false" customHeight="false" outlineLevel="0" collapsed="false">
      <c r="A1431" s="31" t="s">
        <v>1922</v>
      </c>
      <c r="B1431" s="31" t="s">
        <v>1923</v>
      </c>
      <c r="C1431" s="31" t="s">
        <v>20</v>
      </c>
      <c r="D1431" s="31" t="s">
        <v>52</v>
      </c>
      <c r="E1431" s="31" t="n">
        <v>2</v>
      </c>
      <c r="F1431" s="32" t="n">
        <v>22</v>
      </c>
      <c r="G1431" s="32" t="n">
        <v>44</v>
      </c>
      <c r="H1431" s="31" t="s">
        <v>45</v>
      </c>
      <c r="I1431" s="31" t="s">
        <v>58</v>
      </c>
      <c r="J1431" s="31" t="s">
        <v>1310</v>
      </c>
      <c r="K1431" s="31" t="s">
        <v>202</v>
      </c>
    </row>
    <row r="1432" customFormat="false" ht="15" hidden="false" customHeight="false" outlineLevel="0" collapsed="false">
      <c r="A1432" s="31" t="s">
        <v>1922</v>
      </c>
      <c r="B1432" s="31" t="s">
        <v>1924</v>
      </c>
      <c r="C1432" s="31" t="s">
        <v>44</v>
      </c>
      <c r="D1432" s="31" t="s">
        <v>44</v>
      </c>
      <c r="E1432" s="31" t="n">
        <v>1</v>
      </c>
      <c r="F1432" s="32" t="n">
        <v>4.95</v>
      </c>
      <c r="G1432" s="32" t="n">
        <v>4.95</v>
      </c>
      <c r="H1432" s="31" t="s">
        <v>45</v>
      </c>
      <c r="I1432" s="31" t="s">
        <v>58</v>
      </c>
      <c r="J1432" s="31" t="s">
        <v>1310</v>
      </c>
      <c r="K1432" s="31" t="s">
        <v>48</v>
      </c>
    </row>
    <row r="1433" customFormat="false" ht="15" hidden="false" customHeight="false" outlineLevel="0" collapsed="false">
      <c r="A1433" s="31" t="s">
        <v>1925</v>
      </c>
      <c r="B1433" s="31" t="s">
        <v>1926</v>
      </c>
      <c r="C1433" s="31" t="s">
        <v>20</v>
      </c>
      <c r="D1433" s="31" t="s">
        <v>56</v>
      </c>
      <c r="E1433" s="31" t="n">
        <v>1</v>
      </c>
      <c r="F1433" s="32" t="n">
        <v>45</v>
      </c>
      <c r="G1433" s="32" t="n">
        <v>45</v>
      </c>
      <c r="H1433" s="31" t="s">
        <v>57</v>
      </c>
      <c r="I1433" s="31" t="s">
        <v>104</v>
      </c>
      <c r="J1433" s="31" t="s">
        <v>1561</v>
      </c>
      <c r="K1433" s="31" t="s">
        <v>48</v>
      </c>
    </row>
    <row r="1434" customFormat="false" ht="15" hidden="false" customHeight="false" outlineLevel="0" collapsed="false">
      <c r="A1434" s="31" t="s">
        <v>1927</v>
      </c>
      <c r="B1434" s="31" t="s">
        <v>1928</v>
      </c>
      <c r="C1434" s="31" t="s">
        <v>44</v>
      </c>
      <c r="D1434" s="31" t="s">
        <v>44</v>
      </c>
      <c r="E1434" s="31" t="n">
        <v>1</v>
      </c>
      <c r="F1434" s="32" t="n">
        <v>3.95</v>
      </c>
      <c r="G1434" s="32" t="n">
        <v>3.95</v>
      </c>
      <c r="H1434" s="31" t="s">
        <v>145</v>
      </c>
      <c r="I1434" s="31" t="s">
        <v>104</v>
      </c>
      <c r="J1434" s="31" t="s">
        <v>1929</v>
      </c>
      <c r="K1434" s="31" t="s">
        <v>48</v>
      </c>
    </row>
    <row r="1435" customFormat="false" ht="15" hidden="false" customHeight="false" outlineLevel="0" collapsed="false">
      <c r="A1435" s="31" t="s">
        <v>1927</v>
      </c>
      <c r="B1435" s="31" t="s">
        <v>1928</v>
      </c>
      <c r="C1435" s="31" t="s">
        <v>20</v>
      </c>
      <c r="D1435" s="31" t="s">
        <v>53</v>
      </c>
      <c r="E1435" s="31" t="n">
        <v>2</v>
      </c>
      <c r="F1435" s="32" t="n">
        <v>39</v>
      </c>
      <c r="G1435" s="32" t="n">
        <v>78</v>
      </c>
      <c r="H1435" s="31" t="s">
        <v>145</v>
      </c>
      <c r="I1435" s="31" t="s">
        <v>104</v>
      </c>
      <c r="J1435" s="31" t="s">
        <v>1929</v>
      </c>
      <c r="K1435" s="31" t="s">
        <v>48</v>
      </c>
    </row>
    <row r="1436" customFormat="false" ht="15" hidden="false" customHeight="false" outlineLevel="0" collapsed="false">
      <c r="A1436" s="31" t="s">
        <v>1927</v>
      </c>
      <c r="B1436" s="31" t="s">
        <v>1928</v>
      </c>
      <c r="C1436" s="31" t="s">
        <v>20</v>
      </c>
      <c r="D1436" s="31" t="s">
        <v>78</v>
      </c>
      <c r="E1436" s="31" t="n">
        <v>1</v>
      </c>
      <c r="F1436" s="32" t="n">
        <v>89</v>
      </c>
      <c r="G1436" s="32" t="n">
        <v>89</v>
      </c>
      <c r="H1436" s="31" t="s">
        <v>145</v>
      </c>
      <c r="I1436" s="31" t="s">
        <v>104</v>
      </c>
      <c r="J1436" s="31" t="s">
        <v>1929</v>
      </c>
      <c r="K1436" s="31" t="s">
        <v>48</v>
      </c>
    </row>
    <row r="1437" customFormat="false" ht="15" hidden="false" customHeight="false" outlineLevel="0" collapsed="false">
      <c r="A1437" s="31" t="s">
        <v>1927</v>
      </c>
      <c r="B1437" s="31" t="s">
        <v>1930</v>
      </c>
      <c r="C1437" s="31" t="s">
        <v>20</v>
      </c>
      <c r="D1437" s="31" t="s">
        <v>56</v>
      </c>
      <c r="E1437" s="31" t="n">
        <v>1</v>
      </c>
      <c r="F1437" s="32" t="n">
        <v>45</v>
      </c>
      <c r="G1437" s="32" t="n">
        <v>45</v>
      </c>
      <c r="H1437" s="31" t="s">
        <v>145</v>
      </c>
      <c r="I1437" s="31" t="s">
        <v>104</v>
      </c>
      <c r="J1437" s="31" t="s">
        <v>1929</v>
      </c>
      <c r="K1437" s="31" t="s">
        <v>48</v>
      </c>
    </row>
    <row r="1438" customFormat="false" ht="15" hidden="false" customHeight="false" outlineLevel="0" collapsed="false">
      <c r="A1438" s="31" t="s">
        <v>1931</v>
      </c>
      <c r="B1438" s="31" t="s">
        <v>1932</v>
      </c>
      <c r="C1438" s="31" t="s">
        <v>20</v>
      </c>
      <c r="D1438" s="31" t="s">
        <v>78</v>
      </c>
      <c r="E1438" s="31" t="n">
        <v>1</v>
      </c>
      <c r="F1438" s="32" t="n">
        <v>71.2</v>
      </c>
      <c r="G1438" s="32" t="n">
        <v>71.2</v>
      </c>
      <c r="H1438" s="31" t="s">
        <v>45</v>
      </c>
      <c r="I1438" s="31" t="s">
        <v>84</v>
      </c>
      <c r="J1438" s="31" t="s">
        <v>681</v>
      </c>
      <c r="K1438" s="31" t="s">
        <v>48</v>
      </c>
    </row>
    <row r="1439" customFormat="false" ht="15" hidden="false" customHeight="false" outlineLevel="0" collapsed="false">
      <c r="A1439" s="31" t="s">
        <v>1933</v>
      </c>
      <c r="B1439" s="31" t="s">
        <v>1934</v>
      </c>
      <c r="C1439" s="31" t="s">
        <v>20</v>
      </c>
      <c r="D1439" s="31" t="s">
        <v>53</v>
      </c>
      <c r="E1439" s="31" t="n">
        <v>1</v>
      </c>
      <c r="F1439" s="32" t="n">
        <v>39</v>
      </c>
      <c r="G1439" s="32" t="n">
        <v>39</v>
      </c>
      <c r="H1439" s="31" t="s">
        <v>45</v>
      </c>
      <c r="I1439" s="31" t="s">
        <v>58</v>
      </c>
      <c r="J1439" s="31" t="s">
        <v>1935</v>
      </c>
      <c r="K1439" s="31" t="s">
        <v>48</v>
      </c>
    </row>
    <row r="1440" customFormat="false" ht="15" hidden="false" customHeight="false" outlineLevel="0" collapsed="false">
      <c r="A1440" s="31" t="s">
        <v>1933</v>
      </c>
      <c r="B1440" s="31" t="s">
        <v>1934</v>
      </c>
      <c r="C1440" s="31" t="s">
        <v>20</v>
      </c>
      <c r="D1440" s="31" t="s">
        <v>87</v>
      </c>
      <c r="E1440" s="31" t="n">
        <v>1</v>
      </c>
      <c r="F1440" s="32" t="n">
        <v>35</v>
      </c>
      <c r="G1440" s="32" t="n">
        <v>35</v>
      </c>
      <c r="H1440" s="31" t="s">
        <v>45</v>
      </c>
      <c r="I1440" s="31" t="s">
        <v>58</v>
      </c>
      <c r="J1440" s="31" t="s">
        <v>1935</v>
      </c>
      <c r="K1440" s="31" t="s">
        <v>48</v>
      </c>
    </row>
    <row r="1441" customFormat="false" ht="15" hidden="false" customHeight="false" outlineLevel="0" collapsed="false">
      <c r="A1441" s="31" t="s">
        <v>1936</v>
      </c>
      <c r="B1441" s="31" t="s">
        <v>1937</v>
      </c>
      <c r="C1441" s="31" t="s">
        <v>20</v>
      </c>
      <c r="D1441" s="31" t="s">
        <v>78</v>
      </c>
      <c r="E1441" s="31" t="n">
        <v>2</v>
      </c>
      <c r="F1441" s="32" t="n">
        <v>89</v>
      </c>
      <c r="G1441" s="32" t="n">
        <v>178</v>
      </c>
      <c r="H1441" s="31" t="s">
        <v>45</v>
      </c>
      <c r="I1441" s="31" t="s">
        <v>58</v>
      </c>
      <c r="J1441" s="31" t="s">
        <v>1938</v>
      </c>
      <c r="K1441" s="31" t="s">
        <v>48</v>
      </c>
    </row>
    <row r="1442" customFormat="false" ht="15" hidden="false" customHeight="false" outlineLevel="0" collapsed="false">
      <c r="A1442" s="31" t="s">
        <v>1936</v>
      </c>
      <c r="B1442" s="31" t="s">
        <v>1939</v>
      </c>
      <c r="C1442" s="31" t="s">
        <v>44</v>
      </c>
      <c r="D1442" s="31" t="s">
        <v>44</v>
      </c>
      <c r="E1442" s="31" t="n">
        <v>1</v>
      </c>
      <c r="F1442" s="32" t="n">
        <v>5.95</v>
      </c>
      <c r="G1442" s="32" t="n">
        <v>5.95</v>
      </c>
      <c r="H1442" s="31" t="s">
        <v>45</v>
      </c>
      <c r="I1442" s="31" t="s">
        <v>58</v>
      </c>
      <c r="J1442" s="31" t="s">
        <v>1938</v>
      </c>
      <c r="K1442" s="31" t="s">
        <v>48</v>
      </c>
    </row>
    <row r="1443" customFormat="false" ht="15" hidden="false" customHeight="false" outlineLevel="0" collapsed="false">
      <c r="A1443" s="31" t="s">
        <v>1940</v>
      </c>
      <c r="B1443" s="31" t="s">
        <v>1941</v>
      </c>
      <c r="C1443" s="31" t="s">
        <v>44</v>
      </c>
      <c r="D1443" s="31" t="s">
        <v>44</v>
      </c>
      <c r="E1443" s="31" t="n">
        <v>1</v>
      </c>
      <c r="F1443" s="32" t="n">
        <v>5.95</v>
      </c>
      <c r="G1443" s="32" t="n">
        <v>5.95</v>
      </c>
      <c r="H1443" s="31" t="s">
        <v>184</v>
      </c>
      <c r="I1443" s="31" t="s">
        <v>58</v>
      </c>
      <c r="J1443" s="31" t="s">
        <v>607</v>
      </c>
      <c r="K1443" s="31" t="s">
        <v>48</v>
      </c>
    </row>
    <row r="1444" customFormat="false" ht="15" hidden="false" customHeight="false" outlineLevel="0" collapsed="false">
      <c r="A1444" s="31" t="s">
        <v>1940</v>
      </c>
      <c r="B1444" s="31" t="s">
        <v>1941</v>
      </c>
      <c r="C1444" s="31" t="s">
        <v>20</v>
      </c>
      <c r="D1444" s="31" t="s">
        <v>53</v>
      </c>
      <c r="E1444" s="31" t="n">
        <v>1</v>
      </c>
      <c r="F1444" s="32" t="n">
        <v>39</v>
      </c>
      <c r="G1444" s="32" t="n">
        <v>39</v>
      </c>
      <c r="H1444" s="31" t="s">
        <v>184</v>
      </c>
      <c r="I1444" s="31" t="s">
        <v>58</v>
      </c>
      <c r="J1444" s="31" t="s">
        <v>607</v>
      </c>
      <c r="K1444" s="31" t="s">
        <v>48</v>
      </c>
    </row>
    <row r="1445" customFormat="false" ht="15" hidden="false" customHeight="false" outlineLevel="0" collapsed="false">
      <c r="A1445" s="31" t="s">
        <v>1942</v>
      </c>
      <c r="B1445" s="31" t="s">
        <v>1943</v>
      </c>
      <c r="C1445" s="31" t="s">
        <v>44</v>
      </c>
      <c r="D1445" s="31" t="s">
        <v>44</v>
      </c>
      <c r="E1445" s="31" t="n">
        <v>1</v>
      </c>
      <c r="F1445" s="32" t="n">
        <v>5.95</v>
      </c>
      <c r="G1445" s="32" t="n">
        <v>5.95</v>
      </c>
      <c r="H1445" s="31" t="s">
        <v>45</v>
      </c>
      <c r="I1445" s="31" t="s">
        <v>58</v>
      </c>
      <c r="J1445" s="31" t="s">
        <v>1944</v>
      </c>
      <c r="K1445" s="31" t="s">
        <v>48</v>
      </c>
    </row>
    <row r="1446" customFormat="false" ht="15" hidden="false" customHeight="false" outlineLevel="0" collapsed="false">
      <c r="A1446" s="31" t="s">
        <v>1942</v>
      </c>
      <c r="B1446" s="31" t="s">
        <v>1943</v>
      </c>
      <c r="C1446" s="31" t="s">
        <v>20</v>
      </c>
      <c r="D1446" s="31" t="s">
        <v>123</v>
      </c>
      <c r="E1446" s="31" t="n">
        <v>1</v>
      </c>
      <c r="F1446" s="32" t="n">
        <v>75</v>
      </c>
      <c r="G1446" s="32" t="n">
        <v>75</v>
      </c>
      <c r="H1446" s="31" t="s">
        <v>45</v>
      </c>
      <c r="I1446" s="31" t="s">
        <v>58</v>
      </c>
      <c r="J1446" s="31" t="s">
        <v>1944</v>
      </c>
      <c r="K1446" s="31" t="s">
        <v>48</v>
      </c>
    </row>
    <row r="1447" customFormat="false" ht="15" hidden="false" customHeight="false" outlineLevel="0" collapsed="false">
      <c r="A1447" s="31" t="s">
        <v>1942</v>
      </c>
      <c r="B1447" s="31" t="s">
        <v>1945</v>
      </c>
      <c r="C1447" s="31" t="s">
        <v>20</v>
      </c>
      <c r="D1447" s="31" t="s">
        <v>73</v>
      </c>
      <c r="E1447" s="31" t="n">
        <v>1</v>
      </c>
      <c r="F1447" s="32" t="n">
        <v>69</v>
      </c>
      <c r="G1447" s="32" t="n">
        <v>69</v>
      </c>
      <c r="H1447" s="31" t="s">
        <v>45</v>
      </c>
      <c r="I1447" s="31" t="s">
        <v>58</v>
      </c>
      <c r="J1447" s="31" t="s">
        <v>1944</v>
      </c>
      <c r="K1447" s="31" t="s">
        <v>48</v>
      </c>
    </row>
    <row r="1448" customFormat="false" ht="15" hidden="false" customHeight="false" outlineLevel="0" collapsed="false">
      <c r="A1448" s="31" t="s">
        <v>1946</v>
      </c>
      <c r="B1448" s="31" t="s">
        <v>1947</v>
      </c>
      <c r="C1448" s="31" t="s">
        <v>20</v>
      </c>
      <c r="D1448" s="31" t="s">
        <v>123</v>
      </c>
      <c r="E1448" s="31" t="n">
        <v>1</v>
      </c>
      <c r="F1448" s="32" t="n">
        <v>75</v>
      </c>
      <c r="G1448" s="32" t="n">
        <v>75</v>
      </c>
      <c r="H1448" s="31" t="s">
        <v>45</v>
      </c>
      <c r="I1448" s="31" t="s">
        <v>58</v>
      </c>
      <c r="J1448" s="31"/>
      <c r="K1448" s="31" t="s">
        <v>48</v>
      </c>
    </row>
    <row r="1449" customFormat="false" ht="15" hidden="false" customHeight="false" outlineLevel="0" collapsed="false">
      <c r="A1449" s="31" t="s">
        <v>1946</v>
      </c>
      <c r="B1449" s="31" t="s">
        <v>1947</v>
      </c>
      <c r="C1449" s="31" t="s">
        <v>44</v>
      </c>
      <c r="D1449" s="31" t="s">
        <v>44</v>
      </c>
      <c r="E1449" s="31" t="n">
        <v>1</v>
      </c>
      <c r="F1449" s="32" t="n">
        <v>3.95</v>
      </c>
      <c r="G1449" s="32" t="n">
        <v>3.95</v>
      </c>
      <c r="H1449" s="31" t="s">
        <v>45</v>
      </c>
      <c r="I1449" s="31" t="s">
        <v>58</v>
      </c>
      <c r="J1449" s="31"/>
      <c r="K1449" s="31" t="s">
        <v>48</v>
      </c>
    </row>
    <row r="1450" customFormat="false" ht="15" hidden="false" customHeight="false" outlineLevel="0" collapsed="false">
      <c r="A1450" s="31" t="s">
        <v>1948</v>
      </c>
      <c r="B1450" s="31" t="s">
        <v>1949</v>
      </c>
      <c r="C1450" s="31" t="s">
        <v>44</v>
      </c>
      <c r="D1450" s="31" t="s">
        <v>44</v>
      </c>
      <c r="E1450" s="31" t="n">
        <v>1</v>
      </c>
      <c r="F1450" s="32" t="n">
        <v>3.95</v>
      </c>
      <c r="G1450" s="32" t="n">
        <v>3.95</v>
      </c>
      <c r="H1450" s="31" t="s">
        <v>57</v>
      </c>
      <c r="I1450" s="31" t="s">
        <v>84</v>
      </c>
      <c r="J1450" s="31" t="s">
        <v>1950</v>
      </c>
      <c r="K1450" s="31" t="s">
        <v>48</v>
      </c>
    </row>
    <row r="1451" customFormat="false" ht="15" hidden="false" customHeight="false" outlineLevel="0" collapsed="false">
      <c r="A1451" s="31" t="s">
        <v>1948</v>
      </c>
      <c r="B1451" s="31" t="s">
        <v>1949</v>
      </c>
      <c r="C1451" s="31" t="s">
        <v>20</v>
      </c>
      <c r="D1451" s="31" t="s">
        <v>52</v>
      </c>
      <c r="E1451" s="31" t="n">
        <v>1</v>
      </c>
      <c r="F1451" s="32" t="n">
        <v>22</v>
      </c>
      <c r="G1451" s="32" t="n">
        <v>22</v>
      </c>
      <c r="H1451" s="31" t="s">
        <v>57</v>
      </c>
      <c r="I1451" s="31" t="s">
        <v>84</v>
      </c>
      <c r="J1451" s="31" t="s">
        <v>1950</v>
      </c>
      <c r="K1451" s="31" t="s">
        <v>48</v>
      </c>
    </row>
    <row r="1452" customFormat="false" ht="15" hidden="false" customHeight="false" outlineLevel="0" collapsed="false">
      <c r="A1452" s="31" t="s">
        <v>1951</v>
      </c>
      <c r="B1452" s="31" t="s">
        <v>1952</v>
      </c>
      <c r="C1452" s="31" t="s">
        <v>20</v>
      </c>
      <c r="D1452" s="31" t="s">
        <v>78</v>
      </c>
      <c r="E1452" s="31" t="n">
        <v>1</v>
      </c>
      <c r="F1452" s="32" t="n">
        <v>89</v>
      </c>
      <c r="G1452" s="32" t="n">
        <v>89</v>
      </c>
      <c r="H1452" s="31" t="s">
        <v>45</v>
      </c>
      <c r="I1452" s="31" t="s">
        <v>58</v>
      </c>
      <c r="J1452" s="31" t="s">
        <v>1953</v>
      </c>
      <c r="K1452" s="31" t="s">
        <v>48</v>
      </c>
    </row>
    <row r="1453" customFormat="false" ht="15" hidden="false" customHeight="false" outlineLevel="0" collapsed="false">
      <c r="A1453" s="31" t="s">
        <v>1951</v>
      </c>
      <c r="B1453" s="31" t="s">
        <v>1954</v>
      </c>
      <c r="C1453" s="31" t="s">
        <v>20</v>
      </c>
      <c r="D1453" s="31" t="s">
        <v>73</v>
      </c>
      <c r="E1453" s="31" t="n">
        <v>1</v>
      </c>
      <c r="F1453" s="32" t="n">
        <v>69</v>
      </c>
      <c r="G1453" s="32" t="n">
        <v>69</v>
      </c>
      <c r="H1453" s="31" t="s">
        <v>45</v>
      </c>
      <c r="I1453" s="31" t="s">
        <v>58</v>
      </c>
      <c r="J1453" s="31" t="s">
        <v>1953</v>
      </c>
      <c r="K1453" s="31" t="s">
        <v>48</v>
      </c>
    </row>
    <row r="1454" customFormat="false" ht="15" hidden="false" customHeight="false" outlineLevel="0" collapsed="false">
      <c r="A1454" s="31" t="s">
        <v>1951</v>
      </c>
      <c r="B1454" s="31" t="s">
        <v>1954</v>
      </c>
      <c r="C1454" s="31" t="s">
        <v>44</v>
      </c>
      <c r="D1454" s="31" t="s">
        <v>44</v>
      </c>
      <c r="E1454" s="31" t="n">
        <v>1</v>
      </c>
      <c r="F1454" s="32" t="n">
        <v>4.95</v>
      </c>
      <c r="G1454" s="32" t="n">
        <v>4.95</v>
      </c>
      <c r="H1454" s="31" t="s">
        <v>45</v>
      </c>
      <c r="I1454" s="31" t="s">
        <v>58</v>
      </c>
      <c r="J1454" s="31" t="s">
        <v>1953</v>
      </c>
      <c r="K1454" s="31" t="s">
        <v>48</v>
      </c>
    </row>
    <row r="1455" customFormat="false" ht="15" hidden="false" customHeight="false" outlineLevel="0" collapsed="false">
      <c r="A1455" s="31" t="s">
        <v>1951</v>
      </c>
      <c r="B1455" s="31" t="s">
        <v>1954</v>
      </c>
      <c r="C1455" s="31" t="s">
        <v>50</v>
      </c>
      <c r="D1455" s="31" t="s">
        <v>51</v>
      </c>
      <c r="E1455" s="31" t="n">
        <v>1</v>
      </c>
      <c r="F1455" s="32" t="n">
        <v>-15</v>
      </c>
      <c r="G1455" s="32" t="n">
        <v>-15</v>
      </c>
      <c r="H1455" s="31" t="s">
        <v>45</v>
      </c>
      <c r="I1455" s="31" t="s">
        <v>58</v>
      </c>
      <c r="J1455" s="31" t="s">
        <v>1953</v>
      </c>
      <c r="K1455" s="31" t="s">
        <v>48</v>
      </c>
    </row>
    <row r="1456" customFormat="false" ht="15" hidden="false" customHeight="false" outlineLevel="0" collapsed="false">
      <c r="A1456" s="31" t="s">
        <v>1955</v>
      </c>
      <c r="B1456" s="31" t="s">
        <v>1956</v>
      </c>
      <c r="C1456" s="31" t="s">
        <v>20</v>
      </c>
      <c r="D1456" s="31" t="s">
        <v>78</v>
      </c>
      <c r="E1456" s="31" t="n">
        <v>1</v>
      </c>
      <c r="F1456" s="32" t="n">
        <v>89</v>
      </c>
      <c r="G1456" s="32" t="n">
        <v>89</v>
      </c>
      <c r="H1456" s="31" t="s">
        <v>184</v>
      </c>
      <c r="I1456" s="31" t="s">
        <v>58</v>
      </c>
      <c r="J1456" s="31" t="s">
        <v>506</v>
      </c>
      <c r="K1456" s="31" t="s">
        <v>48</v>
      </c>
    </row>
    <row r="1457" customFormat="false" ht="15" hidden="false" customHeight="false" outlineLevel="0" collapsed="false">
      <c r="A1457" s="31" t="s">
        <v>1955</v>
      </c>
      <c r="B1457" s="31" t="s">
        <v>1957</v>
      </c>
      <c r="C1457" s="31" t="s">
        <v>44</v>
      </c>
      <c r="D1457" s="31" t="s">
        <v>44</v>
      </c>
      <c r="E1457" s="31" t="n">
        <v>1</v>
      </c>
      <c r="F1457" s="32" t="n">
        <v>0</v>
      </c>
      <c r="G1457" s="32" t="n">
        <v>0</v>
      </c>
      <c r="H1457" s="31" t="s">
        <v>184</v>
      </c>
      <c r="I1457" s="31" t="s">
        <v>58</v>
      </c>
      <c r="J1457" s="31" t="s">
        <v>506</v>
      </c>
      <c r="K1457" s="31" t="s">
        <v>48</v>
      </c>
    </row>
    <row r="1458" customFormat="false" ht="15" hidden="false" customHeight="false" outlineLevel="0" collapsed="false">
      <c r="A1458" s="31" t="s">
        <v>1958</v>
      </c>
      <c r="B1458" s="31" t="s">
        <v>1959</v>
      </c>
      <c r="C1458" s="31" t="s">
        <v>50</v>
      </c>
      <c r="D1458" s="31" t="s">
        <v>51</v>
      </c>
      <c r="E1458" s="31" t="n">
        <v>1</v>
      </c>
      <c r="F1458" s="32" t="n">
        <v>-5</v>
      </c>
      <c r="G1458" s="32" t="n">
        <v>-5</v>
      </c>
      <c r="H1458" s="31" t="s">
        <v>45</v>
      </c>
      <c r="I1458" s="31" t="s">
        <v>58</v>
      </c>
      <c r="J1458" s="31" t="s">
        <v>1960</v>
      </c>
      <c r="K1458" s="31" t="s">
        <v>48</v>
      </c>
    </row>
    <row r="1459" customFormat="false" ht="15" hidden="false" customHeight="false" outlineLevel="0" collapsed="false">
      <c r="A1459" s="31" t="s">
        <v>1958</v>
      </c>
      <c r="B1459" s="31" t="s">
        <v>1959</v>
      </c>
      <c r="C1459" s="31" t="s">
        <v>44</v>
      </c>
      <c r="D1459" s="31" t="s">
        <v>44</v>
      </c>
      <c r="E1459" s="31" t="n">
        <v>1</v>
      </c>
      <c r="F1459" s="32" t="n">
        <v>3.95</v>
      </c>
      <c r="G1459" s="32" t="n">
        <v>3.95</v>
      </c>
      <c r="H1459" s="31" t="s">
        <v>45</v>
      </c>
      <c r="I1459" s="31" t="s">
        <v>58</v>
      </c>
      <c r="J1459" s="31" t="s">
        <v>1960</v>
      </c>
      <c r="K1459" s="31" t="s">
        <v>48</v>
      </c>
    </row>
    <row r="1460" customFormat="false" ht="15" hidden="false" customHeight="false" outlineLevel="0" collapsed="false">
      <c r="A1460" s="31" t="s">
        <v>1958</v>
      </c>
      <c r="B1460" s="31" t="s">
        <v>1959</v>
      </c>
      <c r="C1460" s="31" t="s">
        <v>20</v>
      </c>
      <c r="D1460" s="31" t="s">
        <v>56</v>
      </c>
      <c r="E1460" s="31" t="n">
        <v>1</v>
      </c>
      <c r="F1460" s="32" t="n">
        <v>45</v>
      </c>
      <c r="G1460" s="32" t="n">
        <v>45</v>
      </c>
      <c r="H1460" s="31" t="s">
        <v>45</v>
      </c>
      <c r="I1460" s="31" t="s">
        <v>58</v>
      </c>
      <c r="J1460" s="31" t="s">
        <v>1960</v>
      </c>
      <c r="K1460" s="31" t="s">
        <v>48</v>
      </c>
    </row>
    <row r="1461" customFormat="false" ht="15" hidden="false" customHeight="false" outlineLevel="0" collapsed="false">
      <c r="A1461" s="31" t="s">
        <v>1958</v>
      </c>
      <c r="B1461" s="31" t="s">
        <v>1959</v>
      </c>
      <c r="C1461" s="31" t="s">
        <v>20</v>
      </c>
      <c r="D1461" s="31" t="s">
        <v>87</v>
      </c>
      <c r="E1461" s="31" t="n">
        <v>1</v>
      </c>
      <c r="F1461" s="32" t="n">
        <v>35</v>
      </c>
      <c r="G1461" s="32" t="n">
        <v>35</v>
      </c>
      <c r="H1461" s="31" t="s">
        <v>45</v>
      </c>
      <c r="I1461" s="31" t="s">
        <v>58</v>
      </c>
      <c r="J1461" s="31" t="s">
        <v>1960</v>
      </c>
      <c r="K1461" s="31" t="s">
        <v>48</v>
      </c>
    </row>
    <row r="1462" customFormat="false" ht="15" hidden="false" customHeight="false" outlineLevel="0" collapsed="false">
      <c r="A1462" s="31" t="s">
        <v>1958</v>
      </c>
      <c r="B1462" s="31" t="s">
        <v>1961</v>
      </c>
      <c r="C1462" s="31" t="s">
        <v>20</v>
      </c>
      <c r="D1462" s="31" t="s">
        <v>52</v>
      </c>
      <c r="E1462" s="31" t="n">
        <v>1</v>
      </c>
      <c r="F1462" s="32" t="n">
        <v>22</v>
      </c>
      <c r="G1462" s="32" t="n">
        <v>22</v>
      </c>
      <c r="H1462" s="31" t="s">
        <v>45</v>
      </c>
      <c r="I1462" s="31" t="s">
        <v>58</v>
      </c>
      <c r="J1462" s="31" t="s">
        <v>1960</v>
      </c>
      <c r="K1462" s="31" t="s">
        <v>48</v>
      </c>
    </row>
    <row r="1463" customFormat="false" ht="15" hidden="false" customHeight="false" outlineLevel="0" collapsed="false">
      <c r="A1463" s="31" t="s">
        <v>1958</v>
      </c>
      <c r="B1463" s="31" t="s">
        <v>1959</v>
      </c>
      <c r="C1463" s="31" t="s">
        <v>20</v>
      </c>
      <c r="D1463" s="31" t="s">
        <v>140</v>
      </c>
      <c r="E1463" s="31" t="n">
        <v>1</v>
      </c>
      <c r="F1463" s="32" t="n">
        <v>26</v>
      </c>
      <c r="G1463" s="32" t="n">
        <v>26</v>
      </c>
      <c r="H1463" s="31" t="s">
        <v>45</v>
      </c>
      <c r="I1463" s="31" t="s">
        <v>58</v>
      </c>
      <c r="J1463" s="31" t="s">
        <v>1960</v>
      </c>
      <c r="K1463" s="31" t="s">
        <v>202</v>
      </c>
    </row>
    <row r="1464" customFormat="false" ht="15" hidden="false" customHeight="false" outlineLevel="0" collapsed="false">
      <c r="A1464" s="31" t="s">
        <v>1962</v>
      </c>
      <c r="B1464" s="31" t="s">
        <v>1963</v>
      </c>
      <c r="C1464" s="31" t="s">
        <v>50</v>
      </c>
      <c r="D1464" s="31" t="s">
        <v>51</v>
      </c>
      <c r="E1464" s="31" t="n">
        <v>1</v>
      </c>
      <c r="F1464" s="32" t="n">
        <v>-15</v>
      </c>
      <c r="G1464" s="32" t="n">
        <v>-15</v>
      </c>
      <c r="H1464" s="31" t="s">
        <v>45</v>
      </c>
      <c r="I1464" s="31" t="s">
        <v>84</v>
      </c>
      <c r="J1464" s="31" t="s">
        <v>282</v>
      </c>
      <c r="K1464" s="31" t="s">
        <v>48</v>
      </c>
    </row>
    <row r="1465" customFormat="false" ht="15" hidden="false" customHeight="false" outlineLevel="0" collapsed="false">
      <c r="A1465" s="31" t="s">
        <v>1962</v>
      </c>
      <c r="B1465" s="31" t="s">
        <v>1963</v>
      </c>
      <c r="C1465" s="31" t="s">
        <v>20</v>
      </c>
      <c r="D1465" s="31" t="s">
        <v>78</v>
      </c>
      <c r="E1465" s="31" t="n">
        <v>1</v>
      </c>
      <c r="F1465" s="32" t="n">
        <v>80.1</v>
      </c>
      <c r="G1465" s="32" t="n">
        <v>80.1</v>
      </c>
      <c r="H1465" s="31" t="s">
        <v>45</v>
      </c>
      <c r="I1465" s="31" t="s">
        <v>84</v>
      </c>
      <c r="J1465" s="31" t="s">
        <v>282</v>
      </c>
      <c r="K1465" s="31" t="s">
        <v>48</v>
      </c>
    </row>
    <row r="1466" customFormat="false" ht="15" hidden="false" customHeight="false" outlineLevel="0" collapsed="false">
      <c r="A1466" s="31" t="s">
        <v>1962</v>
      </c>
      <c r="B1466" s="31" t="s">
        <v>1963</v>
      </c>
      <c r="C1466" s="31" t="s">
        <v>20</v>
      </c>
      <c r="D1466" s="31" t="s">
        <v>73</v>
      </c>
      <c r="E1466" s="31" t="n">
        <v>1</v>
      </c>
      <c r="F1466" s="32" t="n">
        <v>69</v>
      </c>
      <c r="G1466" s="32" t="n">
        <v>69</v>
      </c>
      <c r="H1466" s="31" t="s">
        <v>45</v>
      </c>
      <c r="I1466" s="31" t="s">
        <v>84</v>
      </c>
      <c r="J1466" s="31" t="s">
        <v>282</v>
      </c>
      <c r="K1466" s="31" t="s">
        <v>48</v>
      </c>
    </row>
    <row r="1467" customFormat="false" ht="15" hidden="false" customHeight="false" outlineLevel="0" collapsed="false">
      <c r="A1467" s="31" t="s">
        <v>1964</v>
      </c>
      <c r="B1467" s="31" t="s">
        <v>1965</v>
      </c>
      <c r="C1467" s="31" t="s">
        <v>20</v>
      </c>
      <c r="D1467" s="31" t="s">
        <v>78</v>
      </c>
      <c r="E1467" s="31" t="n">
        <v>2</v>
      </c>
      <c r="F1467" s="32" t="n">
        <v>89</v>
      </c>
      <c r="G1467" s="32" t="n">
        <v>178</v>
      </c>
      <c r="H1467" s="31" t="s">
        <v>45</v>
      </c>
      <c r="I1467" s="31" t="s">
        <v>58</v>
      </c>
      <c r="J1467" s="31" t="s">
        <v>1966</v>
      </c>
      <c r="K1467" s="31" t="s">
        <v>48</v>
      </c>
    </row>
    <row r="1468" customFormat="false" ht="15" hidden="false" customHeight="false" outlineLevel="0" collapsed="false">
      <c r="A1468" s="31" t="s">
        <v>1964</v>
      </c>
      <c r="B1468" s="31" t="s">
        <v>1967</v>
      </c>
      <c r="C1468" s="31" t="s">
        <v>20</v>
      </c>
      <c r="D1468" s="31" t="s">
        <v>63</v>
      </c>
      <c r="E1468" s="31" t="n">
        <v>1</v>
      </c>
      <c r="F1468" s="32" t="n">
        <v>14</v>
      </c>
      <c r="G1468" s="32" t="n">
        <v>14</v>
      </c>
      <c r="H1468" s="31" t="s">
        <v>45</v>
      </c>
      <c r="I1468" s="31" t="s">
        <v>58</v>
      </c>
      <c r="J1468" s="31" t="s">
        <v>1966</v>
      </c>
      <c r="K1468" s="31" t="s">
        <v>48</v>
      </c>
    </row>
    <row r="1469" customFormat="false" ht="15" hidden="false" customHeight="false" outlineLevel="0" collapsed="false">
      <c r="A1469" s="31" t="s">
        <v>1964</v>
      </c>
      <c r="B1469" s="31" t="s">
        <v>1967</v>
      </c>
      <c r="C1469" s="31" t="s">
        <v>44</v>
      </c>
      <c r="D1469" s="31" t="s">
        <v>44</v>
      </c>
      <c r="E1469" s="31" t="n">
        <v>1</v>
      </c>
      <c r="F1469" s="32" t="n">
        <v>3.95</v>
      </c>
      <c r="G1469" s="32" t="n">
        <v>3.95</v>
      </c>
      <c r="H1469" s="31" t="s">
        <v>45</v>
      </c>
      <c r="I1469" s="31" t="s">
        <v>58</v>
      </c>
      <c r="J1469" s="31" t="s">
        <v>1966</v>
      </c>
      <c r="K1469" s="31" t="s">
        <v>48</v>
      </c>
    </row>
    <row r="1470" customFormat="false" ht="15" hidden="false" customHeight="false" outlineLevel="0" collapsed="false">
      <c r="A1470" s="31" t="s">
        <v>1964</v>
      </c>
      <c r="B1470" s="31" t="s">
        <v>1967</v>
      </c>
      <c r="C1470" s="31" t="s">
        <v>20</v>
      </c>
      <c r="D1470" s="31" t="s">
        <v>66</v>
      </c>
      <c r="E1470" s="31" t="n">
        <v>2</v>
      </c>
      <c r="F1470" s="32" t="n">
        <v>32</v>
      </c>
      <c r="G1470" s="32" t="n">
        <v>64</v>
      </c>
      <c r="H1470" s="31" t="s">
        <v>45</v>
      </c>
      <c r="I1470" s="31" t="s">
        <v>58</v>
      </c>
      <c r="J1470" s="31" t="s">
        <v>1966</v>
      </c>
      <c r="K1470" s="31" t="s">
        <v>48</v>
      </c>
    </row>
    <row r="1471" customFormat="false" ht="15" hidden="false" customHeight="false" outlineLevel="0" collapsed="false">
      <c r="A1471" s="31" t="s">
        <v>1968</v>
      </c>
      <c r="B1471" s="31" t="s">
        <v>1969</v>
      </c>
      <c r="C1471" s="31" t="s">
        <v>20</v>
      </c>
      <c r="D1471" s="31" t="s">
        <v>69</v>
      </c>
      <c r="E1471" s="31" t="n">
        <v>1</v>
      </c>
      <c r="F1471" s="32" t="n">
        <v>29</v>
      </c>
      <c r="G1471" s="32" t="n">
        <v>29</v>
      </c>
      <c r="H1471" s="31" t="s">
        <v>45</v>
      </c>
      <c r="I1471" s="31" t="s">
        <v>58</v>
      </c>
      <c r="J1471" s="31" t="s">
        <v>1970</v>
      </c>
      <c r="K1471" s="31" t="s">
        <v>48</v>
      </c>
    </row>
    <row r="1472" customFormat="false" ht="15" hidden="false" customHeight="false" outlineLevel="0" collapsed="false">
      <c r="A1472" s="31" t="s">
        <v>1971</v>
      </c>
      <c r="B1472" s="31" t="s">
        <v>1972</v>
      </c>
      <c r="C1472" s="31" t="s">
        <v>20</v>
      </c>
      <c r="D1472" s="31" t="s">
        <v>53</v>
      </c>
      <c r="E1472" s="31" t="n">
        <v>2</v>
      </c>
      <c r="F1472" s="32" t="n">
        <v>39</v>
      </c>
      <c r="G1472" s="32" t="n">
        <v>78</v>
      </c>
      <c r="H1472" s="31" t="s">
        <v>45</v>
      </c>
      <c r="I1472" s="31" t="s">
        <v>58</v>
      </c>
      <c r="J1472" s="31" t="s">
        <v>1973</v>
      </c>
      <c r="K1472" s="31" t="s">
        <v>48</v>
      </c>
    </row>
    <row r="1473" customFormat="false" ht="15" hidden="false" customHeight="false" outlineLevel="0" collapsed="false">
      <c r="A1473" s="31" t="s">
        <v>1974</v>
      </c>
      <c r="B1473" s="31" t="s">
        <v>1975</v>
      </c>
      <c r="C1473" s="31" t="s">
        <v>44</v>
      </c>
      <c r="D1473" s="31" t="s">
        <v>44</v>
      </c>
      <c r="E1473" s="31" t="n">
        <v>1</v>
      </c>
      <c r="F1473" s="32" t="n">
        <v>3.95</v>
      </c>
      <c r="G1473" s="32" t="n">
        <v>3.95</v>
      </c>
      <c r="H1473" s="31" t="s">
        <v>45</v>
      </c>
      <c r="I1473" s="31" t="s">
        <v>58</v>
      </c>
      <c r="J1473" s="31" t="s">
        <v>1976</v>
      </c>
      <c r="K1473" s="31" t="s">
        <v>48</v>
      </c>
    </row>
    <row r="1474" customFormat="false" ht="15" hidden="false" customHeight="false" outlineLevel="0" collapsed="false">
      <c r="A1474" s="31" t="s">
        <v>1974</v>
      </c>
      <c r="B1474" s="31" t="s">
        <v>1975</v>
      </c>
      <c r="C1474" s="31" t="s">
        <v>20</v>
      </c>
      <c r="D1474" s="31" t="s">
        <v>63</v>
      </c>
      <c r="E1474" s="31" t="n">
        <v>1</v>
      </c>
      <c r="F1474" s="32" t="n">
        <v>14</v>
      </c>
      <c r="G1474" s="32" t="n">
        <v>14</v>
      </c>
      <c r="H1474" s="31" t="s">
        <v>45</v>
      </c>
      <c r="I1474" s="31" t="s">
        <v>58</v>
      </c>
      <c r="J1474" s="31" t="s">
        <v>1976</v>
      </c>
      <c r="K1474" s="31" t="s">
        <v>48</v>
      </c>
    </row>
    <row r="1475" customFormat="false" ht="15" hidden="false" customHeight="false" outlineLevel="0" collapsed="false">
      <c r="A1475" s="31" t="s">
        <v>1977</v>
      </c>
      <c r="B1475" s="31" t="s">
        <v>1978</v>
      </c>
      <c r="C1475" s="31" t="s">
        <v>20</v>
      </c>
      <c r="D1475" s="31" t="s">
        <v>69</v>
      </c>
      <c r="E1475" s="31" t="n">
        <v>2</v>
      </c>
      <c r="F1475" s="32" t="n">
        <v>29</v>
      </c>
      <c r="G1475" s="32" t="n">
        <v>58</v>
      </c>
      <c r="H1475" s="31" t="s">
        <v>45</v>
      </c>
      <c r="I1475" s="31" t="s">
        <v>58</v>
      </c>
      <c r="J1475" s="31" t="s">
        <v>1979</v>
      </c>
      <c r="K1475" s="31" t="s">
        <v>48</v>
      </c>
    </row>
    <row r="1476" customFormat="false" ht="15" hidden="false" customHeight="false" outlineLevel="0" collapsed="false">
      <c r="A1476" s="31" t="s">
        <v>1977</v>
      </c>
      <c r="B1476" s="31" t="s">
        <v>1978</v>
      </c>
      <c r="C1476" s="31" t="s">
        <v>44</v>
      </c>
      <c r="D1476" s="31" t="s">
        <v>44</v>
      </c>
      <c r="E1476" s="31" t="n">
        <v>1</v>
      </c>
      <c r="F1476" s="32" t="n">
        <v>5.95</v>
      </c>
      <c r="G1476" s="32" t="n">
        <v>5.95</v>
      </c>
      <c r="H1476" s="31" t="s">
        <v>45</v>
      </c>
      <c r="I1476" s="31" t="s">
        <v>58</v>
      </c>
      <c r="J1476" s="31" t="s">
        <v>1979</v>
      </c>
      <c r="K1476" s="31" t="s">
        <v>48</v>
      </c>
    </row>
    <row r="1477" customFormat="false" ht="15" hidden="false" customHeight="false" outlineLevel="0" collapsed="false">
      <c r="A1477" s="31" t="s">
        <v>1980</v>
      </c>
      <c r="B1477" s="31" t="s">
        <v>1981</v>
      </c>
      <c r="C1477" s="31" t="s">
        <v>20</v>
      </c>
      <c r="D1477" s="31" t="s">
        <v>63</v>
      </c>
      <c r="E1477" s="31" t="n">
        <v>2</v>
      </c>
      <c r="F1477" s="32" t="n">
        <v>14</v>
      </c>
      <c r="G1477" s="32" t="n">
        <v>28</v>
      </c>
      <c r="H1477" s="31" t="s">
        <v>45</v>
      </c>
      <c r="I1477" s="31" t="s">
        <v>58</v>
      </c>
      <c r="J1477" s="31" t="s">
        <v>1982</v>
      </c>
      <c r="K1477" s="31" t="s">
        <v>48</v>
      </c>
    </row>
    <row r="1478" customFormat="false" ht="15" hidden="false" customHeight="false" outlineLevel="0" collapsed="false">
      <c r="A1478" s="31" t="s">
        <v>1983</v>
      </c>
      <c r="B1478" s="31" t="s">
        <v>1984</v>
      </c>
      <c r="C1478" s="31" t="s">
        <v>44</v>
      </c>
      <c r="D1478" s="31" t="s">
        <v>44</v>
      </c>
      <c r="E1478" s="31" t="n">
        <v>1</v>
      </c>
      <c r="F1478" s="32" t="n">
        <v>0</v>
      </c>
      <c r="G1478" s="32" t="n">
        <v>0</v>
      </c>
      <c r="H1478" s="31" t="s">
        <v>45</v>
      </c>
      <c r="I1478" s="31" t="s">
        <v>58</v>
      </c>
      <c r="J1478" s="31" t="s">
        <v>385</v>
      </c>
      <c r="K1478" s="31" t="s">
        <v>48</v>
      </c>
    </row>
    <row r="1479" customFormat="false" ht="15" hidden="false" customHeight="false" outlineLevel="0" collapsed="false">
      <c r="A1479" s="31" t="s">
        <v>1983</v>
      </c>
      <c r="B1479" s="31" t="s">
        <v>1984</v>
      </c>
      <c r="C1479" s="31" t="s">
        <v>20</v>
      </c>
      <c r="D1479" s="31" t="s">
        <v>53</v>
      </c>
      <c r="E1479" s="31" t="n">
        <v>2</v>
      </c>
      <c r="F1479" s="32" t="n">
        <v>39</v>
      </c>
      <c r="G1479" s="32" t="n">
        <v>78</v>
      </c>
      <c r="H1479" s="31" t="s">
        <v>45</v>
      </c>
      <c r="I1479" s="31" t="s">
        <v>58</v>
      </c>
      <c r="J1479" s="31" t="s">
        <v>385</v>
      </c>
      <c r="K1479" s="31" t="s">
        <v>48</v>
      </c>
    </row>
    <row r="1480" customFormat="false" ht="15" hidden="false" customHeight="false" outlineLevel="0" collapsed="false">
      <c r="A1480" s="31" t="s">
        <v>1985</v>
      </c>
      <c r="B1480" s="31" t="s">
        <v>1986</v>
      </c>
      <c r="C1480" s="31" t="s">
        <v>20</v>
      </c>
      <c r="D1480" s="31" t="s">
        <v>69</v>
      </c>
      <c r="E1480" s="31" t="n">
        <v>1</v>
      </c>
      <c r="F1480" s="32" t="n">
        <v>26.1</v>
      </c>
      <c r="G1480" s="32" t="n">
        <v>26.1</v>
      </c>
      <c r="H1480" s="31" t="s">
        <v>184</v>
      </c>
      <c r="I1480" s="31" t="s">
        <v>46</v>
      </c>
      <c r="J1480" s="31" t="s">
        <v>723</v>
      </c>
      <c r="K1480" s="31" t="s">
        <v>48</v>
      </c>
    </row>
    <row r="1481" customFormat="false" ht="15" hidden="false" customHeight="false" outlineLevel="0" collapsed="false">
      <c r="A1481" s="31" t="s">
        <v>1985</v>
      </c>
      <c r="B1481" s="31" t="s">
        <v>1986</v>
      </c>
      <c r="C1481" s="31" t="s">
        <v>44</v>
      </c>
      <c r="D1481" s="31" t="s">
        <v>44</v>
      </c>
      <c r="E1481" s="31" t="n">
        <v>1</v>
      </c>
      <c r="F1481" s="32" t="n">
        <v>4.95</v>
      </c>
      <c r="G1481" s="32" t="n">
        <v>4.95</v>
      </c>
      <c r="H1481" s="31" t="s">
        <v>184</v>
      </c>
      <c r="I1481" s="31" t="s">
        <v>46</v>
      </c>
      <c r="J1481" s="31" t="s">
        <v>723</v>
      </c>
      <c r="K1481" s="31" t="s">
        <v>48</v>
      </c>
    </row>
    <row r="1482" customFormat="false" ht="15" hidden="false" customHeight="false" outlineLevel="0" collapsed="false">
      <c r="A1482" s="31" t="s">
        <v>1985</v>
      </c>
      <c r="B1482" s="31" t="s">
        <v>1987</v>
      </c>
      <c r="C1482" s="31" t="s">
        <v>20</v>
      </c>
      <c r="D1482" s="31" t="s">
        <v>78</v>
      </c>
      <c r="E1482" s="31" t="n">
        <v>1</v>
      </c>
      <c r="F1482" s="32" t="n">
        <v>71.2</v>
      </c>
      <c r="G1482" s="32" t="n">
        <v>71.2</v>
      </c>
      <c r="H1482" s="31" t="s">
        <v>184</v>
      </c>
      <c r="I1482" s="31" t="s">
        <v>46</v>
      </c>
      <c r="J1482" s="31" t="s">
        <v>723</v>
      </c>
      <c r="K1482" s="31" t="s">
        <v>48</v>
      </c>
    </row>
    <row r="1483" customFormat="false" ht="15" hidden="false" customHeight="false" outlineLevel="0" collapsed="false">
      <c r="A1483" s="31" t="s">
        <v>1985</v>
      </c>
      <c r="B1483" s="31" t="s">
        <v>1986</v>
      </c>
      <c r="C1483" s="31" t="s">
        <v>20</v>
      </c>
      <c r="D1483" s="31" t="s">
        <v>53</v>
      </c>
      <c r="E1483" s="31" t="n">
        <v>1</v>
      </c>
      <c r="F1483" s="32" t="n">
        <v>39</v>
      </c>
      <c r="G1483" s="32" t="n">
        <v>39</v>
      </c>
      <c r="H1483" s="31" t="s">
        <v>184</v>
      </c>
      <c r="I1483" s="31" t="s">
        <v>46</v>
      </c>
      <c r="J1483" s="31" t="s">
        <v>723</v>
      </c>
      <c r="K1483" s="31" t="s">
        <v>48</v>
      </c>
    </row>
    <row r="1484" customFormat="false" ht="15" hidden="false" customHeight="false" outlineLevel="0" collapsed="false">
      <c r="A1484" s="31" t="s">
        <v>1988</v>
      </c>
      <c r="B1484" s="31" t="s">
        <v>1989</v>
      </c>
      <c r="C1484" s="31" t="s">
        <v>44</v>
      </c>
      <c r="D1484" s="31" t="s">
        <v>44</v>
      </c>
      <c r="E1484" s="31" t="n">
        <v>1</v>
      </c>
      <c r="F1484" s="32" t="n">
        <v>5.95</v>
      </c>
      <c r="G1484" s="32" t="n">
        <v>5.95</v>
      </c>
      <c r="H1484" s="31" t="s">
        <v>45</v>
      </c>
      <c r="I1484" s="31" t="s">
        <v>58</v>
      </c>
      <c r="J1484" s="31" t="s">
        <v>883</v>
      </c>
      <c r="K1484" s="31" t="s">
        <v>48</v>
      </c>
    </row>
    <row r="1485" customFormat="false" ht="15" hidden="false" customHeight="false" outlineLevel="0" collapsed="false">
      <c r="A1485" s="31" t="s">
        <v>1988</v>
      </c>
      <c r="B1485" s="31" t="s">
        <v>1989</v>
      </c>
      <c r="C1485" s="31" t="s">
        <v>20</v>
      </c>
      <c r="D1485" s="31" t="s">
        <v>56</v>
      </c>
      <c r="E1485" s="31" t="n">
        <v>1</v>
      </c>
      <c r="F1485" s="32" t="n">
        <v>45</v>
      </c>
      <c r="G1485" s="32" t="n">
        <v>45</v>
      </c>
      <c r="H1485" s="31" t="s">
        <v>45</v>
      </c>
      <c r="I1485" s="31" t="s">
        <v>58</v>
      </c>
      <c r="J1485" s="31" t="s">
        <v>883</v>
      </c>
      <c r="K1485" s="31" t="s">
        <v>48</v>
      </c>
    </row>
    <row r="1486" customFormat="false" ht="15" hidden="false" customHeight="false" outlineLevel="0" collapsed="false">
      <c r="A1486" s="31" t="s">
        <v>1990</v>
      </c>
      <c r="B1486" s="31" t="s">
        <v>1991</v>
      </c>
      <c r="C1486" s="31" t="s">
        <v>50</v>
      </c>
      <c r="D1486" s="31" t="s">
        <v>51</v>
      </c>
      <c r="E1486" s="31" t="n">
        <v>1</v>
      </c>
      <c r="F1486" s="32" t="n">
        <v>-10</v>
      </c>
      <c r="G1486" s="32" t="n">
        <v>-10</v>
      </c>
      <c r="H1486" s="31" t="s">
        <v>45</v>
      </c>
      <c r="I1486" s="31" t="s">
        <v>58</v>
      </c>
      <c r="J1486" s="31" t="s">
        <v>1992</v>
      </c>
      <c r="K1486" s="31" t="s">
        <v>48</v>
      </c>
    </row>
    <row r="1487" customFormat="false" ht="15" hidden="false" customHeight="false" outlineLevel="0" collapsed="false">
      <c r="A1487" s="31" t="s">
        <v>1990</v>
      </c>
      <c r="B1487" s="31" t="s">
        <v>1993</v>
      </c>
      <c r="C1487" s="31" t="s">
        <v>20</v>
      </c>
      <c r="D1487" s="31" t="s">
        <v>63</v>
      </c>
      <c r="E1487" s="31" t="n">
        <v>1</v>
      </c>
      <c r="F1487" s="32" t="n">
        <v>14</v>
      </c>
      <c r="G1487" s="32" t="n">
        <v>14</v>
      </c>
      <c r="H1487" s="31" t="s">
        <v>45</v>
      </c>
      <c r="I1487" s="31" t="s">
        <v>58</v>
      </c>
      <c r="J1487" s="31" t="s">
        <v>1992</v>
      </c>
      <c r="K1487" s="31" t="s">
        <v>48</v>
      </c>
    </row>
    <row r="1488" customFormat="false" ht="15" hidden="false" customHeight="false" outlineLevel="0" collapsed="false">
      <c r="A1488" s="31" t="s">
        <v>1990</v>
      </c>
      <c r="B1488" s="31" t="s">
        <v>1991</v>
      </c>
      <c r="C1488" s="31" t="s">
        <v>20</v>
      </c>
      <c r="D1488" s="31" t="s">
        <v>73</v>
      </c>
      <c r="E1488" s="31" t="n">
        <v>1</v>
      </c>
      <c r="F1488" s="32" t="n">
        <v>69</v>
      </c>
      <c r="G1488" s="32" t="n">
        <v>69</v>
      </c>
      <c r="H1488" s="31" t="s">
        <v>45</v>
      </c>
      <c r="I1488" s="31" t="s">
        <v>58</v>
      </c>
      <c r="J1488" s="31" t="s">
        <v>1992</v>
      </c>
      <c r="K1488" s="31" t="s">
        <v>48</v>
      </c>
    </row>
    <row r="1489" customFormat="false" ht="15" hidden="false" customHeight="false" outlineLevel="0" collapsed="false">
      <c r="A1489" s="31" t="s">
        <v>1990</v>
      </c>
      <c r="B1489" s="31" t="s">
        <v>1991</v>
      </c>
      <c r="C1489" s="31" t="s">
        <v>44</v>
      </c>
      <c r="D1489" s="31" t="s">
        <v>44</v>
      </c>
      <c r="E1489" s="31" t="n">
        <v>1</v>
      </c>
      <c r="F1489" s="32" t="n">
        <v>4.95</v>
      </c>
      <c r="G1489" s="32" t="n">
        <v>4.95</v>
      </c>
      <c r="H1489" s="31" t="s">
        <v>45</v>
      </c>
      <c r="I1489" s="31" t="s">
        <v>58</v>
      </c>
      <c r="J1489" s="31" t="s">
        <v>1992</v>
      </c>
      <c r="K1489" s="31" t="s">
        <v>48</v>
      </c>
    </row>
    <row r="1490" customFormat="false" ht="15" hidden="false" customHeight="false" outlineLevel="0" collapsed="false">
      <c r="A1490" s="31" t="s">
        <v>1994</v>
      </c>
      <c r="B1490" s="31" t="s">
        <v>1995</v>
      </c>
      <c r="C1490" s="31" t="s">
        <v>20</v>
      </c>
      <c r="D1490" s="31" t="s">
        <v>73</v>
      </c>
      <c r="E1490" s="31" t="n">
        <v>1</v>
      </c>
      <c r="F1490" s="32" t="n">
        <v>69</v>
      </c>
      <c r="G1490" s="32" t="n">
        <v>69</v>
      </c>
      <c r="H1490" s="31" t="s">
        <v>45</v>
      </c>
      <c r="I1490" s="31" t="s">
        <v>58</v>
      </c>
      <c r="J1490" s="31" t="s">
        <v>455</v>
      </c>
      <c r="K1490" s="31" t="s">
        <v>48</v>
      </c>
    </row>
    <row r="1491" customFormat="false" ht="15" hidden="false" customHeight="false" outlineLevel="0" collapsed="false">
      <c r="A1491" s="31" t="s">
        <v>1994</v>
      </c>
      <c r="B1491" s="31" t="s">
        <v>1995</v>
      </c>
      <c r="C1491" s="31" t="s">
        <v>44</v>
      </c>
      <c r="D1491" s="31" t="s">
        <v>44</v>
      </c>
      <c r="E1491" s="31" t="n">
        <v>1</v>
      </c>
      <c r="F1491" s="32" t="n">
        <v>4.95</v>
      </c>
      <c r="G1491" s="32" t="n">
        <v>4.95</v>
      </c>
      <c r="H1491" s="31" t="s">
        <v>45</v>
      </c>
      <c r="I1491" s="31" t="s">
        <v>58</v>
      </c>
      <c r="J1491" s="31" t="s">
        <v>455</v>
      </c>
      <c r="K1491" s="31" t="s">
        <v>48</v>
      </c>
    </row>
    <row r="1492" customFormat="false" ht="15" hidden="false" customHeight="false" outlineLevel="0" collapsed="false">
      <c r="A1492" s="31" t="s">
        <v>1996</v>
      </c>
      <c r="B1492" s="31" t="s">
        <v>1997</v>
      </c>
      <c r="C1492" s="31" t="s">
        <v>20</v>
      </c>
      <c r="D1492" s="31" t="s">
        <v>78</v>
      </c>
      <c r="E1492" s="31" t="n">
        <v>1</v>
      </c>
      <c r="F1492" s="32" t="n">
        <v>89</v>
      </c>
      <c r="G1492" s="32" t="n">
        <v>89</v>
      </c>
      <c r="H1492" s="31" t="s">
        <v>145</v>
      </c>
      <c r="I1492" s="31" t="s">
        <v>58</v>
      </c>
      <c r="J1492" s="31" t="s">
        <v>1998</v>
      </c>
      <c r="K1492" s="31" t="s">
        <v>48</v>
      </c>
    </row>
    <row r="1493" customFormat="false" ht="15" hidden="false" customHeight="false" outlineLevel="0" collapsed="false">
      <c r="A1493" s="31" t="s">
        <v>1996</v>
      </c>
      <c r="B1493" s="31" t="s">
        <v>1999</v>
      </c>
      <c r="C1493" s="31" t="s">
        <v>20</v>
      </c>
      <c r="D1493" s="31" t="s">
        <v>66</v>
      </c>
      <c r="E1493" s="31" t="n">
        <v>1</v>
      </c>
      <c r="F1493" s="32" t="n">
        <v>32</v>
      </c>
      <c r="G1493" s="32" t="n">
        <v>32</v>
      </c>
      <c r="H1493" s="31" t="s">
        <v>145</v>
      </c>
      <c r="I1493" s="31" t="s">
        <v>58</v>
      </c>
      <c r="J1493" s="31" t="s">
        <v>1998</v>
      </c>
      <c r="K1493" s="31" t="s">
        <v>48</v>
      </c>
    </row>
    <row r="1494" customFormat="false" ht="15" hidden="false" customHeight="false" outlineLevel="0" collapsed="false">
      <c r="A1494" s="31" t="s">
        <v>1996</v>
      </c>
      <c r="B1494" s="31" t="s">
        <v>1999</v>
      </c>
      <c r="C1494" s="31" t="s">
        <v>44</v>
      </c>
      <c r="D1494" s="31" t="s">
        <v>44</v>
      </c>
      <c r="E1494" s="31" t="n">
        <v>1</v>
      </c>
      <c r="F1494" s="32" t="n">
        <v>4.95</v>
      </c>
      <c r="G1494" s="32" t="n">
        <v>4.95</v>
      </c>
      <c r="H1494" s="31" t="s">
        <v>145</v>
      </c>
      <c r="I1494" s="31" t="s">
        <v>58</v>
      </c>
      <c r="J1494" s="31" t="s">
        <v>1998</v>
      </c>
      <c r="K1494" s="31" t="s">
        <v>48</v>
      </c>
    </row>
    <row r="1495" customFormat="false" ht="15" hidden="false" customHeight="false" outlineLevel="0" collapsed="false">
      <c r="A1495" s="31" t="s">
        <v>2000</v>
      </c>
      <c r="B1495" s="31" t="s">
        <v>2001</v>
      </c>
      <c r="C1495" s="31" t="s">
        <v>44</v>
      </c>
      <c r="D1495" s="31" t="s">
        <v>44</v>
      </c>
      <c r="E1495" s="31" t="n">
        <v>1</v>
      </c>
      <c r="F1495" s="32" t="n">
        <v>5.95</v>
      </c>
      <c r="G1495" s="32" t="n">
        <v>5.95</v>
      </c>
      <c r="H1495" s="31" t="s">
        <v>45</v>
      </c>
      <c r="I1495" s="31" t="s">
        <v>46</v>
      </c>
      <c r="J1495" s="31" t="s">
        <v>2002</v>
      </c>
      <c r="K1495" s="31" t="s">
        <v>48</v>
      </c>
    </row>
    <row r="1496" customFormat="false" ht="15" hidden="false" customHeight="false" outlineLevel="0" collapsed="false">
      <c r="A1496" s="31" t="s">
        <v>2000</v>
      </c>
      <c r="B1496" s="31" t="s">
        <v>2001</v>
      </c>
      <c r="C1496" s="31" t="s">
        <v>20</v>
      </c>
      <c r="D1496" s="31" t="s">
        <v>78</v>
      </c>
      <c r="E1496" s="31" t="n">
        <v>1</v>
      </c>
      <c r="F1496" s="32" t="n">
        <v>89</v>
      </c>
      <c r="G1496" s="32" t="n">
        <v>89</v>
      </c>
      <c r="H1496" s="31" t="s">
        <v>45</v>
      </c>
      <c r="I1496" s="31" t="s">
        <v>46</v>
      </c>
      <c r="J1496" s="31" t="s">
        <v>2002</v>
      </c>
      <c r="K1496" s="31" t="s">
        <v>48</v>
      </c>
    </row>
    <row r="1497" customFormat="false" ht="15" hidden="false" customHeight="false" outlineLevel="0" collapsed="false">
      <c r="A1497" s="31" t="s">
        <v>2000</v>
      </c>
      <c r="B1497" s="31" t="s">
        <v>2003</v>
      </c>
      <c r="C1497" s="31" t="s">
        <v>20</v>
      </c>
      <c r="D1497" s="31" t="s">
        <v>53</v>
      </c>
      <c r="E1497" s="31" t="n">
        <v>1</v>
      </c>
      <c r="F1497" s="32" t="n">
        <v>33.15</v>
      </c>
      <c r="G1497" s="32" t="n">
        <v>33.15</v>
      </c>
      <c r="H1497" s="31" t="s">
        <v>45</v>
      </c>
      <c r="I1497" s="31" t="s">
        <v>46</v>
      </c>
      <c r="J1497" s="31" t="s">
        <v>2002</v>
      </c>
      <c r="K1497" s="31" t="s">
        <v>48</v>
      </c>
    </row>
    <row r="1498" customFormat="false" ht="15" hidden="false" customHeight="false" outlineLevel="0" collapsed="false">
      <c r="A1498" s="31" t="s">
        <v>2004</v>
      </c>
      <c r="B1498" s="31" t="s">
        <v>2005</v>
      </c>
      <c r="C1498" s="31" t="s">
        <v>20</v>
      </c>
      <c r="D1498" s="31" t="s">
        <v>53</v>
      </c>
      <c r="E1498" s="31" t="n">
        <v>1</v>
      </c>
      <c r="F1498" s="32" t="n">
        <v>39</v>
      </c>
      <c r="G1498" s="32" t="n">
        <v>39</v>
      </c>
      <c r="H1498" s="31" t="s">
        <v>45</v>
      </c>
      <c r="I1498" s="31" t="s">
        <v>58</v>
      </c>
      <c r="J1498" s="31" t="s">
        <v>90</v>
      </c>
      <c r="K1498" s="31" t="s">
        <v>48</v>
      </c>
    </row>
    <row r="1499" customFormat="false" ht="15" hidden="false" customHeight="false" outlineLevel="0" collapsed="false">
      <c r="A1499" s="31" t="s">
        <v>2004</v>
      </c>
      <c r="B1499" s="31" t="s">
        <v>2005</v>
      </c>
      <c r="C1499" s="31" t="s">
        <v>20</v>
      </c>
      <c r="D1499" s="31" t="s">
        <v>73</v>
      </c>
      <c r="E1499" s="31" t="n">
        <v>1</v>
      </c>
      <c r="F1499" s="32" t="n">
        <v>62.1</v>
      </c>
      <c r="G1499" s="32" t="n">
        <v>62.1</v>
      </c>
      <c r="H1499" s="31" t="s">
        <v>45</v>
      </c>
      <c r="I1499" s="31" t="s">
        <v>58</v>
      </c>
      <c r="J1499" s="31" t="s">
        <v>90</v>
      </c>
      <c r="K1499" s="31" t="s">
        <v>48</v>
      </c>
    </row>
    <row r="1500" customFormat="false" ht="15" hidden="false" customHeight="false" outlineLevel="0" collapsed="false">
      <c r="A1500" s="31" t="s">
        <v>2006</v>
      </c>
      <c r="B1500" s="31" t="s">
        <v>2007</v>
      </c>
      <c r="C1500" s="31" t="s">
        <v>20</v>
      </c>
      <c r="D1500" s="31" t="s">
        <v>123</v>
      </c>
      <c r="E1500" s="31" t="n">
        <v>1</v>
      </c>
      <c r="F1500" s="32" t="n">
        <v>75</v>
      </c>
      <c r="G1500" s="32" t="n">
        <v>75</v>
      </c>
      <c r="H1500" s="31" t="s">
        <v>45</v>
      </c>
      <c r="I1500" s="31" t="s">
        <v>104</v>
      </c>
      <c r="J1500" s="31"/>
      <c r="K1500" s="31" t="s">
        <v>48</v>
      </c>
    </row>
    <row r="1501" customFormat="false" ht="15" hidden="false" customHeight="false" outlineLevel="0" collapsed="false">
      <c r="A1501" s="31" t="s">
        <v>2006</v>
      </c>
      <c r="B1501" s="31" t="s">
        <v>2007</v>
      </c>
      <c r="C1501" s="31" t="s">
        <v>44</v>
      </c>
      <c r="D1501" s="31" t="s">
        <v>44</v>
      </c>
      <c r="E1501" s="31" t="n">
        <v>1</v>
      </c>
      <c r="F1501" s="32" t="n">
        <v>0</v>
      </c>
      <c r="G1501" s="32" t="n">
        <v>0</v>
      </c>
      <c r="H1501" s="31" t="s">
        <v>45</v>
      </c>
      <c r="I1501" s="31" t="s">
        <v>104</v>
      </c>
      <c r="J1501" s="31"/>
      <c r="K1501" s="31" t="s">
        <v>48</v>
      </c>
    </row>
    <row r="1502" customFormat="false" ht="15" hidden="false" customHeight="false" outlineLevel="0" collapsed="false">
      <c r="A1502" s="31" t="s">
        <v>2006</v>
      </c>
      <c r="B1502" s="31" t="s">
        <v>2008</v>
      </c>
      <c r="C1502" s="31" t="s">
        <v>20</v>
      </c>
      <c r="D1502" s="31" t="s">
        <v>52</v>
      </c>
      <c r="E1502" s="31" t="n">
        <v>1</v>
      </c>
      <c r="F1502" s="32" t="n">
        <v>22</v>
      </c>
      <c r="G1502" s="32" t="n">
        <v>22</v>
      </c>
      <c r="H1502" s="31" t="s">
        <v>45</v>
      </c>
      <c r="I1502" s="31" t="s">
        <v>104</v>
      </c>
      <c r="J1502" s="31"/>
      <c r="K1502" s="31" t="s">
        <v>48</v>
      </c>
    </row>
    <row r="1503" customFormat="false" ht="15" hidden="false" customHeight="false" outlineLevel="0" collapsed="false">
      <c r="A1503" s="31" t="s">
        <v>2009</v>
      </c>
      <c r="B1503" s="31" t="s">
        <v>2010</v>
      </c>
      <c r="C1503" s="31" t="s">
        <v>20</v>
      </c>
      <c r="D1503" s="31" t="s">
        <v>140</v>
      </c>
      <c r="E1503" s="31" t="n">
        <v>1</v>
      </c>
      <c r="F1503" s="32" t="n">
        <v>26</v>
      </c>
      <c r="G1503" s="32" t="n">
        <v>26</v>
      </c>
      <c r="H1503" s="31" t="s">
        <v>184</v>
      </c>
      <c r="I1503" s="31" t="s">
        <v>58</v>
      </c>
      <c r="J1503" s="31" t="s">
        <v>1875</v>
      </c>
      <c r="K1503" s="31" t="s">
        <v>48</v>
      </c>
    </row>
    <row r="1504" customFormat="false" ht="15" hidden="false" customHeight="false" outlineLevel="0" collapsed="false">
      <c r="A1504" s="31" t="s">
        <v>2009</v>
      </c>
      <c r="B1504" s="31" t="s">
        <v>2010</v>
      </c>
      <c r="C1504" s="31" t="s">
        <v>44</v>
      </c>
      <c r="D1504" s="31" t="s">
        <v>44</v>
      </c>
      <c r="E1504" s="31" t="n">
        <v>1</v>
      </c>
      <c r="F1504" s="32" t="n">
        <v>3.95</v>
      </c>
      <c r="G1504" s="32" t="n">
        <v>3.95</v>
      </c>
      <c r="H1504" s="31" t="s">
        <v>184</v>
      </c>
      <c r="I1504" s="31" t="s">
        <v>58</v>
      </c>
      <c r="J1504" s="31" t="s">
        <v>1875</v>
      </c>
      <c r="K1504" s="31" t="s">
        <v>48</v>
      </c>
    </row>
    <row r="1505" customFormat="false" ht="15" hidden="false" customHeight="false" outlineLevel="0" collapsed="false">
      <c r="A1505" s="31" t="s">
        <v>2011</v>
      </c>
      <c r="B1505" s="31" t="s">
        <v>2012</v>
      </c>
      <c r="C1505" s="31" t="s">
        <v>44</v>
      </c>
      <c r="D1505" s="31" t="s">
        <v>44</v>
      </c>
      <c r="E1505" s="31" t="n">
        <v>1</v>
      </c>
      <c r="F1505" s="32" t="n">
        <v>5.95</v>
      </c>
      <c r="G1505" s="32" t="n">
        <v>5.95</v>
      </c>
      <c r="H1505" s="31" t="s">
        <v>145</v>
      </c>
      <c r="I1505" s="31" t="s">
        <v>58</v>
      </c>
      <c r="J1505" s="31"/>
      <c r="K1505" s="31" t="s">
        <v>48</v>
      </c>
    </row>
    <row r="1506" customFormat="false" ht="15" hidden="false" customHeight="false" outlineLevel="0" collapsed="false">
      <c r="A1506" s="31" t="s">
        <v>2011</v>
      </c>
      <c r="B1506" s="31" t="s">
        <v>2012</v>
      </c>
      <c r="C1506" s="31" t="s">
        <v>20</v>
      </c>
      <c r="D1506" s="31" t="s">
        <v>66</v>
      </c>
      <c r="E1506" s="31" t="n">
        <v>1</v>
      </c>
      <c r="F1506" s="32" t="n">
        <v>25.6</v>
      </c>
      <c r="G1506" s="32" t="n">
        <v>25.6</v>
      </c>
      <c r="H1506" s="31" t="s">
        <v>145</v>
      </c>
      <c r="I1506" s="31" t="s">
        <v>58</v>
      </c>
      <c r="J1506" s="31"/>
      <c r="K1506" s="31" t="s">
        <v>48</v>
      </c>
    </row>
    <row r="1507" customFormat="false" ht="15" hidden="false" customHeight="false" outlineLevel="0" collapsed="false">
      <c r="A1507" s="31" t="s">
        <v>2013</v>
      </c>
      <c r="B1507" s="31" t="s">
        <v>2014</v>
      </c>
      <c r="C1507" s="31" t="s">
        <v>44</v>
      </c>
      <c r="D1507" s="31" t="s">
        <v>44</v>
      </c>
      <c r="E1507" s="31" t="n">
        <v>1</v>
      </c>
      <c r="F1507" s="32" t="n">
        <v>0</v>
      </c>
      <c r="G1507" s="32" t="n">
        <v>0</v>
      </c>
      <c r="H1507" s="31" t="s">
        <v>145</v>
      </c>
      <c r="I1507" s="31" t="s">
        <v>58</v>
      </c>
      <c r="J1507" s="31" t="s">
        <v>1852</v>
      </c>
      <c r="K1507" s="31" t="s">
        <v>48</v>
      </c>
    </row>
    <row r="1508" customFormat="false" ht="15" hidden="false" customHeight="false" outlineLevel="0" collapsed="false">
      <c r="A1508" s="31" t="s">
        <v>2013</v>
      </c>
      <c r="B1508" s="31" t="s">
        <v>2015</v>
      </c>
      <c r="C1508" s="31" t="s">
        <v>20</v>
      </c>
      <c r="D1508" s="31" t="s">
        <v>87</v>
      </c>
      <c r="E1508" s="31" t="n">
        <v>1</v>
      </c>
      <c r="F1508" s="32" t="n">
        <v>35</v>
      </c>
      <c r="G1508" s="32" t="n">
        <v>35</v>
      </c>
      <c r="H1508" s="31" t="s">
        <v>145</v>
      </c>
      <c r="I1508" s="31" t="s">
        <v>58</v>
      </c>
      <c r="J1508" s="31" t="s">
        <v>1852</v>
      </c>
      <c r="K1508" s="31" t="s">
        <v>48</v>
      </c>
    </row>
    <row r="1509" customFormat="false" ht="15" hidden="false" customHeight="false" outlineLevel="0" collapsed="false">
      <c r="A1509" s="31" t="s">
        <v>1908</v>
      </c>
      <c r="B1509" s="31" t="s">
        <v>2016</v>
      </c>
      <c r="C1509" s="31" t="s">
        <v>20</v>
      </c>
      <c r="D1509" s="31" t="s">
        <v>53</v>
      </c>
      <c r="E1509" s="31" t="n">
        <v>-1</v>
      </c>
      <c r="F1509" s="32" t="n">
        <v>39</v>
      </c>
      <c r="G1509" s="32" t="n">
        <v>-39</v>
      </c>
      <c r="H1509" s="31" t="s">
        <v>45</v>
      </c>
      <c r="I1509" s="31" t="s">
        <v>46</v>
      </c>
      <c r="J1509" s="31" t="s">
        <v>1275</v>
      </c>
      <c r="K1509" s="31" t="s">
        <v>243</v>
      </c>
    </row>
    <row r="1510" customFormat="false" ht="15" hidden="false" customHeight="false" outlineLevel="0" collapsed="false">
      <c r="A1510" s="31" t="s">
        <v>2017</v>
      </c>
      <c r="B1510" s="31" t="s">
        <v>2018</v>
      </c>
      <c r="C1510" s="31" t="s">
        <v>44</v>
      </c>
      <c r="D1510" s="31" t="s">
        <v>44</v>
      </c>
      <c r="E1510" s="31" t="n">
        <v>1</v>
      </c>
      <c r="F1510" s="32" t="n">
        <v>3.95</v>
      </c>
      <c r="G1510" s="32" t="n">
        <v>3.95</v>
      </c>
      <c r="H1510" s="31" t="s">
        <v>45</v>
      </c>
      <c r="I1510" s="31" t="s">
        <v>84</v>
      </c>
      <c r="J1510" s="31" t="s">
        <v>2019</v>
      </c>
      <c r="K1510" s="31" t="s">
        <v>48</v>
      </c>
    </row>
    <row r="1511" customFormat="false" ht="15" hidden="false" customHeight="false" outlineLevel="0" collapsed="false">
      <c r="A1511" s="31" t="s">
        <v>2017</v>
      </c>
      <c r="B1511" s="31" t="s">
        <v>2018</v>
      </c>
      <c r="C1511" s="31" t="s">
        <v>20</v>
      </c>
      <c r="D1511" s="31" t="s">
        <v>123</v>
      </c>
      <c r="E1511" s="31" t="n">
        <v>1</v>
      </c>
      <c r="F1511" s="32" t="n">
        <v>63.75</v>
      </c>
      <c r="G1511" s="32" t="n">
        <v>63.75</v>
      </c>
      <c r="H1511" s="31" t="s">
        <v>45</v>
      </c>
      <c r="I1511" s="31" t="s">
        <v>84</v>
      </c>
      <c r="J1511" s="31" t="s">
        <v>2019</v>
      </c>
      <c r="K1511" s="31" t="s">
        <v>48</v>
      </c>
    </row>
    <row r="1512" customFormat="false" ht="15" hidden="false" customHeight="false" outlineLevel="0" collapsed="false">
      <c r="A1512" s="31" t="s">
        <v>2017</v>
      </c>
      <c r="B1512" s="31" t="s">
        <v>2020</v>
      </c>
      <c r="C1512" s="31" t="s">
        <v>20</v>
      </c>
      <c r="D1512" s="31" t="s">
        <v>63</v>
      </c>
      <c r="E1512" s="31" t="n">
        <v>1</v>
      </c>
      <c r="F1512" s="32" t="n">
        <v>14</v>
      </c>
      <c r="G1512" s="32" t="n">
        <v>14</v>
      </c>
      <c r="H1512" s="31" t="s">
        <v>45</v>
      </c>
      <c r="I1512" s="31" t="s">
        <v>84</v>
      </c>
      <c r="J1512" s="31" t="s">
        <v>2019</v>
      </c>
      <c r="K1512" s="31" t="s">
        <v>48</v>
      </c>
    </row>
    <row r="1513" customFormat="false" ht="15" hidden="false" customHeight="false" outlineLevel="0" collapsed="false">
      <c r="A1513" s="31" t="s">
        <v>2021</v>
      </c>
      <c r="B1513" s="31" t="s">
        <v>2022</v>
      </c>
      <c r="C1513" s="31" t="s">
        <v>50</v>
      </c>
      <c r="D1513" s="31" t="s">
        <v>51</v>
      </c>
      <c r="E1513" s="31" t="n">
        <v>1</v>
      </c>
      <c r="F1513" s="32" t="n">
        <v>-10</v>
      </c>
      <c r="G1513" s="32" t="n">
        <v>-10</v>
      </c>
      <c r="H1513" s="31" t="s">
        <v>45</v>
      </c>
      <c r="I1513" s="31" t="s">
        <v>58</v>
      </c>
      <c r="J1513" s="31" t="s">
        <v>2023</v>
      </c>
      <c r="K1513" s="31" t="s">
        <v>48</v>
      </c>
    </row>
    <row r="1514" customFormat="false" ht="15" hidden="false" customHeight="false" outlineLevel="0" collapsed="false">
      <c r="A1514" s="31" t="s">
        <v>2021</v>
      </c>
      <c r="B1514" s="31" t="s">
        <v>2022</v>
      </c>
      <c r="C1514" s="31" t="s">
        <v>20</v>
      </c>
      <c r="D1514" s="31" t="s">
        <v>52</v>
      </c>
      <c r="E1514" s="31" t="n">
        <v>1</v>
      </c>
      <c r="F1514" s="32" t="n">
        <v>22</v>
      </c>
      <c r="G1514" s="32" t="n">
        <v>22</v>
      </c>
      <c r="H1514" s="31" t="s">
        <v>45</v>
      </c>
      <c r="I1514" s="31" t="s">
        <v>58</v>
      </c>
      <c r="J1514" s="31" t="s">
        <v>2023</v>
      </c>
      <c r="K1514" s="31" t="s">
        <v>48</v>
      </c>
    </row>
    <row r="1515" customFormat="false" ht="15" hidden="false" customHeight="false" outlineLevel="0" collapsed="false">
      <c r="A1515" s="31" t="s">
        <v>2021</v>
      </c>
      <c r="B1515" s="31" t="s">
        <v>2022</v>
      </c>
      <c r="C1515" s="31" t="s">
        <v>20</v>
      </c>
      <c r="D1515" s="31" t="s">
        <v>78</v>
      </c>
      <c r="E1515" s="31" t="n">
        <v>2</v>
      </c>
      <c r="F1515" s="32" t="n">
        <v>89</v>
      </c>
      <c r="G1515" s="32" t="n">
        <v>178</v>
      </c>
      <c r="H1515" s="31" t="s">
        <v>45</v>
      </c>
      <c r="I1515" s="31" t="s">
        <v>58</v>
      </c>
      <c r="J1515" s="31" t="s">
        <v>2023</v>
      </c>
      <c r="K1515" s="31" t="s">
        <v>48</v>
      </c>
    </row>
    <row r="1516" customFormat="false" ht="15" hidden="false" customHeight="false" outlineLevel="0" collapsed="false">
      <c r="A1516" s="31" t="s">
        <v>2024</v>
      </c>
      <c r="B1516" s="31" t="s">
        <v>2025</v>
      </c>
      <c r="C1516" s="31" t="s">
        <v>44</v>
      </c>
      <c r="D1516" s="31" t="s">
        <v>44</v>
      </c>
      <c r="E1516" s="31" t="n">
        <v>1</v>
      </c>
      <c r="F1516" s="32" t="n">
        <v>5.95</v>
      </c>
      <c r="G1516" s="32" t="n">
        <v>5.95</v>
      </c>
      <c r="H1516" s="31" t="s">
        <v>45</v>
      </c>
      <c r="I1516" s="31" t="s">
        <v>58</v>
      </c>
      <c r="J1516" s="31" t="s">
        <v>1233</v>
      </c>
      <c r="K1516" s="31" t="s">
        <v>48</v>
      </c>
    </row>
    <row r="1517" customFormat="false" ht="15" hidden="false" customHeight="false" outlineLevel="0" collapsed="false">
      <c r="A1517" s="31" t="s">
        <v>2024</v>
      </c>
      <c r="B1517" s="31" t="s">
        <v>2026</v>
      </c>
      <c r="C1517" s="31" t="s">
        <v>20</v>
      </c>
      <c r="D1517" s="31" t="s">
        <v>53</v>
      </c>
      <c r="E1517" s="31" t="n">
        <v>1</v>
      </c>
      <c r="F1517" s="32" t="n">
        <v>35.1</v>
      </c>
      <c r="G1517" s="32" t="n">
        <v>35.1</v>
      </c>
      <c r="H1517" s="31" t="s">
        <v>45</v>
      </c>
      <c r="I1517" s="31" t="s">
        <v>58</v>
      </c>
      <c r="J1517" s="31" t="s">
        <v>1233</v>
      </c>
      <c r="K1517" s="31" t="s">
        <v>48</v>
      </c>
    </row>
    <row r="1518" customFormat="false" ht="15" hidden="false" customHeight="false" outlineLevel="0" collapsed="false">
      <c r="A1518" s="31" t="s">
        <v>2024</v>
      </c>
      <c r="B1518" s="31" t="s">
        <v>2025</v>
      </c>
      <c r="C1518" s="31" t="s">
        <v>20</v>
      </c>
      <c r="D1518" s="31" t="s">
        <v>52</v>
      </c>
      <c r="E1518" s="31" t="n">
        <v>1</v>
      </c>
      <c r="F1518" s="32" t="n">
        <v>22</v>
      </c>
      <c r="G1518" s="32" t="n">
        <v>22</v>
      </c>
      <c r="H1518" s="31" t="s">
        <v>45</v>
      </c>
      <c r="I1518" s="31" t="s">
        <v>58</v>
      </c>
      <c r="J1518" s="31" t="s">
        <v>1233</v>
      </c>
      <c r="K1518" s="31" t="s">
        <v>48</v>
      </c>
    </row>
    <row r="1519" customFormat="false" ht="15" hidden="false" customHeight="false" outlineLevel="0" collapsed="false">
      <c r="A1519" s="31" t="s">
        <v>2027</v>
      </c>
      <c r="B1519" s="31" t="s">
        <v>2028</v>
      </c>
      <c r="C1519" s="31" t="s">
        <v>20</v>
      </c>
      <c r="D1519" s="31" t="s">
        <v>73</v>
      </c>
      <c r="E1519" s="31" t="n">
        <v>2</v>
      </c>
      <c r="F1519" s="32" t="n">
        <v>69</v>
      </c>
      <c r="G1519" s="32" t="n">
        <v>138</v>
      </c>
      <c r="H1519" s="31" t="s">
        <v>57</v>
      </c>
      <c r="I1519" s="31" t="s">
        <v>104</v>
      </c>
      <c r="J1519" s="31"/>
      <c r="K1519" s="31" t="s">
        <v>48</v>
      </c>
    </row>
    <row r="1520" customFormat="false" ht="15" hidden="false" customHeight="false" outlineLevel="0" collapsed="false">
      <c r="A1520" s="31" t="s">
        <v>2027</v>
      </c>
      <c r="B1520" s="31" t="s">
        <v>2028</v>
      </c>
      <c r="C1520" s="31" t="s">
        <v>20</v>
      </c>
      <c r="D1520" s="31" t="s">
        <v>56</v>
      </c>
      <c r="E1520" s="31" t="n">
        <v>2</v>
      </c>
      <c r="F1520" s="32" t="n">
        <v>45</v>
      </c>
      <c r="G1520" s="32" t="n">
        <v>90</v>
      </c>
      <c r="H1520" s="31" t="s">
        <v>57</v>
      </c>
      <c r="I1520" s="31" t="s">
        <v>104</v>
      </c>
      <c r="J1520" s="31"/>
      <c r="K1520" s="31" t="s">
        <v>48</v>
      </c>
    </row>
    <row r="1521" customFormat="false" ht="15" hidden="false" customHeight="false" outlineLevel="0" collapsed="false">
      <c r="A1521" s="31" t="s">
        <v>2027</v>
      </c>
      <c r="B1521" s="31" t="s">
        <v>2028</v>
      </c>
      <c r="C1521" s="31" t="s">
        <v>44</v>
      </c>
      <c r="D1521" s="31" t="s">
        <v>44</v>
      </c>
      <c r="E1521" s="31" t="n">
        <v>1</v>
      </c>
      <c r="F1521" s="32" t="n">
        <v>4.95</v>
      </c>
      <c r="G1521" s="32" t="n">
        <v>4.95</v>
      </c>
      <c r="H1521" s="31" t="s">
        <v>57</v>
      </c>
      <c r="I1521" s="31" t="s">
        <v>104</v>
      </c>
      <c r="J1521" s="31"/>
      <c r="K1521" s="31" t="s">
        <v>48</v>
      </c>
    </row>
    <row r="1522" customFormat="false" ht="15" hidden="false" customHeight="false" outlineLevel="0" collapsed="false">
      <c r="A1522" s="31" t="s">
        <v>2027</v>
      </c>
      <c r="B1522" s="31" t="s">
        <v>2029</v>
      </c>
      <c r="C1522" s="31" t="s">
        <v>50</v>
      </c>
      <c r="D1522" s="31" t="s">
        <v>51</v>
      </c>
      <c r="E1522" s="31" t="n">
        <v>1</v>
      </c>
      <c r="F1522" s="32" t="n">
        <v>-5</v>
      </c>
      <c r="G1522" s="32" t="n">
        <v>-5</v>
      </c>
      <c r="H1522" s="31" t="s">
        <v>57</v>
      </c>
      <c r="I1522" s="31" t="s">
        <v>104</v>
      </c>
      <c r="J1522" s="31"/>
      <c r="K1522" s="31" t="s">
        <v>48</v>
      </c>
    </row>
    <row r="1523" customFormat="false" ht="15" hidden="false" customHeight="false" outlineLevel="0" collapsed="false">
      <c r="A1523" s="31" t="s">
        <v>2027</v>
      </c>
      <c r="B1523" s="31" t="s">
        <v>2028</v>
      </c>
      <c r="C1523" s="31" t="s">
        <v>50</v>
      </c>
      <c r="D1523" s="31" t="s">
        <v>51</v>
      </c>
      <c r="E1523" s="31" t="n">
        <v>1</v>
      </c>
      <c r="F1523" s="32" t="n">
        <v>-5</v>
      </c>
      <c r="G1523" s="32" t="n">
        <v>-5</v>
      </c>
      <c r="H1523" s="31" t="s">
        <v>57</v>
      </c>
      <c r="I1523" s="31" t="s">
        <v>104</v>
      </c>
      <c r="J1523" s="31"/>
      <c r="K1523" s="31" t="s">
        <v>48</v>
      </c>
    </row>
    <row r="1524" customFormat="false" ht="15" hidden="false" customHeight="false" outlineLevel="0" collapsed="false">
      <c r="A1524" s="31" t="s">
        <v>2030</v>
      </c>
      <c r="B1524" s="31" t="s">
        <v>2031</v>
      </c>
      <c r="C1524" s="31" t="s">
        <v>20</v>
      </c>
      <c r="D1524" s="31" t="s">
        <v>87</v>
      </c>
      <c r="E1524" s="31" t="n">
        <v>1</v>
      </c>
      <c r="F1524" s="32" t="n">
        <v>35</v>
      </c>
      <c r="G1524" s="32" t="n">
        <v>35</v>
      </c>
      <c r="H1524" s="31" t="s">
        <v>45</v>
      </c>
      <c r="I1524" s="31" t="s">
        <v>58</v>
      </c>
      <c r="J1524" s="31" t="s">
        <v>1649</v>
      </c>
      <c r="K1524" s="31" t="s">
        <v>48</v>
      </c>
    </row>
    <row r="1525" customFormat="false" ht="15" hidden="false" customHeight="false" outlineLevel="0" collapsed="false">
      <c r="A1525" s="31" t="s">
        <v>2030</v>
      </c>
      <c r="B1525" s="31" t="s">
        <v>2031</v>
      </c>
      <c r="C1525" s="31" t="s">
        <v>20</v>
      </c>
      <c r="D1525" s="31" t="s">
        <v>66</v>
      </c>
      <c r="E1525" s="31" t="n">
        <v>4</v>
      </c>
      <c r="F1525" s="32" t="n">
        <v>32</v>
      </c>
      <c r="G1525" s="32" t="n">
        <v>128</v>
      </c>
      <c r="H1525" s="31" t="s">
        <v>45</v>
      </c>
      <c r="I1525" s="31" t="s">
        <v>58</v>
      </c>
      <c r="J1525" s="31" t="s">
        <v>1649</v>
      </c>
      <c r="K1525" s="31" t="s">
        <v>48</v>
      </c>
    </row>
    <row r="1526" customFormat="false" ht="15" hidden="false" customHeight="false" outlineLevel="0" collapsed="false">
      <c r="A1526" s="31" t="s">
        <v>2030</v>
      </c>
      <c r="B1526" s="31" t="s">
        <v>2031</v>
      </c>
      <c r="C1526" s="31" t="s">
        <v>44</v>
      </c>
      <c r="D1526" s="31" t="s">
        <v>44</v>
      </c>
      <c r="E1526" s="31" t="n">
        <v>1</v>
      </c>
      <c r="F1526" s="32" t="n">
        <v>4.95</v>
      </c>
      <c r="G1526" s="32" t="n">
        <v>4.95</v>
      </c>
      <c r="H1526" s="31" t="s">
        <v>45</v>
      </c>
      <c r="I1526" s="31" t="s">
        <v>58</v>
      </c>
      <c r="J1526" s="31" t="s">
        <v>1649</v>
      </c>
      <c r="K1526" s="31" t="s">
        <v>48</v>
      </c>
    </row>
    <row r="1527" customFormat="false" ht="15" hidden="false" customHeight="false" outlineLevel="0" collapsed="false">
      <c r="A1527" s="31" t="s">
        <v>2030</v>
      </c>
      <c r="B1527" s="31" t="s">
        <v>2032</v>
      </c>
      <c r="C1527" s="31" t="s">
        <v>50</v>
      </c>
      <c r="D1527" s="31" t="s">
        <v>51</v>
      </c>
      <c r="E1527" s="31" t="n">
        <v>1</v>
      </c>
      <c r="F1527" s="32" t="n">
        <v>-5</v>
      </c>
      <c r="G1527" s="32" t="n">
        <v>-5</v>
      </c>
      <c r="H1527" s="31" t="s">
        <v>45</v>
      </c>
      <c r="I1527" s="31" t="s">
        <v>58</v>
      </c>
      <c r="J1527" s="31" t="s">
        <v>1649</v>
      </c>
      <c r="K1527" s="31" t="s">
        <v>48</v>
      </c>
    </row>
    <row r="1528" customFormat="false" ht="15" hidden="false" customHeight="false" outlineLevel="0" collapsed="false">
      <c r="A1528" s="31" t="s">
        <v>2033</v>
      </c>
      <c r="B1528" s="31" t="s">
        <v>2034</v>
      </c>
      <c r="C1528" s="31" t="s">
        <v>44</v>
      </c>
      <c r="D1528" s="31" t="s">
        <v>44</v>
      </c>
      <c r="E1528" s="31" t="n">
        <v>1</v>
      </c>
      <c r="F1528" s="32" t="n">
        <v>5.95</v>
      </c>
      <c r="G1528" s="32" t="n">
        <v>5.95</v>
      </c>
      <c r="H1528" s="31" t="s">
        <v>45</v>
      </c>
      <c r="I1528" s="31" t="s">
        <v>58</v>
      </c>
      <c r="J1528" s="31" t="s">
        <v>1527</v>
      </c>
      <c r="K1528" s="31" t="s">
        <v>48</v>
      </c>
    </row>
    <row r="1529" customFormat="false" ht="15" hidden="false" customHeight="false" outlineLevel="0" collapsed="false">
      <c r="A1529" s="31" t="s">
        <v>2033</v>
      </c>
      <c r="B1529" s="31" t="s">
        <v>2034</v>
      </c>
      <c r="C1529" s="31" t="s">
        <v>20</v>
      </c>
      <c r="D1529" s="31" t="s">
        <v>73</v>
      </c>
      <c r="E1529" s="31" t="n">
        <v>1</v>
      </c>
      <c r="F1529" s="32" t="n">
        <v>69</v>
      </c>
      <c r="G1529" s="32" t="n">
        <v>69</v>
      </c>
      <c r="H1529" s="31" t="s">
        <v>45</v>
      </c>
      <c r="I1529" s="31" t="s">
        <v>58</v>
      </c>
      <c r="J1529" s="31" t="s">
        <v>1527</v>
      </c>
      <c r="K1529" s="31" t="s">
        <v>48</v>
      </c>
    </row>
    <row r="1530" customFormat="false" ht="15" hidden="false" customHeight="false" outlineLevel="0" collapsed="false">
      <c r="A1530" s="31" t="s">
        <v>2033</v>
      </c>
      <c r="B1530" s="31" t="s">
        <v>2034</v>
      </c>
      <c r="C1530" s="31" t="s">
        <v>50</v>
      </c>
      <c r="D1530" s="31" t="s">
        <v>51</v>
      </c>
      <c r="E1530" s="31" t="n">
        <v>1</v>
      </c>
      <c r="F1530" s="32" t="n">
        <v>-15</v>
      </c>
      <c r="G1530" s="32" t="n">
        <v>-15</v>
      </c>
      <c r="H1530" s="31" t="s">
        <v>45</v>
      </c>
      <c r="I1530" s="31" t="s">
        <v>58</v>
      </c>
      <c r="J1530" s="31" t="s">
        <v>1527</v>
      </c>
      <c r="K1530" s="31" t="s">
        <v>48</v>
      </c>
    </row>
    <row r="1531" customFormat="false" ht="15" hidden="false" customHeight="false" outlineLevel="0" collapsed="false">
      <c r="A1531" s="31" t="s">
        <v>1942</v>
      </c>
      <c r="B1531" s="31" t="s">
        <v>2035</v>
      </c>
      <c r="C1531" s="31" t="s">
        <v>20</v>
      </c>
      <c r="D1531" s="31" t="s">
        <v>123</v>
      </c>
      <c r="E1531" s="31" t="n">
        <v>-1</v>
      </c>
      <c r="F1531" s="32" t="n">
        <v>75</v>
      </c>
      <c r="G1531" s="32" t="n">
        <v>-75</v>
      </c>
      <c r="H1531" s="31" t="s">
        <v>45</v>
      </c>
      <c r="I1531" s="31" t="s">
        <v>58</v>
      </c>
      <c r="J1531" s="31" t="s">
        <v>1944</v>
      </c>
      <c r="K1531" s="31" t="s">
        <v>243</v>
      </c>
    </row>
    <row r="1532" customFormat="false" ht="15" hidden="false" customHeight="false" outlineLevel="0" collapsed="false">
      <c r="A1532" s="31" t="s">
        <v>2036</v>
      </c>
      <c r="B1532" s="31" t="s">
        <v>2037</v>
      </c>
      <c r="C1532" s="31" t="s">
        <v>20</v>
      </c>
      <c r="D1532" s="31" t="s">
        <v>66</v>
      </c>
      <c r="E1532" s="31" t="n">
        <v>1</v>
      </c>
      <c r="F1532" s="32" t="n">
        <v>32</v>
      </c>
      <c r="G1532" s="32" t="n">
        <v>32</v>
      </c>
      <c r="H1532" s="31" t="s">
        <v>45</v>
      </c>
      <c r="I1532" s="31" t="s">
        <v>58</v>
      </c>
      <c r="J1532" s="31" t="s">
        <v>2038</v>
      </c>
      <c r="K1532" s="31" t="s">
        <v>48</v>
      </c>
    </row>
    <row r="1533" customFormat="false" ht="15" hidden="false" customHeight="false" outlineLevel="0" collapsed="false">
      <c r="A1533" s="31" t="s">
        <v>2036</v>
      </c>
      <c r="B1533" s="31" t="s">
        <v>2039</v>
      </c>
      <c r="C1533" s="31" t="s">
        <v>20</v>
      </c>
      <c r="D1533" s="31" t="s">
        <v>53</v>
      </c>
      <c r="E1533" s="31" t="n">
        <v>3</v>
      </c>
      <c r="F1533" s="32" t="n">
        <v>39</v>
      </c>
      <c r="G1533" s="32" t="n">
        <v>117</v>
      </c>
      <c r="H1533" s="31" t="s">
        <v>45</v>
      </c>
      <c r="I1533" s="31" t="s">
        <v>58</v>
      </c>
      <c r="J1533" s="31" t="s">
        <v>2038</v>
      </c>
      <c r="K1533" s="31" t="s">
        <v>48</v>
      </c>
    </row>
    <row r="1534" customFormat="false" ht="15" hidden="false" customHeight="false" outlineLevel="0" collapsed="false">
      <c r="A1534" s="31" t="s">
        <v>2036</v>
      </c>
      <c r="B1534" s="31" t="s">
        <v>2039</v>
      </c>
      <c r="C1534" s="31" t="s">
        <v>44</v>
      </c>
      <c r="D1534" s="31" t="s">
        <v>44</v>
      </c>
      <c r="E1534" s="31" t="n">
        <v>1</v>
      </c>
      <c r="F1534" s="32" t="n">
        <v>4.95</v>
      </c>
      <c r="G1534" s="32" t="n">
        <v>4.95</v>
      </c>
      <c r="H1534" s="31" t="s">
        <v>45</v>
      </c>
      <c r="I1534" s="31" t="s">
        <v>58</v>
      </c>
      <c r="J1534" s="31" t="s">
        <v>2038</v>
      </c>
      <c r="K1534" s="31" t="s">
        <v>48</v>
      </c>
    </row>
    <row r="1535" customFormat="false" ht="15" hidden="false" customHeight="false" outlineLevel="0" collapsed="false">
      <c r="A1535" s="31" t="s">
        <v>2040</v>
      </c>
      <c r="B1535" s="31" t="s">
        <v>2041</v>
      </c>
      <c r="C1535" s="31" t="s">
        <v>20</v>
      </c>
      <c r="D1535" s="31" t="s">
        <v>66</v>
      </c>
      <c r="E1535" s="31" t="n">
        <v>1</v>
      </c>
      <c r="F1535" s="32" t="n">
        <v>32</v>
      </c>
      <c r="G1535" s="32" t="n">
        <v>32</v>
      </c>
      <c r="H1535" s="31" t="s">
        <v>160</v>
      </c>
      <c r="I1535" s="31" t="s">
        <v>58</v>
      </c>
      <c r="J1535" s="31" t="s">
        <v>2042</v>
      </c>
      <c r="K1535" s="31" t="s">
        <v>202</v>
      </c>
    </row>
    <row r="1536" customFormat="false" ht="15" hidden="false" customHeight="false" outlineLevel="0" collapsed="false">
      <c r="A1536" s="31" t="s">
        <v>2040</v>
      </c>
      <c r="B1536" s="31" t="s">
        <v>2041</v>
      </c>
      <c r="C1536" s="31" t="s">
        <v>44</v>
      </c>
      <c r="D1536" s="31" t="s">
        <v>44</v>
      </c>
      <c r="E1536" s="31" t="n">
        <v>1</v>
      </c>
      <c r="F1536" s="32" t="n">
        <v>5.95</v>
      </c>
      <c r="G1536" s="32" t="n">
        <v>5.95</v>
      </c>
      <c r="H1536" s="31" t="s">
        <v>160</v>
      </c>
      <c r="I1536" s="31" t="s">
        <v>58</v>
      </c>
      <c r="J1536" s="31" t="s">
        <v>2042</v>
      </c>
      <c r="K1536" s="31" t="s">
        <v>48</v>
      </c>
    </row>
    <row r="1537" customFormat="false" ht="15" hidden="false" customHeight="false" outlineLevel="0" collapsed="false">
      <c r="A1537" s="31" t="s">
        <v>2040</v>
      </c>
      <c r="B1537" s="31" t="s">
        <v>2043</v>
      </c>
      <c r="C1537" s="31" t="s">
        <v>50</v>
      </c>
      <c r="D1537" s="31" t="s">
        <v>51</v>
      </c>
      <c r="E1537" s="31" t="n">
        <v>1</v>
      </c>
      <c r="F1537" s="32" t="n">
        <v>-15</v>
      </c>
      <c r="G1537" s="32" t="n">
        <v>-15</v>
      </c>
      <c r="H1537" s="31" t="s">
        <v>160</v>
      </c>
      <c r="I1537" s="31" t="s">
        <v>58</v>
      </c>
      <c r="J1537" s="31" t="s">
        <v>2042</v>
      </c>
      <c r="K1537" s="31" t="s">
        <v>48</v>
      </c>
    </row>
    <row r="1538" customFormat="false" ht="15" hidden="false" customHeight="false" outlineLevel="0" collapsed="false">
      <c r="A1538" s="31" t="s">
        <v>2044</v>
      </c>
      <c r="B1538" s="31" t="s">
        <v>2045</v>
      </c>
      <c r="C1538" s="31" t="s">
        <v>50</v>
      </c>
      <c r="D1538" s="31" t="s">
        <v>51</v>
      </c>
      <c r="E1538" s="31" t="n">
        <v>1</v>
      </c>
      <c r="F1538" s="32" t="n">
        <v>-15</v>
      </c>
      <c r="G1538" s="32" t="n">
        <v>-15</v>
      </c>
      <c r="H1538" s="31" t="s">
        <v>45</v>
      </c>
      <c r="I1538" s="31" t="s">
        <v>58</v>
      </c>
      <c r="J1538" s="31" t="s">
        <v>534</v>
      </c>
      <c r="K1538" s="31" t="s">
        <v>48</v>
      </c>
    </row>
    <row r="1539" customFormat="false" ht="15" hidden="false" customHeight="false" outlineLevel="0" collapsed="false">
      <c r="A1539" s="31" t="s">
        <v>2044</v>
      </c>
      <c r="B1539" s="31" t="s">
        <v>2045</v>
      </c>
      <c r="C1539" s="31" t="s">
        <v>20</v>
      </c>
      <c r="D1539" s="31" t="s">
        <v>56</v>
      </c>
      <c r="E1539" s="31" t="n">
        <v>2</v>
      </c>
      <c r="F1539" s="32" t="n">
        <v>45</v>
      </c>
      <c r="G1539" s="32" t="n">
        <v>90</v>
      </c>
      <c r="H1539" s="31" t="s">
        <v>45</v>
      </c>
      <c r="I1539" s="31" t="s">
        <v>58</v>
      </c>
      <c r="J1539" s="31" t="s">
        <v>534</v>
      </c>
      <c r="K1539" s="31" t="s">
        <v>48</v>
      </c>
    </row>
    <row r="1540" customFormat="false" ht="15" hidden="false" customHeight="false" outlineLevel="0" collapsed="false">
      <c r="A1540" s="31" t="s">
        <v>2046</v>
      </c>
      <c r="B1540" s="31" t="s">
        <v>2047</v>
      </c>
      <c r="C1540" s="31" t="s">
        <v>20</v>
      </c>
      <c r="D1540" s="31" t="s">
        <v>56</v>
      </c>
      <c r="E1540" s="31" t="n">
        <v>1</v>
      </c>
      <c r="F1540" s="32" t="n">
        <v>45</v>
      </c>
      <c r="G1540" s="32" t="n">
        <v>45</v>
      </c>
      <c r="H1540" s="31" t="s">
        <v>145</v>
      </c>
      <c r="I1540" s="31" t="s">
        <v>58</v>
      </c>
      <c r="J1540" s="31" t="s">
        <v>2048</v>
      </c>
      <c r="K1540" s="31" t="s">
        <v>48</v>
      </c>
    </row>
    <row r="1541" customFormat="false" ht="15" hidden="false" customHeight="false" outlineLevel="0" collapsed="false">
      <c r="A1541" s="31" t="s">
        <v>2046</v>
      </c>
      <c r="B1541" s="31" t="s">
        <v>2047</v>
      </c>
      <c r="C1541" s="31" t="s">
        <v>20</v>
      </c>
      <c r="D1541" s="31" t="s">
        <v>78</v>
      </c>
      <c r="E1541" s="31" t="n">
        <v>1</v>
      </c>
      <c r="F1541" s="32" t="n">
        <v>89</v>
      </c>
      <c r="G1541" s="32" t="n">
        <v>89</v>
      </c>
      <c r="H1541" s="31" t="s">
        <v>145</v>
      </c>
      <c r="I1541" s="31" t="s">
        <v>58</v>
      </c>
      <c r="J1541" s="31" t="s">
        <v>2048</v>
      </c>
      <c r="K1541" s="31" t="s">
        <v>48</v>
      </c>
    </row>
    <row r="1542" customFormat="false" ht="15" hidden="false" customHeight="false" outlineLevel="0" collapsed="false">
      <c r="A1542" s="31" t="s">
        <v>2046</v>
      </c>
      <c r="B1542" s="31" t="s">
        <v>2049</v>
      </c>
      <c r="C1542" s="31" t="s">
        <v>20</v>
      </c>
      <c r="D1542" s="31" t="s">
        <v>63</v>
      </c>
      <c r="E1542" s="31" t="n">
        <v>2</v>
      </c>
      <c r="F1542" s="32" t="n">
        <v>14</v>
      </c>
      <c r="G1542" s="32" t="n">
        <v>28</v>
      </c>
      <c r="H1542" s="31" t="s">
        <v>145</v>
      </c>
      <c r="I1542" s="31" t="s">
        <v>58</v>
      </c>
      <c r="J1542" s="31" t="s">
        <v>2048</v>
      </c>
      <c r="K1542" s="31" t="s">
        <v>48</v>
      </c>
    </row>
    <row r="1543" customFormat="false" ht="15" hidden="false" customHeight="false" outlineLevel="0" collapsed="false">
      <c r="A1543" s="31" t="s">
        <v>2046</v>
      </c>
      <c r="B1543" s="31" t="s">
        <v>2047</v>
      </c>
      <c r="C1543" s="31" t="s">
        <v>44</v>
      </c>
      <c r="D1543" s="31" t="s">
        <v>44</v>
      </c>
      <c r="E1543" s="31" t="n">
        <v>1</v>
      </c>
      <c r="F1543" s="32" t="n">
        <v>5.95</v>
      </c>
      <c r="G1543" s="32" t="n">
        <v>5.95</v>
      </c>
      <c r="H1543" s="31" t="s">
        <v>145</v>
      </c>
      <c r="I1543" s="31" t="s">
        <v>58</v>
      </c>
      <c r="J1543" s="31" t="s">
        <v>2048</v>
      </c>
      <c r="K1543" s="31" t="s">
        <v>48</v>
      </c>
    </row>
    <row r="1544" customFormat="false" ht="15" hidden="false" customHeight="false" outlineLevel="0" collapsed="false">
      <c r="A1544" s="31" t="s">
        <v>2050</v>
      </c>
      <c r="B1544" s="31" t="s">
        <v>2051</v>
      </c>
      <c r="C1544" s="31" t="s">
        <v>20</v>
      </c>
      <c r="D1544" s="31" t="s">
        <v>66</v>
      </c>
      <c r="E1544" s="31" t="n">
        <v>1</v>
      </c>
      <c r="F1544" s="32" t="n">
        <v>32</v>
      </c>
      <c r="G1544" s="32" t="n">
        <v>32</v>
      </c>
      <c r="H1544" s="31" t="s">
        <v>57</v>
      </c>
      <c r="I1544" s="31" t="s">
        <v>58</v>
      </c>
      <c r="J1544" s="31" t="s">
        <v>552</v>
      </c>
      <c r="K1544" s="31" t="s">
        <v>48</v>
      </c>
    </row>
    <row r="1545" customFormat="false" ht="15" hidden="false" customHeight="false" outlineLevel="0" collapsed="false">
      <c r="A1545" s="31" t="s">
        <v>2050</v>
      </c>
      <c r="B1545" s="31" t="s">
        <v>2051</v>
      </c>
      <c r="C1545" s="31" t="s">
        <v>20</v>
      </c>
      <c r="D1545" s="31" t="s">
        <v>140</v>
      </c>
      <c r="E1545" s="31" t="n">
        <v>1</v>
      </c>
      <c r="F1545" s="32" t="n">
        <v>26</v>
      </c>
      <c r="G1545" s="32" t="n">
        <v>26</v>
      </c>
      <c r="H1545" s="31" t="s">
        <v>57</v>
      </c>
      <c r="I1545" s="31" t="s">
        <v>58</v>
      </c>
      <c r="J1545" s="31" t="s">
        <v>552</v>
      </c>
      <c r="K1545" s="31" t="s">
        <v>48</v>
      </c>
    </row>
    <row r="1546" customFormat="false" ht="15" hidden="false" customHeight="false" outlineLevel="0" collapsed="false">
      <c r="A1546" s="31" t="s">
        <v>2050</v>
      </c>
      <c r="B1546" s="31" t="s">
        <v>2051</v>
      </c>
      <c r="C1546" s="31" t="s">
        <v>20</v>
      </c>
      <c r="D1546" s="31" t="s">
        <v>78</v>
      </c>
      <c r="E1546" s="31" t="n">
        <v>2</v>
      </c>
      <c r="F1546" s="32" t="n">
        <v>89</v>
      </c>
      <c r="G1546" s="32" t="n">
        <v>178</v>
      </c>
      <c r="H1546" s="31" t="s">
        <v>57</v>
      </c>
      <c r="I1546" s="31" t="s">
        <v>58</v>
      </c>
      <c r="J1546" s="31" t="s">
        <v>552</v>
      </c>
      <c r="K1546" s="31" t="s">
        <v>48</v>
      </c>
    </row>
    <row r="1547" customFormat="false" ht="15" hidden="false" customHeight="false" outlineLevel="0" collapsed="false">
      <c r="A1547" s="31" t="s">
        <v>2052</v>
      </c>
      <c r="B1547" s="31" t="s">
        <v>2053</v>
      </c>
      <c r="C1547" s="31" t="s">
        <v>20</v>
      </c>
      <c r="D1547" s="31" t="s">
        <v>78</v>
      </c>
      <c r="E1547" s="31" t="n">
        <v>2</v>
      </c>
      <c r="F1547" s="32" t="n">
        <v>89</v>
      </c>
      <c r="G1547" s="32" t="n">
        <v>178</v>
      </c>
      <c r="H1547" s="31" t="s">
        <v>145</v>
      </c>
      <c r="I1547" s="31" t="s">
        <v>58</v>
      </c>
      <c r="J1547" s="31" t="s">
        <v>405</v>
      </c>
      <c r="K1547" s="31" t="s">
        <v>48</v>
      </c>
    </row>
    <row r="1548" customFormat="false" ht="15" hidden="false" customHeight="false" outlineLevel="0" collapsed="false">
      <c r="A1548" s="31" t="s">
        <v>2052</v>
      </c>
      <c r="B1548" s="31" t="s">
        <v>2054</v>
      </c>
      <c r="C1548" s="31" t="s">
        <v>44</v>
      </c>
      <c r="D1548" s="31" t="s">
        <v>44</v>
      </c>
      <c r="E1548" s="31" t="n">
        <v>1</v>
      </c>
      <c r="F1548" s="32" t="n">
        <v>5.95</v>
      </c>
      <c r="G1548" s="32" t="n">
        <v>5.95</v>
      </c>
      <c r="H1548" s="31" t="s">
        <v>145</v>
      </c>
      <c r="I1548" s="31" t="s">
        <v>58</v>
      </c>
      <c r="J1548" s="31" t="s">
        <v>405</v>
      </c>
      <c r="K1548" s="31" t="s">
        <v>48</v>
      </c>
    </row>
    <row r="1549" customFormat="false" ht="15" hidden="false" customHeight="false" outlineLevel="0" collapsed="false">
      <c r="A1549" s="31" t="s">
        <v>2055</v>
      </c>
      <c r="B1549" s="31" t="s">
        <v>2056</v>
      </c>
      <c r="C1549" s="31" t="s">
        <v>50</v>
      </c>
      <c r="D1549" s="31" t="s">
        <v>51</v>
      </c>
      <c r="E1549" s="31" t="n">
        <v>1</v>
      </c>
      <c r="F1549" s="32" t="n">
        <v>-15</v>
      </c>
      <c r="G1549" s="32" t="n">
        <v>-15</v>
      </c>
      <c r="H1549" s="31" t="s">
        <v>45</v>
      </c>
      <c r="I1549" s="31" t="s">
        <v>58</v>
      </c>
      <c r="J1549" s="31"/>
      <c r="K1549" s="31" t="s">
        <v>48</v>
      </c>
    </row>
    <row r="1550" customFormat="false" ht="15" hidden="false" customHeight="false" outlineLevel="0" collapsed="false">
      <c r="A1550" s="31" t="s">
        <v>2055</v>
      </c>
      <c r="B1550" s="31" t="s">
        <v>2056</v>
      </c>
      <c r="C1550" s="31" t="s">
        <v>44</v>
      </c>
      <c r="D1550" s="31" t="s">
        <v>44</v>
      </c>
      <c r="E1550" s="31" t="n">
        <v>1</v>
      </c>
      <c r="F1550" s="32" t="n">
        <v>4.95</v>
      </c>
      <c r="G1550" s="32" t="n">
        <v>4.95</v>
      </c>
      <c r="H1550" s="31" t="s">
        <v>45</v>
      </c>
      <c r="I1550" s="31" t="s">
        <v>58</v>
      </c>
      <c r="J1550" s="31"/>
      <c r="K1550" s="31" t="s">
        <v>48</v>
      </c>
    </row>
    <row r="1551" customFormat="false" ht="15" hidden="false" customHeight="false" outlineLevel="0" collapsed="false">
      <c r="A1551" s="31" t="s">
        <v>2055</v>
      </c>
      <c r="B1551" s="31" t="s">
        <v>2056</v>
      </c>
      <c r="C1551" s="31" t="s">
        <v>20</v>
      </c>
      <c r="D1551" s="31" t="s">
        <v>73</v>
      </c>
      <c r="E1551" s="31" t="n">
        <v>3</v>
      </c>
      <c r="F1551" s="32" t="n">
        <v>69</v>
      </c>
      <c r="G1551" s="32" t="n">
        <v>207</v>
      </c>
      <c r="H1551" s="31" t="s">
        <v>45</v>
      </c>
      <c r="I1551" s="31" t="s">
        <v>58</v>
      </c>
      <c r="J1551" s="31"/>
      <c r="K1551" s="31" t="s">
        <v>48</v>
      </c>
    </row>
    <row r="1552" customFormat="false" ht="15" hidden="false" customHeight="false" outlineLevel="0" collapsed="false">
      <c r="A1552" s="31" t="s">
        <v>2055</v>
      </c>
      <c r="B1552" s="31" t="s">
        <v>2057</v>
      </c>
      <c r="C1552" s="31" t="s">
        <v>20</v>
      </c>
      <c r="D1552" s="31" t="s">
        <v>56</v>
      </c>
      <c r="E1552" s="31" t="n">
        <v>1</v>
      </c>
      <c r="F1552" s="32" t="n">
        <v>45</v>
      </c>
      <c r="G1552" s="32" t="n">
        <v>45</v>
      </c>
      <c r="H1552" s="31" t="s">
        <v>45</v>
      </c>
      <c r="I1552" s="31" t="s">
        <v>58</v>
      </c>
      <c r="J1552" s="31"/>
      <c r="K1552" s="31" t="s">
        <v>48</v>
      </c>
    </row>
    <row r="1553" customFormat="false" ht="15" hidden="false" customHeight="false" outlineLevel="0" collapsed="false">
      <c r="A1553" s="31" t="s">
        <v>2055</v>
      </c>
      <c r="B1553" s="31" t="s">
        <v>2056</v>
      </c>
      <c r="C1553" s="31" t="s">
        <v>20</v>
      </c>
      <c r="D1553" s="31" t="s">
        <v>66</v>
      </c>
      <c r="E1553" s="31" t="n">
        <v>1</v>
      </c>
      <c r="F1553" s="32" t="n">
        <v>25.6</v>
      </c>
      <c r="G1553" s="32" t="n">
        <v>25.6</v>
      </c>
      <c r="H1553" s="31" t="s">
        <v>45</v>
      </c>
      <c r="I1553" s="31" t="s">
        <v>58</v>
      </c>
      <c r="J1553" s="31"/>
      <c r="K1553" s="31" t="s">
        <v>48</v>
      </c>
    </row>
    <row r="1554" customFormat="false" ht="15" hidden="false" customHeight="false" outlineLevel="0" collapsed="false">
      <c r="A1554" s="31" t="s">
        <v>2058</v>
      </c>
      <c r="B1554" s="31" t="s">
        <v>2059</v>
      </c>
      <c r="C1554" s="31" t="s">
        <v>20</v>
      </c>
      <c r="D1554" s="31" t="s">
        <v>52</v>
      </c>
      <c r="E1554" s="31" t="n">
        <v>2</v>
      </c>
      <c r="F1554" s="32" t="n">
        <v>22</v>
      </c>
      <c r="G1554" s="32" t="n">
        <v>44</v>
      </c>
      <c r="H1554" s="31" t="s">
        <v>45</v>
      </c>
      <c r="I1554" s="31" t="s">
        <v>58</v>
      </c>
      <c r="J1554" s="31"/>
      <c r="K1554" s="31" t="s">
        <v>48</v>
      </c>
    </row>
    <row r="1555" customFormat="false" ht="15" hidden="false" customHeight="false" outlineLevel="0" collapsed="false">
      <c r="A1555" s="31" t="s">
        <v>2060</v>
      </c>
      <c r="B1555" s="31" t="s">
        <v>2061</v>
      </c>
      <c r="C1555" s="31" t="s">
        <v>20</v>
      </c>
      <c r="D1555" s="31" t="s">
        <v>123</v>
      </c>
      <c r="E1555" s="31" t="n">
        <v>1</v>
      </c>
      <c r="F1555" s="32" t="n">
        <v>75</v>
      </c>
      <c r="G1555" s="32" t="n">
        <v>75</v>
      </c>
      <c r="H1555" s="31" t="s">
        <v>145</v>
      </c>
      <c r="I1555" s="31" t="s">
        <v>58</v>
      </c>
      <c r="J1555" s="31" t="s">
        <v>2062</v>
      </c>
      <c r="K1555" s="31" t="s">
        <v>48</v>
      </c>
    </row>
    <row r="1556" customFormat="false" ht="15" hidden="false" customHeight="false" outlineLevel="0" collapsed="false">
      <c r="A1556" s="31" t="s">
        <v>2060</v>
      </c>
      <c r="B1556" s="31" t="s">
        <v>2061</v>
      </c>
      <c r="C1556" s="31" t="s">
        <v>44</v>
      </c>
      <c r="D1556" s="31" t="s">
        <v>44</v>
      </c>
      <c r="E1556" s="31" t="n">
        <v>1</v>
      </c>
      <c r="F1556" s="32" t="n">
        <v>3.95</v>
      </c>
      <c r="G1556" s="32" t="n">
        <v>3.95</v>
      </c>
      <c r="H1556" s="31" t="s">
        <v>145</v>
      </c>
      <c r="I1556" s="31" t="s">
        <v>58</v>
      </c>
      <c r="J1556" s="31" t="s">
        <v>2062</v>
      </c>
      <c r="K1556" s="31" t="s">
        <v>48</v>
      </c>
    </row>
    <row r="1557" customFormat="false" ht="15" hidden="false" customHeight="false" outlineLevel="0" collapsed="false">
      <c r="A1557" s="31" t="s">
        <v>2063</v>
      </c>
      <c r="B1557" s="31" t="s">
        <v>2064</v>
      </c>
      <c r="C1557" s="31" t="s">
        <v>44</v>
      </c>
      <c r="D1557" s="31" t="s">
        <v>44</v>
      </c>
      <c r="E1557" s="31" t="n">
        <v>1</v>
      </c>
      <c r="F1557" s="32" t="n">
        <v>3.95</v>
      </c>
      <c r="G1557" s="32" t="n">
        <v>3.95</v>
      </c>
      <c r="H1557" s="31" t="s">
        <v>45</v>
      </c>
      <c r="I1557" s="31" t="s">
        <v>58</v>
      </c>
      <c r="J1557" s="31" t="s">
        <v>398</v>
      </c>
      <c r="K1557" s="31" t="s">
        <v>48</v>
      </c>
    </row>
    <row r="1558" customFormat="false" ht="15" hidden="false" customHeight="false" outlineLevel="0" collapsed="false">
      <c r="A1558" s="31" t="s">
        <v>2063</v>
      </c>
      <c r="B1558" s="31" t="s">
        <v>2065</v>
      </c>
      <c r="C1558" s="31" t="s">
        <v>20</v>
      </c>
      <c r="D1558" s="31" t="s">
        <v>69</v>
      </c>
      <c r="E1558" s="31" t="n">
        <v>2</v>
      </c>
      <c r="F1558" s="32" t="n">
        <v>29</v>
      </c>
      <c r="G1558" s="32" t="n">
        <v>58</v>
      </c>
      <c r="H1558" s="31" t="s">
        <v>45</v>
      </c>
      <c r="I1558" s="31" t="s">
        <v>58</v>
      </c>
      <c r="J1558" s="31" t="s">
        <v>398</v>
      </c>
      <c r="K1558" s="31" t="s">
        <v>48</v>
      </c>
    </row>
    <row r="1559" customFormat="false" ht="15" hidden="false" customHeight="false" outlineLevel="0" collapsed="false">
      <c r="A1559" s="31" t="s">
        <v>2066</v>
      </c>
      <c r="B1559" s="31" t="s">
        <v>2067</v>
      </c>
      <c r="C1559" s="31" t="s">
        <v>20</v>
      </c>
      <c r="D1559" s="31" t="s">
        <v>73</v>
      </c>
      <c r="E1559" s="31" t="n">
        <v>1</v>
      </c>
      <c r="F1559" s="32" t="n">
        <v>55.2</v>
      </c>
      <c r="G1559" s="32" t="n">
        <v>55.2</v>
      </c>
      <c r="H1559" s="31" t="s">
        <v>145</v>
      </c>
      <c r="I1559" s="31" t="s">
        <v>58</v>
      </c>
      <c r="J1559" s="31" t="s">
        <v>1811</v>
      </c>
      <c r="K1559" s="31" t="s">
        <v>48</v>
      </c>
    </row>
    <row r="1560" customFormat="false" ht="15" hidden="false" customHeight="false" outlineLevel="0" collapsed="false">
      <c r="A1560" s="31" t="s">
        <v>2066</v>
      </c>
      <c r="B1560" s="31" t="s">
        <v>2067</v>
      </c>
      <c r="C1560" s="31" t="s">
        <v>44</v>
      </c>
      <c r="D1560" s="31" t="s">
        <v>44</v>
      </c>
      <c r="E1560" s="31" t="n">
        <v>1</v>
      </c>
      <c r="F1560" s="32" t="n">
        <v>3.95</v>
      </c>
      <c r="G1560" s="32" t="n">
        <v>3.95</v>
      </c>
      <c r="H1560" s="31" t="s">
        <v>145</v>
      </c>
      <c r="I1560" s="31" t="s">
        <v>58</v>
      </c>
      <c r="J1560" s="31" t="s">
        <v>1811</v>
      </c>
      <c r="K1560" s="31" t="s">
        <v>48</v>
      </c>
    </row>
    <row r="1561" customFormat="false" ht="15" hidden="false" customHeight="false" outlineLevel="0" collapsed="false">
      <c r="A1561" s="31" t="s">
        <v>2068</v>
      </c>
      <c r="B1561" s="31" t="s">
        <v>2069</v>
      </c>
      <c r="C1561" s="31" t="s">
        <v>20</v>
      </c>
      <c r="D1561" s="31" t="s">
        <v>63</v>
      </c>
      <c r="E1561" s="31" t="n">
        <v>1</v>
      </c>
      <c r="F1561" s="32" t="n">
        <v>14</v>
      </c>
      <c r="G1561" s="32" t="n">
        <v>14</v>
      </c>
      <c r="H1561" s="31" t="s">
        <v>57</v>
      </c>
      <c r="I1561" s="31" t="s">
        <v>58</v>
      </c>
      <c r="J1561" s="31"/>
      <c r="K1561" s="31" t="s">
        <v>48</v>
      </c>
    </row>
    <row r="1562" customFormat="false" ht="15" hidden="false" customHeight="false" outlineLevel="0" collapsed="false">
      <c r="A1562" s="31" t="s">
        <v>2070</v>
      </c>
      <c r="B1562" s="31" t="s">
        <v>2071</v>
      </c>
      <c r="C1562" s="31" t="s">
        <v>20</v>
      </c>
      <c r="D1562" s="31" t="s">
        <v>53</v>
      </c>
      <c r="E1562" s="31" t="n">
        <v>1</v>
      </c>
      <c r="F1562" s="32" t="n">
        <v>39</v>
      </c>
      <c r="G1562" s="32" t="n">
        <v>39</v>
      </c>
      <c r="H1562" s="31" t="s">
        <v>57</v>
      </c>
      <c r="I1562" s="31" t="s">
        <v>58</v>
      </c>
      <c r="J1562" s="31" t="s">
        <v>2072</v>
      </c>
      <c r="K1562" s="31" t="s">
        <v>48</v>
      </c>
    </row>
    <row r="1563" customFormat="false" ht="15" hidden="false" customHeight="false" outlineLevel="0" collapsed="false">
      <c r="A1563" s="31" t="s">
        <v>2070</v>
      </c>
      <c r="B1563" s="31" t="s">
        <v>2073</v>
      </c>
      <c r="C1563" s="31" t="s">
        <v>20</v>
      </c>
      <c r="D1563" s="31" t="s">
        <v>123</v>
      </c>
      <c r="E1563" s="31" t="n">
        <v>1</v>
      </c>
      <c r="F1563" s="32" t="n">
        <v>75</v>
      </c>
      <c r="G1563" s="32" t="n">
        <v>75</v>
      </c>
      <c r="H1563" s="31" t="s">
        <v>57</v>
      </c>
      <c r="I1563" s="31" t="s">
        <v>58</v>
      </c>
      <c r="J1563" s="31" t="s">
        <v>2072</v>
      </c>
      <c r="K1563" s="31" t="s">
        <v>48</v>
      </c>
    </row>
    <row r="1564" customFormat="false" ht="15" hidden="false" customHeight="false" outlineLevel="0" collapsed="false">
      <c r="A1564" s="31" t="s">
        <v>2070</v>
      </c>
      <c r="B1564" s="31" t="s">
        <v>2073</v>
      </c>
      <c r="C1564" s="31" t="s">
        <v>44</v>
      </c>
      <c r="D1564" s="31" t="s">
        <v>44</v>
      </c>
      <c r="E1564" s="31" t="n">
        <v>1</v>
      </c>
      <c r="F1564" s="32" t="n">
        <v>3.95</v>
      </c>
      <c r="G1564" s="32" t="n">
        <v>3.95</v>
      </c>
      <c r="H1564" s="31" t="s">
        <v>57</v>
      </c>
      <c r="I1564" s="31" t="s">
        <v>58</v>
      </c>
      <c r="J1564" s="31" t="s">
        <v>2072</v>
      </c>
      <c r="K1564" s="31" t="s">
        <v>48</v>
      </c>
    </row>
    <row r="1565" customFormat="false" ht="15" hidden="false" customHeight="false" outlineLevel="0" collapsed="false">
      <c r="A1565" s="31" t="s">
        <v>2074</v>
      </c>
      <c r="B1565" s="31" t="s">
        <v>2075</v>
      </c>
      <c r="C1565" s="31" t="s">
        <v>20</v>
      </c>
      <c r="D1565" s="31" t="s">
        <v>73</v>
      </c>
      <c r="E1565" s="31" t="n">
        <v>2</v>
      </c>
      <c r="F1565" s="32" t="n">
        <v>69</v>
      </c>
      <c r="G1565" s="32" t="n">
        <v>138</v>
      </c>
      <c r="H1565" s="31" t="s">
        <v>145</v>
      </c>
      <c r="I1565" s="31" t="s">
        <v>58</v>
      </c>
      <c r="J1565" s="31" t="s">
        <v>2076</v>
      </c>
      <c r="K1565" s="31" t="s">
        <v>48</v>
      </c>
    </row>
    <row r="1566" customFormat="false" ht="15" hidden="false" customHeight="false" outlineLevel="0" collapsed="false">
      <c r="A1566" s="31" t="s">
        <v>2077</v>
      </c>
      <c r="B1566" s="31" t="s">
        <v>2078</v>
      </c>
      <c r="C1566" s="31" t="s">
        <v>20</v>
      </c>
      <c r="D1566" s="31" t="s">
        <v>69</v>
      </c>
      <c r="E1566" s="31" t="n">
        <v>1</v>
      </c>
      <c r="F1566" s="32" t="n">
        <v>29</v>
      </c>
      <c r="G1566" s="32" t="n">
        <v>29</v>
      </c>
      <c r="H1566" s="31" t="s">
        <v>57</v>
      </c>
      <c r="I1566" s="31" t="s">
        <v>121</v>
      </c>
      <c r="J1566" s="31"/>
      <c r="K1566" s="31" t="s">
        <v>48</v>
      </c>
    </row>
    <row r="1567" customFormat="false" ht="15" hidden="false" customHeight="false" outlineLevel="0" collapsed="false">
      <c r="A1567" s="31" t="s">
        <v>2077</v>
      </c>
      <c r="B1567" s="31" t="s">
        <v>2079</v>
      </c>
      <c r="C1567" s="31" t="s">
        <v>20</v>
      </c>
      <c r="D1567" s="31" t="s">
        <v>87</v>
      </c>
      <c r="E1567" s="31" t="n">
        <v>1</v>
      </c>
      <c r="F1567" s="32" t="n">
        <v>35</v>
      </c>
      <c r="G1567" s="32" t="n">
        <v>35</v>
      </c>
      <c r="H1567" s="31" t="s">
        <v>57</v>
      </c>
      <c r="I1567" s="31" t="s">
        <v>121</v>
      </c>
      <c r="J1567" s="31"/>
      <c r="K1567" s="31" t="s">
        <v>48</v>
      </c>
    </row>
    <row r="1568" customFormat="false" ht="15" hidden="false" customHeight="false" outlineLevel="0" collapsed="false">
      <c r="A1568" s="31" t="s">
        <v>2077</v>
      </c>
      <c r="B1568" s="31" t="s">
        <v>2078</v>
      </c>
      <c r="C1568" s="31" t="s">
        <v>20</v>
      </c>
      <c r="D1568" s="31" t="s">
        <v>78</v>
      </c>
      <c r="E1568" s="31" t="n">
        <v>1</v>
      </c>
      <c r="F1568" s="32" t="n">
        <v>89</v>
      </c>
      <c r="G1568" s="32" t="n">
        <v>89</v>
      </c>
      <c r="H1568" s="31" t="s">
        <v>57</v>
      </c>
      <c r="I1568" s="31" t="s">
        <v>121</v>
      </c>
      <c r="J1568" s="31"/>
      <c r="K1568" s="31" t="s">
        <v>48</v>
      </c>
    </row>
    <row r="1569" customFormat="false" ht="15" hidden="false" customHeight="false" outlineLevel="0" collapsed="false">
      <c r="A1569" s="31" t="s">
        <v>2077</v>
      </c>
      <c r="B1569" s="31" t="s">
        <v>2078</v>
      </c>
      <c r="C1569" s="31" t="s">
        <v>44</v>
      </c>
      <c r="D1569" s="31" t="s">
        <v>44</v>
      </c>
      <c r="E1569" s="31" t="n">
        <v>1</v>
      </c>
      <c r="F1569" s="32" t="n">
        <v>0</v>
      </c>
      <c r="G1569" s="32" t="n">
        <v>0</v>
      </c>
      <c r="H1569" s="31" t="s">
        <v>57</v>
      </c>
      <c r="I1569" s="31" t="s">
        <v>121</v>
      </c>
      <c r="J1569" s="31"/>
      <c r="K1569" s="31" t="s">
        <v>48</v>
      </c>
    </row>
    <row r="1570" customFormat="false" ht="15" hidden="false" customHeight="false" outlineLevel="0" collapsed="false">
      <c r="A1570" s="31" t="s">
        <v>2080</v>
      </c>
      <c r="B1570" s="31" t="s">
        <v>2081</v>
      </c>
      <c r="C1570" s="31" t="s">
        <v>20</v>
      </c>
      <c r="D1570" s="31" t="s">
        <v>123</v>
      </c>
      <c r="E1570" s="31" t="n">
        <v>1</v>
      </c>
      <c r="F1570" s="32" t="n">
        <v>75</v>
      </c>
      <c r="G1570" s="32" t="n">
        <v>75</v>
      </c>
      <c r="H1570" s="31" t="s">
        <v>57</v>
      </c>
      <c r="I1570" s="31" t="s">
        <v>58</v>
      </c>
      <c r="J1570" s="31"/>
      <c r="K1570" s="31" t="s">
        <v>48</v>
      </c>
    </row>
    <row r="1571" customFormat="false" ht="15" hidden="false" customHeight="false" outlineLevel="0" collapsed="false">
      <c r="A1571" s="31" t="s">
        <v>2080</v>
      </c>
      <c r="B1571" s="31" t="s">
        <v>2081</v>
      </c>
      <c r="C1571" s="31" t="s">
        <v>20</v>
      </c>
      <c r="D1571" s="31" t="s">
        <v>78</v>
      </c>
      <c r="E1571" s="31" t="n">
        <v>1</v>
      </c>
      <c r="F1571" s="32" t="n">
        <v>89</v>
      </c>
      <c r="G1571" s="32" t="n">
        <v>89</v>
      </c>
      <c r="H1571" s="31" t="s">
        <v>57</v>
      </c>
      <c r="I1571" s="31" t="s">
        <v>58</v>
      </c>
      <c r="J1571" s="31"/>
      <c r="K1571" s="31" t="s">
        <v>48</v>
      </c>
    </row>
    <row r="1572" customFormat="false" ht="15" hidden="false" customHeight="false" outlineLevel="0" collapsed="false">
      <c r="A1572" s="31" t="s">
        <v>2082</v>
      </c>
      <c r="B1572" s="31" t="s">
        <v>2083</v>
      </c>
      <c r="C1572" s="31" t="s">
        <v>20</v>
      </c>
      <c r="D1572" s="31" t="s">
        <v>66</v>
      </c>
      <c r="E1572" s="31" t="n">
        <v>1</v>
      </c>
      <c r="F1572" s="32" t="n">
        <v>32</v>
      </c>
      <c r="G1572" s="32" t="n">
        <v>32</v>
      </c>
      <c r="H1572" s="31" t="s">
        <v>45</v>
      </c>
      <c r="I1572" s="31" t="s">
        <v>58</v>
      </c>
      <c r="J1572" s="31" t="s">
        <v>2084</v>
      </c>
      <c r="K1572" s="31" t="s">
        <v>48</v>
      </c>
    </row>
    <row r="1573" customFormat="false" ht="15" hidden="false" customHeight="false" outlineLevel="0" collapsed="false">
      <c r="A1573" s="31" t="s">
        <v>2082</v>
      </c>
      <c r="B1573" s="31" t="s">
        <v>2085</v>
      </c>
      <c r="C1573" s="31" t="s">
        <v>44</v>
      </c>
      <c r="D1573" s="31" t="s">
        <v>44</v>
      </c>
      <c r="E1573" s="31" t="n">
        <v>1</v>
      </c>
      <c r="F1573" s="32" t="n">
        <v>0</v>
      </c>
      <c r="G1573" s="32" t="n">
        <v>0</v>
      </c>
      <c r="H1573" s="31" t="s">
        <v>45</v>
      </c>
      <c r="I1573" s="31" t="s">
        <v>58</v>
      </c>
      <c r="J1573" s="31" t="s">
        <v>2084</v>
      </c>
      <c r="K1573" s="31" t="s">
        <v>48</v>
      </c>
    </row>
    <row r="1574" customFormat="false" ht="15" hidden="false" customHeight="false" outlineLevel="0" collapsed="false">
      <c r="A1574" s="31" t="s">
        <v>2086</v>
      </c>
      <c r="B1574" s="31" t="s">
        <v>2087</v>
      </c>
      <c r="C1574" s="31" t="s">
        <v>20</v>
      </c>
      <c r="D1574" s="31" t="s">
        <v>78</v>
      </c>
      <c r="E1574" s="31" t="n">
        <v>2</v>
      </c>
      <c r="F1574" s="32" t="n">
        <v>89</v>
      </c>
      <c r="G1574" s="32" t="n">
        <v>178</v>
      </c>
      <c r="H1574" s="31" t="s">
        <v>45</v>
      </c>
      <c r="I1574" s="31" t="s">
        <v>58</v>
      </c>
      <c r="J1574" s="31" t="s">
        <v>2088</v>
      </c>
      <c r="K1574" s="31" t="s">
        <v>48</v>
      </c>
    </row>
    <row r="1575" customFormat="false" ht="15" hidden="false" customHeight="false" outlineLevel="0" collapsed="false">
      <c r="A1575" s="31" t="s">
        <v>2086</v>
      </c>
      <c r="B1575" s="31" t="s">
        <v>2087</v>
      </c>
      <c r="C1575" s="31" t="s">
        <v>20</v>
      </c>
      <c r="D1575" s="31" t="s">
        <v>69</v>
      </c>
      <c r="E1575" s="31" t="n">
        <v>2</v>
      </c>
      <c r="F1575" s="32" t="n">
        <v>29</v>
      </c>
      <c r="G1575" s="32" t="n">
        <v>58</v>
      </c>
      <c r="H1575" s="31" t="s">
        <v>45</v>
      </c>
      <c r="I1575" s="31" t="s">
        <v>58</v>
      </c>
      <c r="J1575" s="31" t="s">
        <v>2088</v>
      </c>
      <c r="K1575" s="31" t="s">
        <v>48</v>
      </c>
    </row>
    <row r="1576" customFormat="false" ht="15" hidden="false" customHeight="false" outlineLevel="0" collapsed="false">
      <c r="A1576" s="31" t="s">
        <v>2086</v>
      </c>
      <c r="B1576" s="31" t="s">
        <v>2087</v>
      </c>
      <c r="C1576" s="31" t="s">
        <v>44</v>
      </c>
      <c r="D1576" s="31" t="s">
        <v>44</v>
      </c>
      <c r="E1576" s="31" t="n">
        <v>1</v>
      </c>
      <c r="F1576" s="32" t="n">
        <v>4.95</v>
      </c>
      <c r="G1576" s="32" t="n">
        <v>4.95</v>
      </c>
      <c r="H1576" s="31" t="s">
        <v>45</v>
      </c>
      <c r="I1576" s="31" t="s">
        <v>58</v>
      </c>
      <c r="J1576" s="31" t="s">
        <v>2088</v>
      </c>
      <c r="K1576" s="31" t="s">
        <v>48</v>
      </c>
    </row>
    <row r="1577" customFormat="false" ht="15" hidden="false" customHeight="false" outlineLevel="0" collapsed="false">
      <c r="A1577" s="31" t="s">
        <v>2086</v>
      </c>
      <c r="B1577" s="31" t="s">
        <v>2089</v>
      </c>
      <c r="C1577" s="31" t="s">
        <v>20</v>
      </c>
      <c r="D1577" s="31" t="s">
        <v>66</v>
      </c>
      <c r="E1577" s="31" t="n">
        <v>1</v>
      </c>
      <c r="F1577" s="32" t="n">
        <v>32</v>
      </c>
      <c r="G1577" s="32" t="n">
        <v>32</v>
      </c>
      <c r="H1577" s="31" t="s">
        <v>45</v>
      </c>
      <c r="I1577" s="31" t="s">
        <v>58</v>
      </c>
      <c r="J1577" s="31" t="s">
        <v>2088</v>
      </c>
      <c r="K1577" s="31" t="s">
        <v>48</v>
      </c>
    </row>
    <row r="1578" customFormat="false" ht="15" hidden="false" customHeight="false" outlineLevel="0" collapsed="false">
      <c r="A1578" s="31" t="s">
        <v>2090</v>
      </c>
      <c r="B1578" s="31" t="s">
        <v>2091</v>
      </c>
      <c r="C1578" s="31" t="s">
        <v>20</v>
      </c>
      <c r="D1578" s="31" t="s">
        <v>69</v>
      </c>
      <c r="E1578" s="31" t="n">
        <v>1</v>
      </c>
      <c r="F1578" s="32" t="n">
        <v>29</v>
      </c>
      <c r="G1578" s="32" t="n">
        <v>29</v>
      </c>
      <c r="H1578" s="31" t="s">
        <v>160</v>
      </c>
      <c r="I1578" s="31" t="s">
        <v>58</v>
      </c>
      <c r="J1578" s="31" t="s">
        <v>580</v>
      </c>
      <c r="K1578" s="31" t="s">
        <v>48</v>
      </c>
    </row>
    <row r="1579" customFormat="false" ht="15" hidden="false" customHeight="false" outlineLevel="0" collapsed="false">
      <c r="A1579" s="31" t="s">
        <v>2090</v>
      </c>
      <c r="B1579" s="31" t="s">
        <v>2091</v>
      </c>
      <c r="C1579" s="31" t="s">
        <v>44</v>
      </c>
      <c r="D1579" s="31" t="s">
        <v>44</v>
      </c>
      <c r="E1579" s="31" t="n">
        <v>1</v>
      </c>
      <c r="F1579" s="32" t="n">
        <v>0</v>
      </c>
      <c r="G1579" s="32" t="n">
        <v>0</v>
      </c>
      <c r="H1579" s="31" t="s">
        <v>160</v>
      </c>
      <c r="I1579" s="31" t="s">
        <v>58</v>
      </c>
      <c r="J1579" s="31" t="s">
        <v>580</v>
      </c>
      <c r="K1579" s="31" t="s">
        <v>48</v>
      </c>
    </row>
    <row r="1580" customFormat="false" ht="15" hidden="false" customHeight="false" outlineLevel="0" collapsed="false">
      <c r="A1580" s="31" t="s">
        <v>2090</v>
      </c>
      <c r="B1580" s="31" t="s">
        <v>2091</v>
      </c>
      <c r="C1580" s="31" t="s">
        <v>20</v>
      </c>
      <c r="D1580" s="31" t="s">
        <v>78</v>
      </c>
      <c r="E1580" s="31" t="n">
        <v>1</v>
      </c>
      <c r="F1580" s="32" t="n">
        <v>89</v>
      </c>
      <c r="G1580" s="32" t="n">
        <v>89</v>
      </c>
      <c r="H1580" s="31" t="s">
        <v>160</v>
      </c>
      <c r="I1580" s="31" t="s">
        <v>58</v>
      </c>
      <c r="J1580" s="31" t="s">
        <v>580</v>
      </c>
      <c r="K1580" s="31" t="s">
        <v>48</v>
      </c>
    </row>
    <row r="1581" customFormat="false" ht="15" hidden="false" customHeight="false" outlineLevel="0" collapsed="false">
      <c r="A1581" s="31" t="s">
        <v>2090</v>
      </c>
      <c r="B1581" s="31" t="s">
        <v>2091</v>
      </c>
      <c r="C1581" s="31" t="s">
        <v>20</v>
      </c>
      <c r="D1581" s="31" t="s">
        <v>66</v>
      </c>
      <c r="E1581" s="31" t="n">
        <v>1</v>
      </c>
      <c r="F1581" s="32" t="n">
        <v>32</v>
      </c>
      <c r="G1581" s="32" t="n">
        <v>32</v>
      </c>
      <c r="H1581" s="31" t="s">
        <v>160</v>
      </c>
      <c r="I1581" s="31" t="s">
        <v>58</v>
      </c>
      <c r="J1581" s="31" t="s">
        <v>580</v>
      </c>
      <c r="K1581" s="31" t="s">
        <v>48</v>
      </c>
    </row>
    <row r="1582" customFormat="false" ht="15" hidden="false" customHeight="false" outlineLevel="0" collapsed="false">
      <c r="A1582" s="31" t="s">
        <v>2092</v>
      </c>
      <c r="B1582" s="31" t="s">
        <v>2093</v>
      </c>
      <c r="C1582" s="31" t="s">
        <v>20</v>
      </c>
      <c r="D1582" s="31" t="s">
        <v>53</v>
      </c>
      <c r="E1582" s="31" t="n">
        <v>2</v>
      </c>
      <c r="F1582" s="32" t="n">
        <v>39</v>
      </c>
      <c r="G1582" s="32" t="n">
        <v>78</v>
      </c>
      <c r="H1582" s="31" t="s">
        <v>45</v>
      </c>
      <c r="I1582" s="31" t="s">
        <v>155</v>
      </c>
      <c r="J1582" s="31" t="s">
        <v>2094</v>
      </c>
      <c r="K1582" s="31" t="s">
        <v>48</v>
      </c>
    </row>
    <row r="1583" customFormat="false" ht="15" hidden="false" customHeight="false" outlineLevel="0" collapsed="false">
      <c r="A1583" s="31" t="s">
        <v>2092</v>
      </c>
      <c r="B1583" s="31" t="s">
        <v>2095</v>
      </c>
      <c r="C1583" s="31" t="s">
        <v>44</v>
      </c>
      <c r="D1583" s="31" t="s">
        <v>44</v>
      </c>
      <c r="E1583" s="31" t="n">
        <v>1</v>
      </c>
      <c r="F1583" s="32" t="n">
        <v>5.95</v>
      </c>
      <c r="G1583" s="32" t="n">
        <v>5.95</v>
      </c>
      <c r="H1583" s="31" t="s">
        <v>45</v>
      </c>
      <c r="I1583" s="31" t="s">
        <v>155</v>
      </c>
      <c r="J1583" s="31" t="s">
        <v>2094</v>
      </c>
      <c r="K1583" s="31" t="s">
        <v>48</v>
      </c>
    </row>
    <row r="1584" customFormat="false" ht="15" hidden="false" customHeight="false" outlineLevel="0" collapsed="false">
      <c r="A1584" s="31" t="s">
        <v>2096</v>
      </c>
      <c r="B1584" s="31" t="s">
        <v>2097</v>
      </c>
      <c r="C1584" s="31" t="s">
        <v>44</v>
      </c>
      <c r="D1584" s="31" t="s">
        <v>44</v>
      </c>
      <c r="E1584" s="31" t="n">
        <v>1</v>
      </c>
      <c r="F1584" s="32" t="n">
        <v>4.95</v>
      </c>
      <c r="G1584" s="32" t="n">
        <v>4.95</v>
      </c>
      <c r="H1584" s="31" t="s">
        <v>57</v>
      </c>
      <c r="I1584" s="31" t="s">
        <v>58</v>
      </c>
      <c r="J1584" s="31" t="s">
        <v>1879</v>
      </c>
      <c r="K1584" s="31" t="s">
        <v>48</v>
      </c>
    </row>
    <row r="1585" customFormat="false" ht="15" hidden="false" customHeight="false" outlineLevel="0" collapsed="false">
      <c r="A1585" s="31" t="s">
        <v>2096</v>
      </c>
      <c r="B1585" s="31" t="s">
        <v>2097</v>
      </c>
      <c r="C1585" s="31" t="s">
        <v>20</v>
      </c>
      <c r="D1585" s="31" t="s">
        <v>53</v>
      </c>
      <c r="E1585" s="31" t="n">
        <v>1</v>
      </c>
      <c r="F1585" s="32" t="n">
        <v>39</v>
      </c>
      <c r="G1585" s="32" t="n">
        <v>39</v>
      </c>
      <c r="H1585" s="31" t="s">
        <v>57</v>
      </c>
      <c r="I1585" s="31" t="s">
        <v>58</v>
      </c>
      <c r="J1585" s="31" t="s">
        <v>1879</v>
      </c>
      <c r="K1585" s="31" t="s">
        <v>48</v>
      </c>
    </row>
    <row r="1586" customFormat="false" ht="15" hidden="false" customHeight="false" outlineLevel="0" collapsed="false">
      <c r="A1586" s="31" t="s">
        <v>2096</v>
      </c>
      <c r="B1586" s="31" t="s">
        <v>2097</v>
      </c>
      <c r="C1586" s="31" t="s">
        <v>20</v>
      </c>
      <c r="D1586" s="31" t="s">
        <v>78</v>
      </c>
      <c r="E1586" s="31" t="n">
        <v>1</v>
      </c>
      <c r="F1586" s="32" t="n">
        <v>89</v>
      </c>
      <c r="G1586" s="32" t="n">
        <v>89</v>
      </c>
      <c r="H1586" s="31" t="s">
        <v>57</v>
      </c>
      <c r="I1586" s="31" t="s">
        <v>58</v>
      </c>
      <c r="J1586" s="31" t="s">
        <v>1879</v>
      </c>
      <c r="K1586" s="31" t="s">
        <v>48</v>
      </c>
    </row>
    <row r="1587" customFormat="false" ht="15" hidden="false" customHeight="false" outlineLevel="0" collapsed="false">
      <c r="A1587" s="31" t="s">
        <v>2098</v>
      </c>
      <c r="B1587" s="31" t="s">
        <v>2099</v>
      </c>
      <c r="C1587" s="31" t="s">
        <v>20</v>
      </c>
      <c r="D1587" s="31" t="s">
        <v>56</v>
      </c>
      <c r="E1587" s="31" t="n">
        <v>2</v>
      </c>
      <c r="F1587" s="32" t="n">
        <v>38.25</v>
      </c>
      <c r="G1587" s="32" t="n">
        <v>76.5</v>
      </c>
      <c r="H1587" s="31" t="s">
        <v>45</v>
      </c>
      <c r="I1587" s="31" t="s">
        <v>84</v>
      </c>
      <c r="J1587" s="31" t="s">
        <v>500</v>
      </c>
      <c r="K1587" s="31" t="s">
        <v>48</v>
      </c>
    </row>
    <row r="1588" customFormat="false" ht="15" hidden="false" customHeight="false" outlineLevel="0" collapsed="false">
      <c r="A1588" s="31" t="s">
        <v>2098</v>
      </c>
      <c r="B1588" s="31" t="s">
        <v>2100</v>
      </c>
      <c r="C1588" s="31" t="s">
        <v>20</v>
      </c>
      <c r="D1588" s="31" t="s">
        <v>53</v>
      </c>
      <c r="E1588" s="31" t="n">
        <v>1</v>
      </c>
      <c r="F1588" s="32" t="n">
        <v>39</v>
      </c>
      <c r="G1588" s="32" t="n">
        <v>39</v>
      </c>
      <c r="H1588" s="31" t="s">
        <v>45</v>
      </c>
      <c r="I1588" s="31" t="s">
        <v>84</v>
      </c>
      <c r="J1588" s="31" t="s">
        <v>500</v>
      </c>
      <c r="K1588" s="31" t="s">
        <v>48</v>
      </c>
    </row>
    <row r="1589" customFormat="false" ht="15" hidden="false" customHeight="false" outlineLevel="0" collapsed="false">
      <c r="A1589" s="31" t="s">
        <v>2098</v>
      </c>
      <c r="B1589" s="31" t="s">
        <v>2100</v>
      </c>
      <c r="C1589" s="31" t="s">
        <v>44</v>
      </c>
      <c r="D1589" s="31" t="s">
        <v>44</v>
      </c>
      <c r="E1589" s="31" t="n">
        <v>1</v>
      </c>
      <c r="F1589" s="32" t="n">
        <v>0</v>
      </c>
      <c r="G1589" s="32" t="n">
        <v>0</v>
      </c>
      <c r="H1589" s="31" t="s">
        <v>45</v>
      </c>
      <c r="I1589" s="31" t="s">
        <v>84</v>
      </c>
      <c r="J1589" s="31" t="s">
        <v>500</v>
      </c>
      <c r="K1589" s="31" t="s">
        <v>48</v>
      </c>
    </row>
    <row r="1590" customFormat="false" ht="15" hidden="false" customHeight="false" outlineLevel="0" collapsed="false">
      <c r="A1590" s="31" t="s">
        <v>2101</v>
      </c>
      <c r="B1590" s="31" t="s">
        <v>2102</v>
      </c>
      <c r="C1590" s="31" t="s">
        <v>20</v>
      </c>
      <c r="D1590" s="31" t="s">
        <v>78</v>
      </c>
      <c r="E1590" s="31" t="n">
        <v>1</v>
      </c>
      <c r="F1590" s="32" t="n">
        <v>89</v>
      </c>
      <c r="G1590" s="32" t="n">
        <v>89</v>
      </c>
      <c r="H1590" s="31" t="s">
        <v>145</v>
      </c>
      <c r="I1590" s="31" t="s">
        <v>58</v>
      </c>
      <c r="J1590" s="31" t="s">
        <v>2103</v>
      </c>
      <c r="K1590" s="31" t="s">
        <v>48</v>
      </c>
    </row>
    <row r="1591" customFormat="false" ht="15" hidden="false" customHeight="false" outlineLevel="0" collapsed="false">
      <c r="A1591" s="31" t="s">
        <v>2104</v>
      </c>
      <c r="B1591" s="31" t="s">
        <v>2105</v>
      </c>
      <c r="C1591" s="31" t="s">
        <v>20</v>
      </c>
      <c r="D1591" s="31" t="s">
        <v>56</v>
      </c>
      <c r="E1591" s="31" t="n">
        <v>2</v>
      </c>
      <c r="F1591" s="32" t="n">
        <v>45</v>
      </c>
      <c r="G1591" s="32" t="n">
        <v>90</v>
      </c>
      <c r="H1591" s="31" t="s">
        <v>145</v>
      </c>
      <c r="I1591" s="31" t="s">
        <v>58</v>
      </c>
      <c r="J1591" s="31" t="s">
        <v>845</v>
      </c>
      <c r="K1591" s="31" t="s">
        <v>48</v>
      </c>
    </row>
    <row r="1592" customFormat="false" ht="15" hidden="false" customHeight="false" outlineLevel="0" collapsed="false">
      <c r="A1592" s="31" t="s">
        <v>2104</v>
      </c>
      <c r="B1592" s="31" t="s">
        <v>2106</v>
      </c>
      <c r="C1592" s="31" t="s">
        <v>20</v>
      </c>
      <c r="D1592" s="31" t="s">
        <v>53</v>
      </c>
      <c r="E1592" s="31" t="n">
        <v>1</v>
      </c>
      <c r="F1592" s="32" t="n">
        <v>39</v>
      </c>
      <c r="G1592" s="32" t="n">
        <v>39</v>
      </c>
      <c r="H1592" s="31" t="s">
        <v>145</v>
      </c>
      <c r="I1592" s="31" t="s">
        <v>58</v>
      </c>
      <c r="J1592" s="31" t="s">
        <v>845</v>
      </c>
      <c r="K1592" s="31" t="s">
        <v>48</v>
      </c>
    </row>
    <row r="1593" customFormat="false" ht="15" hidden="false" customHeight="false" outlineLevel="0" collapsed="false">
      <c r="A1593" s="31" t="s">
        <v>2107</v>
      </c>
      <c r="B1593" s="31" t="s">
        <v>2108</v>
      </c>
      <c r="C1593" s="31" t="s">
        <v>20</v>
      </c>
      <c r="D1593" s="31" t="s">
        <v>69</v>
      </c>
      <c r="E1593" s="31" t="n">
        <v>1</v>
      </c>
      <c r="F1593" s="32" t="n">
        <v>29</v>
      </c>
      <c r="G1593" s="32" t="n">
        <v>29</v>
      </c>
      <c r="H1593" s="31" t="s">
        <v>145</v>
      </c>
      <c r="I1593" s="31" t="s">
        <v>155</v>
      </c>
      <c r="J1593" s="31" t="s">
        <v>1264</v>
      </c>
      <c r="K1593" s="31" t="s">
        <v>48</v>
      </c>
    </row>
    <row r="1594" customFormat="false" ht="15" hidden="false" customHeight="false" outlineLevel="0" collapsed="false">
      <c r="A1594" s="31" t="s">
        <v>2107</v>
      </c>
      <c r="B1594" s="31" t="s">
        <v>2108</v>
      </c>
      <c r="C1594" s="31" t="s">
        <v>20</v>
      </c>
      <c r="D1594" s="31" t="s">
        <v>78</v>
      </c>
      <c r="E1594" s="31" t="n">
        <v>1</v>
      </c>
      <c r="F1594" s="32" t="n">
        <v>89</v>
      </c>
      <c r="G1594" s="32" t="n">
        <v>89</v>
      </c>
      <c r="H1594" s="31" t="s">
        <v>145</v>
      </c>
      <c r="I1594" s="31" t="s">
        <v>155</v>
      </c>
      <c r="J1594" s="31" t="s">
        <v>1264</v>
      </c>
      <c r="K1594" s="31" t="s">
        <v>48</v>
      </c>
    </row>
    <row r="1595" customFormat="false" ht="15" hidden="false" customHeight="false" outlineLevel="0" collapsed="false">
      <c r="A1595" s="31" t="s">
        <v>2107</v>
      </c>
      <c r="B1595" s="31" t="s">
        <v>2108</v>
      </c>
      <c r="C1595" s="31" t="s">
        <v>44</v>
      </c>
      <c r="D1595" s="31" t="s">
        <v>44</v>
      </c>
      <c r="E1595" s="31" t="n">
        <v>1</v>
      </c>
      <c r="F1595" s="32" t="n">
        <v>3.95</v>
      </c>
      <c r="G1595" s="32" t="n">
        <v>3.95</v>
      </c>
      <c r="H1595" s="31" t="s">
        <v>145</v>
      </c>
      <c r="I1595" s="31" t="s">
        <v>155</v>
      </c>
      <c r="J1595" s="31" t="s">
        <v>1264</v>
      </c>
      <c r="K1595" s="31" t="s">
        <v>48</v>
      </c>
    </row>
    <row r="1596" customFormat="false" ht="15" hidden="false" customHeight="false" outlineLevel="0" collapsed="false">
      <c r="A1596" s="31" t="s">
        <v>2109</v>
      </c>
      <c r="B1596" s="31" t="s">
        <v>2110</v>
      </c>
      <c r="C1596" s="31" t="s">
        <v>20</v>
      </c>
      <c r="D1596" s="31" t="s">
        <v>66</v>
      </c>
      <c r="E1596" s="31" t="n">
        <v>1</v>
      </c>
      <c r="F1596" s="32" t="n">
        <v>32</v>
      </c>
      <c r="G1596" s="32" t="n">
        <v>32</v>
      </c>
      <c r="H1596" s="31" t="s">
        <v>45</v>
      </c>
      <c r="I1596" s="31" t="s">
        <v>58</v>
      </c>
      <c r="J1596" s="31" t="s">
        <v>2111</v>
      </c>
      <c r="K1596" s="31" t="s">
        <v>48</v>
      </c>
    </row>
    <row r="1597" customFormat="false" ht="15" hidden="false" customHeight="false" outlineLevel="0" collapsed="false">
      <c r="A1597" s="31" t="s">
        <v>2109</v>
      </c>
      <c r="B1597" s="31" t="s">
        <v>2112</v>
      </c>
      <c r="C1597" s="31" t="s">
        <v>44</v>
      </c>
      <c r="D1597" s="31" t="s">
        <v>44</v>
      </c>
      <c r="E1597" s="31" t="n">
        <v>1</v>
      </c>
      <c r="F1597" s="32" t="n">
        <v>4.95</v>
      </c>
      <c r="G1597" s="32" t="n">
        <v>4.95</v>
      </c>
      <c r="H1597" s="31" t="s">
        <v>45</v>
      </c>
      <c r="I1597" s="31" t="s">
        <v>58</v>
      </c>
      <c r="J1597" s="31" t="s">
        <v>2111</v>
      </c>
      <c r="K1597" s="31" t="s">
        <v>48</v>
      </c>
    </row>
    <row r="1598" customFormat="false" ht="15" hidden="false" customHeight="false" outlineLevel="0" collapsed="false">
      <c r="A1598" s="31" t="s">
        <v>2113</v>
      </c>
      <c r="B1598" s="31" t="s">
        <v>2114</v>
      </c>
      <c r="C1598" s="31" t="s">
        <v>20</v>
      </c>
      <c r="D1598" s="31" t="s">
        <v>56</v>
      </c>
      <c r="E1598" s="31" t="n">
        <v>1</v>
      </c>
      <c r="F1598" s="32" t="n">
        <v>45</v>
      </c>
      <c r="G1598" s="32" t="n">
        <v>45</v>
      </c>
      <c r="H1598" s="31" t="s">
        <v>45</v>
      </c>
      <c r="I1598" s="31" t="s">
        <v>104</v>
      </c>
      <c r="J1598" s="31" t="s">
        <v>1561</v>
      </c>
      <c r="K1598" s="31" t="s">
        <v>48</v>
      </c>
    </row>
    <row r="1599" customFormat="false" ht="15" hidden="false" customHeight="false" outlineLevel="0" collapsed="false">
      <c r="A1599" s="31" t="s">
        <v>2113</v>
      </c>
      <c r="B1599" s="31" t="s">
        <v>2114</v>
      </c>
      <c r="C1599" s="31" t="s">
        <v>44</v>
      </c>
      <c r="D1599" s="31" t="s">
        <v>44</v>
      </c>
      <c r="E1599" s="31" t="n">
        <v>1</v>
      </c>
      <c r="F1599" s="32" t="n">
        <v>3.95</v>
      </c>
      <c r="G1599" s="32" t="n">
        <v>3.95</v>
      </c>
      <c r="H1599" s="31" t="s">
        <v>45</v>
      </c>
      <c r="I1599" s="31" t="s">
        <v>104</v>
      </c>
      <c r="J1599" s="31" t="s">
        <v>1561</v>
      </c>
      <c r="K1599" s="31" t="s">
        <v>48</v>
      </c>
    </row>
    <row r="1600" customFormat="false" ht="15" hidden="false" customHeight="false" outlineLevel="0" collapsed="false">
      <c r="A1600" s="31" t="s">
        <v>2115</v>
      </c>
      <c r="B1600" s="31" t="s">
        <v>2116</v>
      </c>
      <c r="C1600" s="31" t="s">
        <v>20</v>
      </c>
      <c r="D1600" s="31" t="s">
        <v>66</v>
      </c>
      <c r="E1600" s="31" t="n">
        <v>2</v>
      </c>
      <c r="F1600" s="32" t="n">
        <v>32</v>
      </c>
      <c r="G1600" s="32" t="n">
        <v>64</v>
      </c>
      <c r="H1600" s="31" t="s">
        <v>45</v>
      </c>
      <c r="I1600" s="31" t="s">
        <v>46</v>
      </c>
      <c r="J1600" s="31" t="s">
        <v>2117</v>
      </c>
      <c r="K1600" s="31" t="s">
        <v>48</v>
      </c>
    </row>
    <row r="1601" customFormat="false" ht="15" hidden="false" customHeight="false" outlineLevel="0" collapsed="false">
      <c r="A1601" s="31" t="s">
        <v>2118</v>
      </c>
      <c r="B1601" s="31" t="s">
        <v>2119</v>
      </c>
      <c r="C1601" s="31" t="s">
        <v>44</v>
      </c>
      <c r="D1601" s="31" t="s">
        <v>44</v>
      </c>
      <c r="E1601" s="31" t="n">
        <v>1</v>
      </c>
      <c r="F1601" s="32" t="n">
        <v>5.95</v>
      </c>
      <c r="G1601" s="32" t="n">
        <v>5.95</v>
      </c>
      <c r="H1601" s="31" t="s">
        <v>45</v>
      </c>
      <c r="I1601" s="31" t="s">
        <v>46</v>
      </c>
      <c r="J1601" s="31" t="s">
        <v>2120</v>
      </c>
      <c r="K1601" s="31" t="s">
        <v>48</v>
      </c>
    </row>
    <row r="1602" customFormat="false" ht="15" hidden="false" customHeight="false" outlineLevel="0" collapsed="false">
      <c r="A1602" s="31" t="s">
        <v>2118</v>
      </c>
      <c r="B1602" s="31" t="s">
        <v>2121</v>
      </c>
      <c r="C1602" s="31" t="s">
        <v>20</v>
      </c>
      <c r="D1602" s="31" t="s">
        <v>87</v>
      </c>
      <c r="E1602" s="31" t="n">
        <v>1</v>
      </c>
      <c r="F1602" s="32" t="n">
        <v>35</v>
      </c>
      <c r="G1602" s="32" t="n">
        <v>35</v>
      </c>
      <c r="H1602" s="31" t="s">
        <v>45</v>
      </c>
      <c r="I1602" s="31" t="s">
        <v>46</v>
      </c>
      <c r="J1602" s="31" t="s">
        <v>2120</v>
      </c>
      <c r="K1602" s="31" t="s">
        <v>48</v>
      </c>
    </row>
    <row r="1603" customFormat="false" ht="15" hidden="false" customHeight="false" outlineLevel="0" collapsed="false">
      <c r="A1603" s="31" t="s">
        <v>2118</v>
      </c>
      <c r="B1603" s="31" t="s">
        <v>2119</v>
      </c>
      <c r="C1603" s="31" t="s">
        <v>20</v>
      </c>
      <c r="D1603" s="31" t="s">
        <v>56</v>
      </c>
      <c r="E1603" s="31" t="n">
        <v>1</v>
      </c>
      <c r="F1603" s="32" t="n">
        <v>45</v>
      </c>
      <c r="G1603" s="32" t="n">
        <v>45</v>
      </c>
      <c r="H1603" s="31" t="s">
        <v>45</v>
      </c>
      <c r="I1603" s="31" t="s">
        <v>46</v>
      </c>
      <c r="J1603" s="31" t="s">
        <v>2120</v>
      </c>
      <c r="K1603" s="31" t="s">
        <v>48</v>
      </c>
    </row>
    <row r="1604" customFormat="false" ht="15" hidden="false" customHeight="false" outlineLevel="0" collapsed="false">
      <c r="A1604" s="31" t="s">
        <v>2122</v>
      </c>
      <c r="B1604" s="31" t="s">
        <v>2123</v>
      </c>
      <c r="C1604" s="31" t="s">
        <v>44</v>
      </c>
      <c r="D1604" s="31" t="s">
        <v>44</v>
      </c>
      <c r="E1604" s="31" t="n">
        <v>1</v>
      </c>
      <c r="F1604" s="32" t="n">
        <v>5.95</v>
      </c>
      <c r="G1604" s="32" t="n">
        <v>5.95</v>
      </c>
      <c r="H1604" s="31" t="s">
        <v>45</v>
      </c>
      <c r="I1604" s="31" t="s">
        <v>58</v>
      </c>
      <c r="J1604" s="31" t="s">
        <v>47</v>
      </c>
      <c r="K1604" s="31" t="s">
        <v>48</v>
      </c>
    </row>
    <row r="1605" customFormat="false" ht="15" hidden="false" customHeight="false" outlineLevel="0" collapsed="false">
      <c r="A1605" s="31" t="s">
        <v>2122</v>
      </c>
      <c r="B1605" s="31" t="s">
        <v>2123</v>
      </c>
      <c r="C1605" s="31" t="s">
        <v>20</v>
      </c>
      <c r="D1605" s="31" t="s">
        <v>73</v>
      </c>
      <c r="E1605" s="31" t="n">
        <v>1</v>
      </c>
      <c r="F1605" s="32" t="n">
        <v>69</v>
      </c>
      <c r="G1605" s="32" t="n">
        <v>69</v>
      </c>
      <c r="H1605" s="31" t="s">
        <v>45</v>
      </c>
      <c r="I1605" s="31" t="s">
        <v>58</v>
      </c>
      <c r="J1605" s="31" t="s">
        <v>47</v>
      </c>
      <c r="K1605" s="31" t="s">
        <v>48</v>
      </c>
    </row>
    <row r="1606" customFormat="false" ht="15" hidden="false" customHeight="false" outlineLevel="0" collapsed="false">
      <c r="A1606" s="31" t="s">
        <v>2124</v>
      </c>
      <c r="B1606" s="31" t="s">
        <v>2125</v>
      </c>
      <c r="C1606" s="31" t="s">
        <v>44</v>
      </c>
      <c r="D1606" s="31" t="s">
        <v>44</v>
      </c>
      <c r="E1606" s="31" t="n">
        <v>1</v>
      </c>
      <c r="F1606" s="32" t="n">
        <v>4.95</v>
      </c>
      <c r="G1606" s="32" t="n">
        <v>4.95</v>
      </c>
      <c r="H1606" s="31" t="s">
        <v>57</v>
      </c>
      <c r="I1606" s="31" t="s">
        <v>58</v>
      </c>
      <c r="J1606" s="31" t="s">
        <v>2126</v>
      </c>
      <c r="K1606" s="31" t="s">
        <v>48</v>
      </c>
    </row>
    <row r="1607" customFormat="false" ht="15" hidden="false" customHeight="false" outlineLevel="0" collapsed="false">
      <c r="A1607" s="31" t="s">
        <v>2124</v>
      </c>
      <c r="B1607" s="31" t="s">
        <v>2127</v>
      </c>
      <c r="C1607" s="31" t="s">
        <v>20</v>
      </c>
      <c r="D1607" s="31" t="s">
        <v>123</v>
      </c>
      <c r="E1607" s="31" t="n">
        <v>1</v>
      </c>
      <c r="F1607" s="32" t="n">
        <v>75</v>
      </c>
      <c r="G1607" s="32" t="n">
        <v>75</v>
      </c>
      <c r="H1607" s="31" t="s">
        <v>57</v>
      </c>
      <c r="I1607" s="31" t="s">
        <v>58</v>
      </c>
      <c r="J1607" s="31" t="s">
        <v>2126</v>
      </c>
      <c r="K1607" s="31" t="s">
        <v>48</v>
      </c>
    </row>
    <row r="1608" customFormat="false" ht="15" hidden="false" customHeight="false" outlineLevel="0" collapsed="false">
      <c r="A1608" s="31" t="s">
        <v>2124</v>
      </c>
      <c r="B1608" s="31" t="s">
        <v>2125</v>
      </c>
      <c r="C1608" s="31" t="s">
        <v>20</v>
      </c>
      <c r="D1608" s="31" t="s">
        <v>56</v>
      </c>
      <c r="E1608" s="31" t="n">
        <v>2</v>
      </c>
      <c r="F1608" s="32" t="n">
        <v>45</v>
      </c>
      <c r="G1608" s="32" t="n">
        <v>90</v>
      </c>
      <c r="H1608" s="31" t="s">
        <v>57</v>
      </c>
      <c r="I1608" s="31" t="s">
        <v>58</v>
      </c>
      <c r="J1608" s="31" t="s">
        <v>2126</v>
      </c>
      <c r="K1608" s="31" t="s">
        <v>48</v>
      </c>
    </row>
    <row r="1609" customFormat="false" ht="15" hidden="false" customHeight="false" outlineLevel="0" collapsed="false">
      <c r="A1609" s="31" t="s">
        <v>2128</v>
      </c>
      <c r="B1609" s="31" t="s">
        <v>2129</v>
      </c>
      <c r="C1609" s="31" t="s">
        <v>20</v>
      </c>
      <c r="D1609" s="31" t="s">
        <v>56</v>
      </c>
      <c r="E1609" s="31" t="n">
        <v>1</v>
      </c>
      <c r="F1609" s="32" t="n">
        <v>45</v>
      </c>
      <c r="G1609" s="32" t="n">
        <v>45</v>
      </c>
      <c r="H1609" s="31" t="s">
        <v>145</v>
      </c>
      <c r="I1609" s="31" t="s">
        <v>58</v>
      </c>
      <c r="J1609" s="31" t="s">
        <v>1050</v>
      </c>
      <c r="K1609" s="31" t="s">
        <v>48</v>
      </c>
    </row>
    <row r="1610" customFormat="false" ht="15" hidden="false" customHeight="false" outlineLevel="0" collapsed="false">
      <c r="A1610" s="31" t="s">
        <v>2130</v>
      </c>
      <c r="B1610" s="31" t="s">
        <v>2131</v>
      </c>
      <c r="C1610" s="31" t="s">
        <v>20</v>
      </c>
      <c r="D1610" s="31" t="s">
        <v>73</v>
      </c>
      <c r="E1610" s="31" t="n">
        <v>1</v>
      </c>
      <c r="F1610" s="32" t="n">
        <v>69</v>
      </c>
      <c r="G1610" s="32" t="n">
        <v>69</v>
      </c>
      <c r="H1610" s="31" t="s">
        <v>45</v>
      </c>
      <c r="I1610" s="31" t="s">
        <v>58</v>
      </c>
      <c r="J1610" s="31" t="s">
        <v>2132</v>
      </c>
      <c r="K1610" s="31" t="s">
        <v>48</v>
      </c>
    </row>
    <row r="1611" customFormat="false" ht="15" hidden="false" customHeight="false" outlineLevel="0" collapsed="false">
      <c r="A1611" s="31" t="s">
        <v>2130</v>
      </c>
      <c r="B1611" s="31" t="s">
        <v>2131</v>
      </c>
      <c r="C1611" s="31" t="s">
        <v>20</v>
      </c>
      <c r="D1611" s="31" t="s">
        <v>87</v>
      </c>
      <c r="E1611" s="31" t="n">
        <v>1</v>
      </c>
      <c r="F1611" s="32" t="n">
        <v>35</v>
      </c>
      <c r="G1611" s="32" t="n">
        <v>35</v>
      </c>
      <c r="H1611" s="31" t="s">
        <v>45</v>
      </c>
      <c r="I1611" s="31" t="s">
        <v>58</v>
      </c>
      <c r="J1611" s="31" t="s">
        <v>2132</v>
      </c>
      <c r="K1611" s="31" t="s">
        <v>48</v>
      </c>
    </row>
    <row r="1612" customFormat="false" ht="15" hidden="false" customHeight="false" outlineLevel="0" collapsed="false">
      <c r="A1612" s="31" t="s">
        <v>2130</v>
      </c>
      <c r="B1612" s="31" t="s">
        <v>2133</v>
      </c>
      <c r="C1612" s="31" t="s">
        <v>44</v>
      </c>
      <c r="D1612" s="31" t="s">
        <v>44</v>
      </c>
      <c r="E1612" s="31" t="n">
        <v>1</v>
      </c>
      <c r="F1612" s="32" t="n">
        <v>0</v>
      </c>
      <c r="G1612" s="32" t="n">
        <v>0</v>
      </c>
      <c r="H1612" s="31" t="s">
        <v>45</v>
      </c>
      <c r="I1612" s="31" t="s">
        <v>58</v>
      </c>
      <c r="J1612" s="31" t="s">
        <v>2132</v>
      </c>
      <c r="K1612" s="31" t="s">
        <v>48</v>
      </c>
    </row>
    <row r="1613" customFormat="false" ht="15" hidden="false" customHeight="false" outlineLevel="0" collapsed="false">
      <c r="A1613" s="31" t="s">
        <v>2134</v>
      </c>
      <c r="B1613" s="31" t="s">
        <v>2135</v>
      </c>
      <c r="C1613" s="31" t="s">
        <v>44</v>
      </c>
      <c r="D1613" s="31" t="s">
        <v>44</v>
      </c>
      <c r="E1613" s="31" t="n">
        <v>1</v>
      </c>
      <c r="F1613" s="32" t="n">
        <v>0</v>
      </c>
      <c r="G1613" s="32" t="n">
        <v>0</v>
      </c>
      <c r="H1613" s="31" t="s">
        <v>45</v>
      </c>
      <c r="I1613" s="31" t="s">
        <v>58</v>
      </c>
      <c r="J1613" s="31" t="s">
        <v>642</v>
      </c>
      <c r="K1613" s="31" t="s">
        <v>48</v>
      </c>
    </row>
    <row r="1614" customFormat="false" ht="15" hidden="false" customHeight="false" outlineLevel="0" collapsed="false">
      <c r="A1614" s="31" t="s">
        <v>2134</v>
      </c>
      <c r="B1614" s="31" t="s">
        <v>2135</v>
      </c>
      <c r="C1614" s="31" t="s">
        <v>20</v>
      </c>
      <c r="D1614" s="31" t="s">
        <v>73</v>
      </c>
      <c r="E1614" s="31" t="n">
        <v>1</v>
      </c>
      <c r="F1614" s="32" t="n">
        <v>69</v>
      </c>
      <c r="G1614" s="32" t="n">
        <v>69</v>
      </c>
      <c r="H1614" s="31" t="s">
        <v>45</v>
      </c>
      <c r="I1614" s="31" t="s">
        <v>58</v>
      </c>
      <c r="J1614" s="31" t="s">
        <v>642</v>
      </c>
      <c r="K1614" s="31" t="s">
        <v>48</v>
      </c>
    </row>
    <row r="1615" customFormat="false" ht="15" hidden="false" customHeight="false" outlineLevel="0" collapsed="false">
      <c r="A1615" s="31" t="s">
        <v>2136</v>
      </c>
      <c r="B1615" s="31" t="s">
        <v>2137</v>
      </c>
      <c r="C1615" s="31" t="s">
        <v>44</v>
      </c>
      <c r="D1615" s="31" t="s">
        <v>44</v>
      </c>
      <c r="E1615" s="31" t="n">
        <v>1</v>
      </c>
      <c r="F1615" s="32" t="n">
        <v>4.95</v>
      </c>
      <c r="G1615" s="32" t="n">
        <v>4.95</v>
      </c>
      <c r="H1615" s="31" t="s">
        <v>45</v>
      </c>
      <c r="I1615" s="31" t="s">
        <v>46</v>
      </c>
      <c r="J1615" s="31" t="s">
        <v>2138</v>
      </c>
      <c r="K1615" s="31" t="s">
        <v>48</v>
      </c>
    </row>
    <row r="1616" customFormat="false" ht="15" hidden="false" customHeight="false" outlineLevel="0" collapsed="false">
      <c r="A1616" s="31" t="s">
        <v>2136</v>
      </c>
      <c r="B1616" s="31" t="s">
        <v>2137</v>
      </c>
      <c r="C1616" s="31" t="s">
        <v>20</v>
      </c>
      <c r="D1616" s="31" t="s">
        <v>53</v>
      </c>
      <c r="E1616" s="31" t="n">
        <v>1</v>
      </c>
      <c r="F1616" s="32" t="n">
        <v>39</v>
      </c>
      <c r="G1616" s="32" t="n">
        <v>39</v>
      </c>
      <c r="H1616" s="31" t="s">
        <v>45</v>
      </c>
      <c r="I1616" s="31" t="s">
        <v>46</v>
      </c>
      <c r="J1616" s="31" t="s">
        <v>2138</v>
      </c>
      <c r="K1616" s="31" t="s">
        <v>48</v>
      </c>
    </row>
    <row r="1617" customFormat="false" ht="15" hidden="false" customHeight="false" outlineLevel="0" collapsed="false">
      <c r="A1617" s="31" t="s">
        <v>2139</v>
      </c>
      <c r="B1617" s="31" t="s">
        <v>2140</v>
      </c>
      <c r="C1617" s="31" t="s">
        <v>20</v>
      </c>
      <c r="D1617" s="31" t="s">
        <v>56</v>
      </c>
      <c r="E1617" s="31" t="n">
        <v>1</v>
      </c>
      <c r="F1617" s="32" t="n">
        <v>45</v>
      </c>
      <c r="G1617" s="32" t="n">
        <v>45</v>
      </c>
      <c r="H1617" s="31" t="s">
        <v>184</v>
      </c>
      <c r="I1617" s="31" t="s">
        <v>58</v>
      </c>
      <c r="J1617" s="31" t="s">
        <v>2141</v>
      </c>
      <c r="K1617" s="31" t="s">
        <v>48</v>
      </c>
    </row>
    <row r="1618" customFormat="false" ht="15" hidden="false" customHeight="false" outlineLevel="0" collapsed="false">
      <c r="A1618" s="31" t="s">
        <v>2139</v>
      </c>
      <c r="B1618" s="31" t="s">
        <v>2142</v>
      </c>
      <c r="C1618" s="31" t="s">
        <v>20</v>
      </c>
      <c r="D1618" s="31" t="s">
        <v>123</v>
      </c>
      <c r="E1618" s="31" t="n">
        <v>2</v>
      </c>
      <c r="F1618" s="32" t="n">
        <v>75</v>
      </c>
      <c r="G1618" s="32" t="n">
        <v>150</v>
      </c>
      <c r="H1618" s="31" t="s">
        <v>184</v>
      </c>
      <c r="I1618" s="31" t="s">
        <v>58</v>
      </c>
      <c r="J1618" s="31" t="s">
        <v>2141</v>
      </c>
      <c r="K1618" s="31" t="s">
        <v>202</v>
      </c>
    </row>
    <row r="1619" customFormat="false" ht="15" hidden="false" customHeight="false" outlineLevel="0" collapsed="false">
      <c r="A1619" s="31" t="s">
        <v>2139</v>
      </c>
      <c r="B1619" s="31" t="s">
        <v>2142</v>
      </c>
      <c r="C1619" s="31" t="s">
        <v>44</v>
      </c>
      <c r="D1619" s="31" t="s">
        <v>44</v>
      </c>
      <c r="E1619" s="31" t="n">
        <v>1</v>
      </c>
      <c r="F1619" s="32" t="n">
        <v>5.95</v>
      </c>
      <c r="G1619" s="32" t="n">
        <v>5.95</v>
      </c>
      <c r="H1619" s="31" t="s">
        <v>184</v>
      </c>
      <c r="I1619" s="31" t="s">
        <v>58</v>
      </c>
      <c r="J1619" s="31" t="s">
        <v>2141</v>
      </c>
      <c r="K1619" s="31" t="s">
        <v>48</v>
      </c>
    </row>
    <row r="1620" customFormat="false" ht="15" hidden="false" customHeight="false" outlineLevel="0" collapsed="false">
      <c r="A1620" s="31" t="s">
        <v>2050</v>
      </c>
      <c r="B1620" s="31" t="s">
        <v>2143</v>
      </c>
      <c r="C1620" s="31" t="s">
        <v>20</v>
      </c>
      <c r="D1620" s="31" t="s">
        <v>66</v>
      </c>
      <c r="E1620" s="31" t="n">
        <v>-1</v>
      </c>
      <c r="F1620" s="32" t="n">
        <v>32</v>
      </c>
      <c r="G1620" s="32" t="n">
        <v>-32</v>
      </c>
      <c r="H1620" s="31" t="s">
        <v>57</v>
      </c>
      <c r="I1620" s="31" t="s">
        <v>58</v>
      </c>
      <c r="J1620" s="31" t="s">
        <v>552</v>
      </c>
      <c r="K1620" s="31" t="s">
        <v>243</v>
      </c>
    </row>
    <row r="1621" customFormat="false" ht="15" hidden="false" customHeight="false" outlineLevel="0" collapsed="false">
      <c r="A1621" s="31" t="s">
        <v>2144</v>
      </c>
      <c r="B1621" s="31" t="s">
        <v>2145</v>
      </c>
      <c r="C1621" s="31" t="s">
        <v>44</v>
      </c>
      <c r="D1621" s="31" t="s">
        <v>44</v>
      </c>
      <c r="E1621" s="31" t="n">
        <v>1</v>
      </c>
      <c r="F1621" s="32" t="n">
        <v>5.95</v>
      </c>
      <c r="G1621" s="32" t="n">
        <v>5.95</v>
      </c>
      <c r="H1621" s="31" t="s">
        <v>57</v>
      </c>
      <c r="I1621" s="31" t="s">
        <v>58</v>
      </c>
      <c r="J1621" s="31" t="s">
        <v>1929</v>
      </c>
      <c r="K1621" s="31" t="s">
        <v>48</v>
      </c>
    </row>
    <row r="1622" customFormat="false" ht="15" hidden="false" customHeight="false" outlineLevel="0" collapsed="false">
      <c r="A1622" s="31" t="s">
        <v>2144</v>
      </c>
      <c r="B1622" s="31" t="s">
        <v>2146</v>
      </c>
      <c r="C1622" s="31" t="s">
        <v>20</v>
      </c>
      <c r="D1622" s="31" t="s">
        <v>123</v>
      </c>
      <c r="E1622" s="31" t="n">
        <v>2</v>
      </c>
      <c r="F1622" s="32" t="n">
        <v>75</v>
      </c>
      <c r="G1622" s="32" t="n">
        <v>150</v>
      </c>
      <c r="H1622" s="31" t="s">
        <v>57</v>
      </c>
      <c r="I1622" s="31" t="s">
        <v>58</v>
      </c>
      <c r="J1622" s="31" t="s">
        <v>1929</v>
      </c>
      <c r="K1622" s="31" t="s">
        <v>48</v>
      </c>
    </row>
    <row r="1623" customFormat="false" ht="15" hidden="false" customHeight="false" outlineLevel="0" collapsed="false">
      <c r="A1623" s="31" t="s">
        <v>2147</v>
      </c>
      <c r="B1623" s="31" t="s">
        <v>2148</v>
      </c>
      <c r="C1623" s="31" t="s">
        <v>20</v>
      </c>
      <c r="D1623" s="31" t="s">
        <v>69</v>
      </c>
      <c r="E1623" s="31" t="n">
        <v>2</v>
      </c>
      <c r="F1623" s="32" t="n">
        <v>29</v>
      </c>
      <c r="G1623" s="32" t="n">
        <v>58</v>
      </c>
      <c r="H1623" s="31" t="s">
        <v>145</v>
      </c>
      <c r="I1623" s="31" t="s">
        <v>155</v>
      </c>
      <c r="J1623" s="31" t="s">
        <v>2149</v>
      </c>
      <c r="K1623" s="31" t="s">
        <v>48</v>
      </c>
    </row>
    <row r="1624" customFormat="false" ht="15" hidden="false" customHeight="false" outlineLevel="0" collapsed="false">
      <c r="A1624" s="31" t="s">
        <v>2147</v>
      </c>
      <c r="B1624" s="31" t="s">
        <v>2148</v>
      </c>
      <c r="C1624" s="31" t="s">
        <v>20</v>
      </c>
      <c r="D1624" s="31" t="s">
        <v>87</v>
      </c>
      <c r="E1624" s="31" t="n">
        <v>1</v>
      </c>
      <c r="F1624" s="32" t="n">
        <v>35</v>
      </c>
      <c r="G1624" s="32" t="n">
        <v>35</v>
      </c>
      <c r="H1624" s="31" t="s">
        <v>145</v>
      </c>
      <c r="I1624" s="31" t="s">
        <v>155</v>
      </c>
      <c r="J1624" s="31" t="s">
        <v>2149</v>
      </c>
      <c r="K1624" s="31" t="s">
        <v>48</v>
      </c>
    </row>
    <row r="1625" customFormat="false" ht="15" hidden="false" customHeight="false" outlineLevel="0" collapsed="false">
      <c r="A1625" s="31" t="s">
        <v>2147</v>
      </c>
      <c r="B1625" s="31" t="s">
        <v>2148</v>
      </c>
      <c r="C1625" s="31" t="s">
        <v>20</v>
      </c>
      <c r="D1625" s="31" t="s">
        <v>73</v>
      </c>
      <c r="E1625" s="31" t="n">
        <v>2</v>
      </c>
      <c r="F1625" s="32" t="n">
        <v>69</v>
      </c>
      <c r="G1625" s="32" t="n">
        <v>138</v>
      </c>
      <c r="H1625" s="31" t="s">
        <v>145</v>
      </c>
      <c r="I1625" s="31" t="s">
        <v>155</v>
      </c>
      <c r="J1625" s="31" t="s">
        <v>2149</v>
      </c>
      <c r="K1625" s="31" t="s">
        <v>48</v>
      </c>
    </row>
    <row r="1626" customFormat="false" ht="15" hidden="false" customHeight="false" outlineLevel="0" collapsed="false">
      <c r="A1626" s="31" t="s">
        <v>2150</v>
      </c>
      <c r="B1626" s="31" t="s">
        <v>2151</v>
      </c>
      <c r="C1626" s="31" t="s">
        <v>20</v>
      </c>
      <c r="D1626" s="31" t="s">
        <v>63</v>
      </c>
      <c r="E1626" s="31" t="n">
        <v>2</v>
      </c>
      <c r="F1626" s="32" t="n">
        <v>14</v>
      </c>
      <c r="G1626" s="32" t="n">
        <v>28</v>
      </c>
      <c r="H1626" s="31" t="s">
        <v>45</v>
      </c>
      <c r="I1626" s="31" t="s">
        <v>46</v>
      </c>
      <c r="J1626" s="31" t="s">
        <v>2152</v>
      </c>
      <c r="K1626" s="31" t="s">
        <v>48</v>
      </c>
    </row>
    <row r="1627" customFormat="false" ht="15" hidden="false" customHeight="false" outlineLevel="0" collapsed="false">
      <c r="A1627" s="31" t="s">
        <v>2153</v>
      </c>
      <c r="B1627" s="31" t="s">
        <v>2154</v>
      </c>
      <c r="C1627" s="31" t="s">
        <v>44</v>
      </c>
      <c r="D1627" s="31" t="s">
        <v>44</v>
      </c>
      <c r="E1627" s="31" t="n">
        <v>1</v>
      </c>
      <c r="F1627" s="32" t="n">
        <v>5.95</v>
      </c>
      <c r="G1627" s="32" t="n">
        <v>5.95</v>
      </c>
      <c r="H1627" s="31" t="s">
        <v>45</v>
      </c>
      <c r="I1627" s="31" t="s">
        <v>46</v>
      </c>
      <c r="J1627" s="31" t="s">
        <v>2155</v>
      </c>
      <c r="K1627" s="31" t="s">
        <v>48</v>
      </c>
    </row>
    <row r="1628" customFormat="false" ht="15" hidden="false" customHeight="false" outlineLevel="0" collapsed="false">
      <c r="A1628" s="31" t="s">
        <v>2153</v>
      </c>
      <c r="B1628" s="31" t="s">
        <v>2156</v>
      </c>
      <c r="C1628" s="31" t="s">
        <v>20</v>
      </c>
      <c r="D1628" s="31" t="s">
        <v>56</v>
      </c>
      <c r="E1628" s="31" t="n">
        <v>1</v>
      </c>
      <c r="F1628" s="32" t="n">
        <v>45</v>
      </c>
      <c r="G1628" s="32" t="n">
        <v>45</v>
      </c>
      <c r="H1628" s="31" t="s">
        <v>45</v>
      </c>
      <c r="I1628" s="31" t="s">
        <v>46</v>
      </c>
      <c r="J1628" s="31" t="s">
        <v>2155</v>
      </c>
      <c r="K1628" s="31" t="s">
        <v>48</v>
      </c>
    </row>
    <row r="1629" customFormat="false" ht="15" hidden="false" customHeight="false" outlineLevel="0" collapsed="false">
      <c r="A1629" s="31" t="s">
        <v>2153</v>
      </c>
      <c r="B1629" s="31" t="s">
        <v>2156</v>
      </c>
      <c r="C1629" s="31" t="s">
        <v>20</v>
      </c>
      <c r="D1629" s="31" t="s">
        <v>53</v>
      </c>
      <c r="E1629" s="31" t="n">
        <v>1</v>
      </c>
      <c r="F1629" s="32" t="n">
        <v>39</v>
      </c>
      <c r="G1629" s="32" t="n">
        <v>39</v>
      </c>
      <c r="H1629" s="31" t="s">
        <v>45</v>
      </c>
      <c r="I1629" s="31" t="s">
        <v>46</v>
      </c>
      <c r="J1629" s="31" t="s">
        <v>2155</v>
      </c>
      <c r="K1629" s="31" t="s">
        <v>48</v>
      </c>
    </row>
    <row r="1630" customFormat="false" ht="15" hidden="false" customHeight="false" outlineLevel="0" collapsed="false">
      <c r="A1630" s="31" t="s">
        <v>2153</v>
      </c>
      <c r="B1630" s="31" t="s">
        <v>2156</v>
      </c>
      <c r="C1630" s="31" t="s">
        <v>20</v>
      </c>
      <c r="D1630" s="31" t="s">
        <v>78</v>
      </c>
      <c r="E1630" s="31" t="n">
        <v>1</v>
      </c>
      <c r="F1630" s="32" t="n">
        <v>89</v>
      </c>
      <c r="G1630" s="32" t="n">
        <v>89</v>
      </c>
      <c r="H1630" s="31" t="s">
        <v>45</v>
      </c>
      <c r="I1630" s="31" t="s">
        <v>46</v>
      </c>
      <c r="J1630" s="31" t="s">
        <v>2155</v>
      </c>
      <c r="K1630" s="31" t="s">
        <v>48</v>
      </c>
    </row>
    <row r="1631" customFormat="false" ht="15" hidden="false" customHeight="false" outlineLevel="0" collapsed="false">
      <c r="A1631" s="31" t="s">
        <v>2157</v>
      </c>
      <c r="B1631" s="31" t="s">
        <v>2158</v>
      </c>
      <c r="C1631" s="31" t="s">
        <v>20</v>
      </c>
      <c r="D1631" s="31" t="s">
        <v>66</v>
      </c>
      <c r="E1631" s="31" t="n">
        <v>1</v>
      </c>
      <c r="F1631" s="32" t="n">
        <v>32</v>
      </c>
      <c r="G1631" s="32" t="n">
        <v>32</v>
      </c>
      <c r="H1631" s="31" t="s">
        <v>145</v>
      </c>
      <c r="I1631" s="31" t="s">
        <v>121</v>
      </c>
      <c r="J1631" s="31" t="s">
        <v>2159</v>
      </c>
      <c r="K1631" s="31" t="s">
        <v>48</v>
      </c>
    </row>
    <row r="1632" customFormat="false" ht="15" hidden="false" customHeight="false" outlineLevel="0" collapsed="false">
      <c r="A1632" s="31" t="s">
        <v>2157</v>
      </c>
      <c r="B1632" s="31" t="s">
        <v>2160</v>
      </c>
      <c r="C1632" s="31" t="s">
        <v>44</v>
      </c>
      <c r="D1632" s="31" t="s">
        <v>44</v>
      </c>
      <c r="E1632" s="31" t="n">
        <v>1</v>
      </c>
      <c r="F1632" s="32" t="n">
        <v>5.95</v>
      </c>
      <c r="G1632" s="32" t="n">
        <v>5.95</v>
      </c>
      <c r="H1632" s="31" t="s">
        <v>145</v>
      </c>
      <c r="I1632" s="31" t="s">
        <v>121</v>
      </c>
      <c r="J1632" s="31" t="s">
        <v>2159</v>
      </c>
      <c r="K1632" s="31" t="s">
        <v>48</v>
      </c>
    </row>
    <row r="1633" customFormat="false" ht="15" hidden="false" customHeight="false" outlineLevel="0" collapsed="false">
      <c r="A1633" s="31" t="s">
        <v>2157</v>
      </c>
      <c r="B1633" s="31" t="s">
        <v>2158</v>
      </c>
      <c r="C1633" s="31" t="s">
        <v>20</v>
      </c>
      <c r="D1633" s="31" t="s">
        <v>123</v>
      </c>
      <c r="E1633" s="31" t="n">
        <v>2</v>
      </c>
      <c r="F1633" s="32" t="n">
        <v>75</v>
      </c>
      <c r="G1633" s="32" t="n">
        <v>150</v>
      </c>
      <c r="H1633" s="31" t="s">
        <v>145</v>
      </c>
      <c r="I1633" s="31" t="s">
        <v>121</v>
      </c>
      <c r="J1633" s="31" t="s">
        <v>2159</v>
      </c>
      <c r="K1633" s="31" t="s">
        <v>48</v>
      </c>
    </row>
    <row r="1634" customFormat="false" ht="15" hidden="false" customHeight="false" outlineLevel="0" collapsed="false">
      <c r="A1634" s="31" t="s">
        <v>2157</v>
      </c>
      <c r="B1634" s="31" t="s">
        <v>2158</v>
      </c>
      <c r="C1634" s="31" t="s">
        <v>20</v>
      </c>
      <c r="D1634" s="31" t="s">
        <v>69</v>
      </c>
      <c r="E1634" s="31" t="n">
        <v>2</v>
      </c>
      <c r="F1634" s="32" t="n">
        <v>29</v>
      </c>
      <c r="G1634" s="32" t="n">
        <v>58</v>
      </c>
      <c r="H1634" s="31" t="s">
        <v>145</v>
      </c>
      <c r="I1634" s="31" t="s">
        <v>121</v>
      </c>
      <c r="J1634" s="31" t="s">
        <v>2159</v>
      </c>
      <c r="K1634" s="31" t="s">
        <v>48</v>
      </c>
    </row>
    <row r="1635" customFormat="false" ht="15" hidden="false" customHeight="false" outlineLevel="0" collapsed="false">
      <c r="A1635" s="31" t="s">
        <v>2161</v>
      </c>
      <c r="B1635" s="31" t="s">
        <v>2162</v>
      </c>
      <c r="C1635" s="31" t="s">
        <v>44</v>
      </c>
      <c r="D1635" s="31" t="s">
        <v>44</v>
      </c>
      <c r="E1635" s="31" t="n">
        <v>1</v>
      </c>
      <c r="F1635" s="32" t="n">
        <v>4.95</v>
      </c>
      <c r="G1635" s="32" t="n">
        <v>4.95</v>
      </c>
      <c r="H1635" s="31" t="s">
        <v>145</v>
      </c>
      <c r="I1635" s="31" t="s">
        <v>58</v>
      </c>
      <c r="J1635" s="31"/>
      <c r="K1635" s="31" t="s">
        <v>48</v>
      </c>
    </row>
    <row r="1636" customFormat="false" ht="15" hidden="false" customHeight="false" outlineLevel="0" collapsed="false">
      <c r="A1636" s="31" t="s">
        <v>2161</v>
      </c>
      <c r="B1636" s="31" t="s">
        <v>2162</v>
      </c>
      <c r="C1636" s="31" t="s">
        <v>20</v>
      </c>
      <c r="D1636" s="31" t="s">
        <v>69</v>
      </c>
      <c r="E1636" s="31" t="n">
        <v>2</v>
      </c>
      <c r="F1636" s="32" t="n">
        <v>29</v>
      </c>
      <c r="G1636" s="32" t="n">
        <v>58</v>
      </c>
      <c r="H1636" s="31" t="s">
        <v>145</v>
      </c>
      <c r="I1636" s="31" t="s">
        <v>58</v>
      </c>
      <c r="J1636" s="31"/>
      <c r="K1636" s="31" t="s">
        <v>48</v>
      </c>
    </row>
    <row r="1637" customFormat="false" ht="15" hidden="false" customHeight="false" outlineLevel="0" collapsed="false">
      <c r="A1637" s="31" t="s">
        <v>2163</v>
      </c>
      <c r="B1637" s="31" t="s">
        <v>2164</v>
      </c>
      <c r="C1637" s="31" t="s">
        <v>20</v>
      </c>
      <c r="D1637" s="31" t="s">
        <v>63</v>
      </c>
      <c r="E1637" s="31" t="n">
        <v>2</v>
      </c>
      <c r="F1637" s="32" t="n">
        <v>14</v>
      </c>
      <c r="G1637" s="32" t="n">
        <v>28</v>
      </c>
      <c r="H1637" s="31" t="s">
        <v>57</v>
      </c>
      <c r="I1637" s="31" t="s">
        <v>58</v>
      </c>
      <c r="J1637" s="31" t="s">
        <v>506</v>
      </c>
      <c r="K1637" s="31" t="s">
        <v>48</v>
      </c>
    </row>
    <row r="1638" customFormat="false" ht="15" hidden="false" customHeight="false" outlineLevel="0" collapsed="false">
      <c r="A1638" s="31" t="s">
        <v>2163</v>
      </c>
      <c r="B1638" s="31" t="s">
        <v>2165</v>
      </c>
      <c r="C1638" s="31" t="s">
        <v>44</v>
      </c>
      <c r="D1638" s="31" t="s">
        <v>44</v>
      </c>
      <c r="E1638" s="31" t="n">
        <v>1</v>
      </c>
      <c r="F1638" s="32" t="n">
        <v>5.95</v>
      </c>
      <c r="G1638" s="32" t="n">
        <v>5.95</v>
      </c>
      <c r="H1638" s="31" t="s">
        <v>57</v>
      </c>
      <c r="I1638" s="31" t="s">
        <v>58</v>
      </c>
      <c r="J1638" s="31" t="s">
        <v>506</v>
      </c>
      <c r="K1638" s="31" t="s">
        <v>48</v>
      </c>
    </row>
    <row r="1639" customFormat="false" ht="15" hidden="false" customHeight="false" outlineLevel="0" collapsed="false">
      <c r="A1639" s="31" t="s">
        <v>2166</v>
      </c>
      <c r="B1639" s="31" t="s">
        <v>2167</v>
      </c>
      <c r="C1639" s="31" t="s">
        <v>44</v>
      </c>
      <c r="D1639" s="31" t="s">
        <v>44</v>
      </c>
      <c r="E1639" s="31" t="n">
        <v>1</v>
      </c>
      <c r="F1639" s="32" t="n">
        <v>3.95</v>
      </c>
      <c r="G1639" s="32" t="n">
        <v>3.95</v>
      </c>
      <c r="H1639" s="31" t="s">
        <v>145</v>
      </c>
      <c r="I1639" s="31" t="s">
        <v>58</v>
      </c>
      <c r="J1639" s="31" t="s">
        <v>2168</v>
      </c>
      <c r="K1639" s="31" t="s">
        <v>48</v>
      </c>
    </row>
    <row r="1640" customFormat="false" ht="15" hidden="false" customHeight="false" outlineLevel="0" collapsed="false">
      <c r="A1640" s="31" t="s">
        <v>2166</v>
      </c>
      <c r="B1640" s="31" t="s">
        <v>2167</v>
      </c>
      <c r="C1640" s="31" t="s">
        <v>20</v>
      </c>
      <c r="D1640" s="31" t="s">
        <v>66</v>
      </c>
      <c r="E1640" s="31" t="n">
        <v>1</v>
      </c>
      <c r="F1640" s="32" t="n">
        <v>32</v>
      </c>
      <c r="G1640" s="32" t="n">
        <v>32</v>
      </c>
      <c r="H1640" s="31" t="s">
        <v>145</v>
      </c>
      <c r="I1640" s="31" t="s">
        <v>58</v>
      </c>
      <c r="J1640" s="31" t="s">
        <v>2168</v>
      </c>
      <c r="K1640" s="31" t="s">
        <v>48</v>
      </c>
    </row>
    <row r="1641" customFormat="false" ht="15" hidden="false" customHeight="false" outlineLevel="0" collapsed="false">
      <c r="A1641" s="31" t="s">
        <v>2166</v>
      </c>
      <c r="B1641" s="31" t="s">
        <v>2167</v>
      </c>
      <c r="C1641" s="31" t="s">
        <v>20</v>
      </c>
      <c r="D1641" s="31" t="s">
        <v>63</v>
      </c>
      <c r="E1641" s="31" t="n">
        <v>1</v>
      </c>
      <c r="F1641" s="32" t="n">
        <v>14</v>
      </c>
      <c r="G1641" s="32" t="n">
        <v>14</v>
      </c>
      <c r="H1641" s="31" t="s">
        <v>145</v>
      </c>
      <c r="I1641" s="31" t="s">
        <v>58</v>
      </c>
      <c r="J1641" s="31" t="s">
        <v>2168</v>
      </c>
      <c r="K1641" s="31" t="s">
        <v>48</v>
      </c>
    </row>
    <row r="1642" customFormat="false" ht="15" hidden="false" customHeight="false" outlineLevel="0" collapsed="false">
      <c r="A1642" s="31" t="s">
        <v>2169</v>
      </c>
      <c r="B1642" s="31" t="s">
        <v>2170</v>
      </c>
      <c r="C1642" s="31" t="s">
        <v>20</v>
      </c>
      <c r="D1642" s="31" t="s">
        <v>123</v>
      </c>
      <c r="E1642" s="31" t="n">
        <v>2</v>
      </c>
      <c r="F1642" s="32" t="n">
        <v>75</v>
      </c>
      <c r="G1642" s="32" t="n">
        <v>150</v>
      </c>
      <c r="H1642" s="31" t="s">
        <v>45</v>
      </c>
      <c r="I1642" s="31" t="s">
        <v>84</v>
      </c>
      <c r="J1642" s="31" t="s">
        <v>2171</v>
      </c>
      <c r="K1642" s="31" t="s">
        <v>48</v>
      </c>
    </row>
    <row r="1643" customFormat="false" ht="15" hidden="false" customHeight="false" outlineLevel="0" collapsed="false">
      <c r="A1643" s="31" t="s">
        <v>2169</v>
      </c>
      <c r="B1643" s="31" t="s">
        <v>2172</v>
      </c>
      <c r="C1643" s="31" t="s">
        <v>44</v>
      </c>
      <c r="D1643" s="31" t="s">
        <v>44</v>
      </c>
      <c r="E1643" s="31" t="n">
        <v>1</v>
      </c>
      <c r="F1643" s="32" t="n">
        <v>4.95</v>
      </c>
      <c r="G1643" s="32" t="n">
        <v>4.95</v>
      </c>
      <c r="H1643" s="31" t="s">
        <v>45</v>
      </c>
      <c r="I1643" s="31" t="s">
        <v>84</v>
      </c>
      <c r="J1643" s="31" t="s">
        <v>2171</v>
      </c>
      <c r="K1643" s="31" t="s">
        <v>48</v>
      </c>
    </row>
    <row r="1644" customFormat="false" ht="15" hidden="false" customHeight="false" outlineLevel="0" collapsed="false">
      <c r="A1644" s="31" t="s">
        <v>2169</v>
      </c>
      <c r="B1644" s="31" t="s">
        <v>2172</v>
      </c>
      <c r="C1644" s="31" t="s">
        <v>20</v>
      </c>
      <c r="D1644" s="31" t="s">
        <v>140</v>
      </c>
      <c r="E1644" s="31" t="n">
        <v>4</v>
      </c>
      <c r="F1644" s="32" t="n">
        <v>26</v>
      </c>
      <c r="G1644" s="32" t="n">
        <v>104</v>
      </c>
      <c r="H1644" s="31" t="s">
        <v>45</v>
      </c>
      <c r="I1644" s="31" t="s">
        <v>84</v>
      </c>
      <c r="J1644" s="31" t="s">
        <v>2171</v>
      </c>
      <c r="K1644" s="31" t="s">
        <v>48</v>
      </c>
    </row>
    <row r="1645" customFormat="false" ht="15" hidden="false" customHeight="false" outlineLevel="0" collapsed="false">
      <c r="A1645" s="31" t="s">
        <v>2169</v>
      </c>
      <c r="B1645" s="31" t="s">
        <v>2172</v>
      </c>
      <c r="C1645" s="31" t="s">
        <v>20</v>
      </c>
      <c r="D1645" s="31" t="s">
        <v>87</v>
      </c>
      <c r="E1645" s="31" t="n">
        <v>2</v>
      </c>
      <c r="F1645" s="32" t="n">
        <v>35</v>
      </c>
      <c r="G1645" s="32" t="n">
        <v>70</v>
      </c>
      <c r="H1645" s="31" t="s">
        <v>45</v>
      </c>
      <c r="I1645" s="31" t="s">
        <v>84</v>
      </c>
      <c r="J1645" s="31" t="s">
        <v>2171</v>
      </c>
      <c r="K1645" s="31" t="s">
        <v>48</v>
      </c>
    </row>
    <row r="1646" customFormat="false" ht="15" hidden="false" customHeight="false" outlineLevel="0" collapsed="false">
      <c r="A1646" s="31" t="s">
        <v>2080</v>
      </c>
      <c r="B1646" s="31" t="s">
        <v>2173</v>
      </c>
      <c r="C1646" s="31" t="s">
        <v>20</v>
      </c>
      <c r="D1646" s="31" t="s">
        <v>78</v>
      </c>
      <c r="E1646" s="31" t="n">
        <v>-1</v>
      </c>
      <c r="F1646" s="32" t="n">
        <v>89</v>
      </c>
      <c r="G1646" s="32" t="n">
        <v>-89</v>
      </c>
      <c r="H1646" s="31" t="s">
        <v>57</v>
      </c>
      <c r="I1646" s="31" t="s">
        <v>58</v>
      </c>
      <c r="J1646" s="31"/>
      <c r="K1646" s="31" t="s">
        <v>243</v>
      </c>
    </row>
    <row r="1647" customFormat="false" ht="15" hidden="false" customHeight="false" outlineLevel="0" collapsed="false">
      <c r="A1647" s="31" t="s">
        <v>2174</v>
      </c>
      <c r="B1647" s="31" t="s">
        <v>2175</v>
      </c>
      <c r="C1647" s="31" t="s">
        <v>20</v>
      </c>
      <c r="D1647" s="31" t="s">
        <v>78</v>
      </c>
      <c r="E1647" s="31" t="n">
        <v>1</v>
      </c>
      <c r="F1647" s="32" t="n">
        <v>89</v>
      </c>
      <c r="G1647" s="32" t="n">
        <v>89</v>
      </c>
      <c r="H1647" s="31" t="s">
        <v>160</v>
      </c>
      <c r="I1647" s="31" t="s">
        <v>58</v>
      </c>
      <c r="J1647" s="31" t="s">
        <v>702</v>
      </c>
      <c r="K1647" s="31" t="s">
        <v>48</v>
      </c>
    </row>
    <row r="1648" customFormat="false" ht="15" hidden="false" customHeight="false" outlineLevel="0" collapsed="false">
      <c r="A1648" s="31" t="s">
        <v>2176</v>
      </c>
      <c r="B1648" s="31" t="s">
        <v>2177</v>
      </c>
      <c r="C1648" s="31" t="s">
        <v>20</v>
      </c>
      <c r="D1648" s="31" t="s">
        <v>56</v>
      </c>
      <c r="E1648" s="31" t="n">
        <v>1</v>
      </c>
      <c r="F1648" s="32" t="n">
        <v>45</v>
      </c>
      <c r="G1648" s="32" t="n">
        <v>45</v>
      </c>
      <c r="H1648" s="31" t="s">
        <v>45</v>
      </c>
      <c r="I1648" s="31" t="s">
        <v>58</v>
      </c>
      <c r="J1648" s="31" t="s">
        <v>519</v>
      </c>
      <c r="K1648" s="31" t="s">
        <v>48</v>
      </c>
    </row>
    <row r="1649" customFormat="false" ht="15" hidden="false" customHeight="false" outlineLevel="0" collapsed="false">
      <c r="A1649" s="31" t="s">
        <v>2176</v>
      </c>
      <c r="B1649" s="31" t="s">
        <v>2177</v>
      </c>
      <c r="C1649" s="31" t="s">
        <v>20</v>
      </c>
      <c r="D1649" s="31" t="s">
        <v>140</v>
      </c>
      <c r="E1649" s="31" t="n">
        <v>1</v>
      </c>
      <c r="F1649" s="32" t="n">
        <v>20.8</v>
      </c>
      <c r="G1649" s="32" t="n">
        <v>20.8</v>
      </c>
      <c r="H1649" s="31" t="s">
        <v>45</v>
      </c>
      <c r="I1649" s="31" t="s">
        <v>58</v>
      </c>
      <c r="J1649" s="31" t="s">
        <v>519</v>
      </c>
      <c r="K1649" s="31" t="s">
        <v>48</v>
      </c>
    </row>
    <row r="1650" customFormat="false" ht="15" hidden="false" customHeight="false" outlineLevel="0" collapsed="false">
      <c r="A1650" s="31" t="s">
        <v>2176</v>
      </c>
      <c r="B1650" s="31" t="s">
        <v>2177</v>
      </c>
      <c r="C1650" s="31" t="s">
        <v>44</v>
      </c>
      <c r="D1650" s="31" t="s">
        <v>44</v>
      </c>
      <c r="E1650" s="31" t="n">
        <v>1</v>
      </c>
      <c r="F1650" s="32" t="n">
        <v>0</v>
      </c>
      <c r="G1650" s="32" t="n">
        <v>0</v>
      </c>
      <c r="H1650" s="31" t="s">
        <v>45</v>
      </c>
      <c r="I1650" s="31" t="s">
        <v>58</v>
      </c>
      <c r="J1650" s="31" t="s">
        <v>519</v>
      </c>
      <c r="K1650" s="31" t="s">
        <v>48</v>
      </c>
    </row>
    <row r="1651" customFormat="false" ht="15" hidden="false" customHeight="false" outlineLevel="0" collapsed="false">
      <c r="A1651" s="31" t="s">
        <v>2178</v>
      </c>
      <c r="B1651" s="31" t="s">
        <v>2179</v>
      </c>
      <c r="C1651" s="31" t="s">
        <v>44</v>
      </c>
      <c r="D1651" s="31" t="s">
        <v>44</v>
      </c>
      <c r="E1651" s="31" t="n">
        <v>1</v>
      </c>
      <c r="F1651" s="32" t="n">
        <v>5.95</v>
      </c>
      <c r="G1651" s="32" t="n">
        <v>5.95</v>
      </c>
      <c r="H1651" s="31" t="s">
        <v>45</v>
      </c>
      <c r="I1651" s="31" t="s">
        <v>58</v>
      </c>
      <c r="J1651" s="31" t="s">
        <v>2180</v>
      </c>
      <c r="K1651" s="31" t="s">
        <v>48</v>
      </c>
    </row>
    <row r="1652" customFormat="false" ht="15" hidden="false" customHeight="false" outlineLevel="0" collapsed="false">
      <c r="A1652" s="31" t="s">
        <v>2178</v>
      </c>
      <c r="B1652" s="31" t="s">
        <v>2181</v>
      </c>
      <c r="C1652" s="31" t="s">
        <v>20</v>
      </c>
      <c r="D1652" s="31" t="s">
        <v>53</v>
      </c>
      <c r="E1652" s="31" t="n">
        <v>1</v>
      </c>
      <c r="F1652" s="32" t="n">
        <v>39</v>
      </c>
      <c r="G1652" s="32" t="n">
        <v>39</v>
      </c>
      <c r="H1652" s="31" t="s">
        <v>45</v>
      </c>
      <c r="I1652" s="31" t="s">
        <v>58</v>
      </c>
      <c r="J1652" s="31" t="s">
        <v>2180</v>
      </c>
      <c r="K1652" s="31" t="s">
        <v>48</v>
      </c>
    </row>
    <row r="1653" customFormat="false" ht="15" hidden="false" customHeight="false" outlineLevel="0" collapsed="false">
      <c r="A1653" s="31" t="s">
        <v>2182</v>
      </c>
      <c r="B1653" s="31" t="s">
        <v>2183</v>
      </c>
      <c r="C1653" s="31" t="s">
        <v>20</v>
      </c>
      <c r="D1653" s="31" t="s">
        <v>52</v>
      </c>
      <c r="E1653" s="31" t="n">
        <v>1</v>
      </c>
      <c r="F1653" s="32" t="n">
        <v>22</v>
      </c>
      <c r="G1653" s="32" t="n">
        <v>22</v>
      </c>
      <c r="H1653" s="31" t="s">
        <v>145</v>
      </c>
      <c r="I1653" s="31" t="s">
        <v>58</v>
      </c>
      <c r="J1653" s="31" t="s">
        <v>688</v>
      </c>
      <c r="K1653" s="31" t="s">
        <v>48</v>
      </c>
    </row>
    <row r="1654" customFormat="false" ht="15" hidden="false" customHeight="false" outlineLevel="0" collapsed="false">
      <c r="A1654" s="31" t="s">
        <v>2182</v>
      </c>
      <c r="B1654" s="31" t="s">
        <v>2183</v>
      </c>
      <c r="C1654" s="31" t="s">
        <v>20</v>
      </c>
      <c r="D1654" s="31" t="s">
        <v>123</v>
      </c>
      <c r="E1654" s="31" t="n">
        <v>1</v>
      </c>
      <c r="F1654" s="32" t="n">
        <v>75</v>
      </c>
      <c r="G1654" s="32" t="n">
        <v>75</v>
      </c>
      <c r="H1654" s="31" t="s">
        <v>145</v>
      </c>
      <c r="I1654" s="31" t="s">
        <v>58</v>
      </c>
      <c r="J1654" s="31" t="s">
        <v>688</v>
      </c>
      <c r="K1654" s="31" t="s">
        <v>48</v>
      </c>
    </row>
    <row r="1655" customFormat="false" ht="15" hidden="false" customHeight="false" outlineLevel="0" collapsed="false">
      <c r="A1655" s="31" t="s">
        <v>2184</v>
      </c>
      <c r="B1655" s="31" t="s">
        <v>2185</v>
      </c>
      <c r="C1655" s="31" t="s">
        <v>20</v>
      </c>
      <c r="D1655" s="31" t="s">
        <v>140</v>
      </c>
      <c r="E1655" s="31" t="n">
        <v>2</v>
      </c>
      <c r="F1655" s="32" t="n">
        <v>26</v>
      </c>
      <c r="G1655" s="32" t="n">
        <v>52</v>
      </c>
      <c r="H1655" s="31" t="s">
        <v>45</v>
      </c>
      <c r="I1655" s="31" t="s">
        <v>58</v>
      </c>
      <c r="J1655" s="31"/>
      <c r="K1655" s="31" t="s">
        <v>48</v>
      </c>
    </row>
    <row r="1656" customFormat="false" ht="15" hidden="false" customHeight="false" outlineLevel="0" collapsed="false">
      <c r="A1656" s="31" t="s">
        <v>2184</v>
      </c>
      <c r="B1656" s="31" t="s">
        <v>2185</v>
      </c>
      <c r="C1656" s="31" t="s">
        <v>20</v>
      </c>
      <c r="D1656" s="31" t="s">
        <v>78</v>
      </c>
      <c r="E1656" s="31" t="n">
        <v>1</v>
      </c>
      <c r="F1656" s="32" t="n">
        <v>89</v>
      </c>
      <c r="G1656" s="32" t="n">
        <v>89</v>
      </c>
      <c r="H1656" s="31" t="s">
        <v>45</v>
      </c>
      <c r="I1656" s="31" t="s">
        <v>58</v>
      </c>
      <c r="J1656" s="31"/>
      <c r="K1656" s="31" t="s">
        <v>48</v>
      </c>
    </row>
    <row r="1657" customFormat="false" ht="15" hidden="false" customHeight="false" outlineLevel="0" collapsed="false">
      <c r="A1657" s="31" t="s">
        <v>2184</v>
      </c>
      <c r="B1657" s="31" t="s">
        <v>2186</v>
      </c>
      <c r="C1657" s="31" t="s">
        <v>44</v>
      </c>
      <c r="D1657" s="31" t="s">
        <v>44</v>
      </c>
      <c r="E1657" s="31" t="n">
        <v>1</v>
      </c>
      <c r="F1657" s="32" t="n">
        <v>3.95</v>
      </c>
      <c r="G1657" s="32" t="n">
        <v>3.95</v>
      </c>
      <c r="H1657" s="31" t="s">
        <v>45</v>
      </c>
      <c r="I1657" s="31" t="s">
        <v>58</v>
      </c>
      <c r="J1657" s="31"/>
      <c r="K1657" s="31" t="s">
        <v>48</v>
      </c>
    </row>
    <row r="1658" customFormat="false" ht="15" hidden="false" customHeight="false" outlineLevel="0" collapsed="false">
      <c r="A1658" s="31" t="s">
        <v>2187</v>
      </c>
      <c r="B1658" s="31" t="s">
        <v>2188</v>
      </c>
      <c r="C1658" s="31" t="s">
        <v>20</v>
      </c>
      <c r="D1658" s="31" t="s">
        <v>73</v>
      </c>
      <c r="E1658" s="31" t="n">
        <v>1</v>
      </c>
      <c r="F1658" s="32" t="n">
        <v>69</v>
      </c>
      <c r="G1658" s="32" t="n">
        <v>69</v>
      </c>
      <c r="H1658" s="31" t="s">
        <v>45</v>
      </c>
      <c r="I1658" s="31" t="s">
        <v>58</v>
      </c>
      <c r="J1658" s="31" t="s">
        <v>2189</v>
      </c>
      <c r="K1658" s="31" t="s">
        <v>48</v>
      </c>
    </row>
    <row r="1659" customFormat="false" ht="15" hidden="false" customHeight="false" outlineLevel="0" collapsed="false">
      <c r="A1659" s="31" t="s">
        <v>2187</v>
      </c>
      <c r="B1659" s="31" t="s">
        <v>2188</v>
      </c>
      <c r="C1659" s="31" t="s">
        <v>20</v>
      </c>
      <c r="D1659" s="31" t="s">
        <v>78</v>
      </c>
      <c r="E1659" s="31" t="n">
        <v>3</v>
      </c>
      <c r="F1659" s="32" t="n">
        <v>89</v>
      </c>
      <c r="G1659" s="32" t="n">
        <v>267</v>
      </c>
      <c r="H1659" s="31" t="s">
        <v>45</v>
      </c>
      <c r="I1659" s="31" t="s">
        <v>58</v>
      </c>
      <c r="J1659" s="31" t="s">
        <v>2189</v>
      </c>
      <c r="K1659" s="31" t="s">
        <v>48</v>
      </c>
    </row>
    <row r="1660" customFormat="false" ht="15" hidden="false" customHeight="false" outlineLevel="0" collapsed="false">
      <c r="A1660" s="31" t="s">
        <v>2187</v>
      </c>
      <c r="B1660" s="31" t="s">
        <v>2188</v>
      </c>
      <c r="C1660" s="31" t="s">
        <v>44</v>
      </c>
      <c r="D1660" s="31" t="s">
        <v>44</v>
      </c>
      <c r="E1660" s="31" t="n">
        <v>1</v>
      </c>
      <c r="F1660" s="32" t="n">
        <v>3.95</v>
      </c>
      <c r="G1660" s="32" t="n">
        <v>3.95</v>
      </c>
      <c r="H1660" s="31" t="s">
        <v>45</v>
      </c>
      <c r="I1660" s="31" t="s">
        <v>58</v>
      </c>
      <c r="J1660" s="31" t="s">
        <v>2189</v>
      </c>
      <c r="K1660" s="31" t="s">
        <v>48</v>
      </c>
    </row>
    <row r="1661" customFormat="false" ht="15" hidden="false" customHeight="false" outlineLevel="0" collapsed="false">
      <c r="A1661" s="31" t="s">
        <v>2190</v>
      </c>
      <c r="B1661" s="31" t="s">
        <v>2191</v>
      </c>
      <c r="C1661" s="31" t="s">
        <v>44</v>
      </c>
      <c r="D1661" s="31" t="s">
        <v>44</v>
      </c>
      <c r="E1661" s="31" t="n">
        <v>1</v>
      </c>
      <c r="F1661" s="32" t="n">
        <v>0</v>
      </c>
      <c r="G1661" s="32" t="n">
        <v>0</v>
      </c>
      <c r="H1661" s="31" t="s">
        <v>57</v>
      </c>
      <c r="I1661" s="31" t="s">
        <v>58</v>
      </c>
      <c r="J1661" s="31" t="s">
        <v>2192</v>
      </c>
      <c r="K1661" s="31" t="s">
        <v>48</v>
      </c>
    </row>
    <row r="1662" customFormat="false" ht="15" hidden="false" customHeight="false" outlineLevel="0" collapsed="false">
      <c r="A1662" s="31" t="s">
        <v>2190</v>
      </c>
      <c r="B1662" s="31" t="s">
        <v>2193</v>
      </c>
      <c r="C1662" s="31" t="s">
        <v>20</v>
      </c>
      <c r="D1662" s="31" t="s">
        <v>87</v>
      </c>
      <c r="E1662" s="31" t="n">
        <v>4</v>
      </c>
      <c r="F1662" s="32" t="n">
        <v>35</v>
      </c>
      <c r="G1662" s="32" t="n">
        <v>140</v>
      </c>
      <c r="H1662" s="31" t="s">
        <v>57</v>
      </c>
      <c r="I1662" s="31" t="s">
        <v>58</v>
      </c>
      <c r="J1662" s="31" t="s">
        <v>2192</v>
      </c>
      <c r="K1662" s="31" t="s">
        <v>48</v>
      </c>
    </row>
    <row r="1663" customFormat="false" ht="15" hidden="false" customHeight="false" outlineLevel="0" collapsed="false">
      <c r="A1663" s="31" t="s">
        <v>2190</v>
      </c>
      <c r="B1663" s="31" t="s">
        <v>2191</v>
      </c>
      <c r="C1663" s="31" t="s">
        <v>20</v>
      </c>
      <c r="D1663" s="31" t="s">
        <v>78</v>
      </c>
      <c r="E1663" s="31" t="n">
        <v>2</v>
      </c>
      <c r="F1663" s="32" t="n">
        <v>89</v>
      </c>
      <c r="G1663" s="32" t="n">
        <v>178</v>
      </c>
      <c r="H1663" s="31" t="s">
        <v>57</v>
      </c>
      <c r="I1663" s="31" t="s">
        <v>58</v>
      </c>
      <c r="J1663" s="31" t="s">
        <v>2192</v>
      </c>
      <c r="K1663" s="31" t="s">
        <v>48</v>
      </c>
    </row>
    <row r="1664" customFormat="false" ht="15" hidden="false" customHeight="false" outlineLevel="0" collapsed="false">
      <c r="A1664" s="31" t="s">
        <v>2194</v>
      </c>
      <c r="B1664" s="31" t="s">
        <v>2195</v>
      </c>
      <c r="C1664" s="31" t="s">
        <v>44</v>
      </c>
      <c r="D1664" s="31" t="s">
        <v>44</v>
      </c>
      <c r="E1664" s="31" t="n">
        <v>1</v>
      </c>
      <c r="F1664" s="32" t="n">
        <v>5.95</v>
      </c>
      <c r="G1664" s="32" t="n">
        <v>5.95</v>
      </c>
      <c r="H1664" s="31" t="s">
        <v>45</v>
      </c>
      <c r="I1664" s="31" t="s">
        <v>58</v>
      </c>
      <c r="J1664" s="31" t="s">
        <v>2196</v>
      </c>
      <c r="K1664" s="31" t="s">
        <v>48</v>
      </c>
    </row>
    <row r="1665" customFormat="false" ht="15" hidden="false" customHeight="false" outlineLevel="0" collapsed="false">
      <c r="A1665" s="31" t="s">
        <v>2194</v>
      </c>
      <c r="B1665" s="31" t="s">
        <v>2195</v>
      </c>
      <c r="C1665" s="31" t="s">
        <v>20</v>
      </c>
      <c r="D1665" s="31" t="s">
        <v>87</v>
      </c>
      <c r="E1665" s="31" t="n">
        <v>2</v>
      </c>
      <c r="F1665" s="32" t="n">
        <v>35</v>
      </c>
      <c r="G1665" s="32" t="n">
        <v>70</v>
      </c>
      <c r="H1665" s="31" t="s">
        <v>45</v>
      </c>
      <c r="I1665" s="31" t="s">
        <v>58</v>
      </c>
      <c r="J1665" s="31" t="s">
        <v>2196</v>
      </c>
      <c r="K1665" s="31" t="s">
        <v>48</v>
      </c>
    </row>
    <row r="1666" customFormat="false" ht="15" hidden="false" customHeight="false" outlineLevel="0" collapsed="false">
      <c r="A1666" s="31" t="s">
        <v>2194</v>
      </c>
      <c r="B1666" s="31" t="s">
        <v>2195</v>
      </c>
      <c r="C1666" s="31" t="s">
        <v>20</v>
      </c>
      <c r="D1666" s="31" t="s">
        <v>78</v>
      </c>
      <c r="E1666" s="31" t="n">
        <v>1</v>
      </c>
      <c r="F1666" s="32" t="n">
        <v>89</v>
      </c>
      <c r="G1666" s="32" t="n">
        <v>89</v>
      </c>
      <c r="H1666" s="31" t="s">
        <v>45</v>
      </c>
      <c r="I1666" s="31" t="s">
        <v>58</v>
      </c>
      <c r="J1666" s="31" t="s">
        <v>2196</v>
      </c>
      <c r="K1666" s="31" t="s">
        <v>48</v>
      </c>
    </row>
    <row r="1667" customFormat="false" ht="15" hidden="false" customHeight="false" outlineLevel="0" collapsed="false">
      <c r="A1667" s="31" t="s">
        <v>2194</v>
      </c>
      <c r="B1667" s="31" t="s">
        <v>2197</v>
      </c>
      <c r="C1667" s="31" t="s">
        <v>20</v>
      </c>
      <c r="D1667" s="31" t="s">
        <v>52</v>
      </c>
      <c r="E1667" s="31" t="n">
        <v>1</v>
      </c>
      <c r="F1667" s="32" t="n">
        <v>22</v>
      </c>
      <c r="G1667" s="32" t="n">
        <v>22</v>
      </c>
      <c r="H1667" s="31" t="s">
        <v>45</v>
      </c>
      <c r="I1667" s="31" t="s">
        <v>58</v>
      </c>
      <c r="J1667" s="31" t="s">
        <v>2196</v>
      </c>
      <c r="K1667" s="31" t="s">
        <v>48</v>
      </c>
    </row>
    <row r="1668" customFormat="false" ht="15" hidden="false" customHeight="false" outlineLevel="0" collapsed="false">
      <c r="A1668" s="31" t="s">
        <v>2198</v>
      </c>
      <c r="B1668" s="31" t="s">
        <v>2199</v>
      </c>
      <c r="C1668" s="31" t="s">
        <v>44</v>
      </c>
      <c r="D1668" s="31" t="s">
        <v>44</v>
      </c>
      <c r="E1668" s="31" t="n">
        <v>1</v>
      </c>
      <c r="F1668" s="32" t="n">
        <v>3.95</v>
      </c>
      <c r="G1668" s="32" t="n">
        <v>3.95</v>
      </c>
      <c r="H1668" s="31" t="s">
        <v>45</v>
      </c>
      <c r="I1668" s="31" t="s">
        <v>84</v>
      </c>
      <c r="J1668" s="31" t="s">
        <v>2200</v>
      </c>
      <c r="K1668" s="31" t="s">
        <v>48</v>
      </c>
    </row>
    <row r="1669" customFormat="false" ht="15" hidden="false" customHeight="false" outlineLevel="0" collapsed="false">
      <c r="A1669" s="31" t="s">
        <v>2198</v>
      </c>
      <c r="B1669" s="31" t="s">
        <v>2199</v>
      </c>
      <c r="C1669" s="31" t="s">
        <v>20</v>
      </c>
      <c r="D1669" s="31" t="s">
        <v>52</v>
      </c>
      <c r="E1669" s="31" t="n">
        <v>2</v>
      </c>
      <c r="F1669" s="32" t="n">
        <v>22</v>
      </c>
      <c r="G1669" s="32" t="n">
        <v>44</v>
      </c>
      <c r="H1669" s="31" t="s">
        <v>45</v>
      </c>
      <c r="I1669" s="31" t="s">
        <v>84</v>
      </c>
      <c r="J1669" s="31" t="s">
        <v>2200</v>
      </c>
      <c r="K1669" s="31" t="s">
        <v>48</v>
      </c>
    </row>
    <row r="1670" customFormat="false" ht="15" hidden="false" customHeight="false" outlineLevel="0" collapsed="false">
      <c r="A1670" s="31" t="s">
        <v>2198</v>
      </c>
      <c r="B1670" s="31" t="s">
        <v>2199</v>
      </c>
      <c r="C1670" s="31" t="s">
        <v>20</v>
      </c>
      <c r="D1670" s="31" t="s">
        <v>53</v>
      </c>
      <c r="E1670" s="31" t="n">
        <v>1</v>
      </c>
      <c r="F1670" s="32" t="n">
        <v>39</v>
      </c>
      <c r="G1670" s="32" t="n">
        <v>39</v>
      </c>
      <c r="H1670" s="31" t="s">
        <v>45</v>
      </c>
      <c r="I1670" s="31" t="s">
        <v>84</v>
      </c>
      <c r="J1670" s="31" t="s">
        <v>2200</v>
      </c>
      <c r="K1670" s="31" t="s">
        <v>48</v>
      </c>
    </row>
    <row r="1671" customFormat="false" ht="15" hidden="false" customHeight="false" outlineLevel="0" collapsed="false">
      <c r="A1671" s="31" t="s">
        <v>2118</v>
      </c>
      <c r="B1671" s="31" t="s">
        <v>2201</v>
      </c>
      <c r="C1671" s="31" t="s">
        <v>20</v>
      </c>
      <c r="D1671" s="31" t="s">
        <v>56</v>
      </c>
      <c r="E1671" s="31" t="n">
        <v>-1</v>
      </c>
      <c r="F1671" s="32" t="n">
        <v>45</v>
      </c>
      <c r="G1671" s="32" t="n">
        <v>-45</v>
      </c>
      <c r="H1671" s="31" t="s">
        <v>45</v>
      </c>
      <c r="I1671" s="31" t="s">
        <v>46</v>
      </c>
      <c r="J1671" s="31" t="s">
        <v>2120</v>
      </c>
      <c r="K1671" s="31" t="s">
        <v>243</v>
      </c>
    </row>
    <row r="1672" customFormat="false" ht="15" hidden="false" customHeight="false" outlineLevel="0" collapsed="false">
      <c r="A1672" s="31" t="s">
        <v>2202</v>
      </c>
      <c r="B1672" s="31" t="s">
        <v>2203</v>
      </c>
      <c r="C1672" s="31" t="s">
        <v>20</v>
      </c>
      <c r="D1672" s="31" t="s">
        <v>69</v>
      </c>
      <c r="E1672" s="31" t="n">
        <v>1</v>
      </c>
      <c r="F1672" s="32" t="n">
        <v>29</v>
      </c>
      <c r="G1672" s="32" t="n">
        <v>29</v>
      </c>
      <c r="H1672" s="31" t="s">
        <v>145</v>
      </c>
      <c r="I1672" s="31" t="s">
        <v>58</v>
      </c>
      <c r="J1672" s="31" t="s">
        <v>519</v>
      </c>
      <c r="K1672" s="31" t="s">
        <v>48</v>
      </c>
    </row>
    <row r="1673" customFormat="false" ht="15" hidden="false" customHeight="false" outlineLevel="0" collapsed="false">
      <c r="A1673" s="31" t="s">
        <v>2202</v>
      </c>
      <c r="B1673" s="31" t="s">
        <v>2204</v>
      </c>
      <c r="C1673" s="31" t="s">
        <v>20</v>
      </c>
      <c r="D1673" s="31" t="s">
        <v>53</v>
      </c>
      <c r="E1673" s="31" t="n">
        <v>3</v>
      </c>
      <c r="F1673" s="32" t="n">
        <v>39</v>
      </c>
      <c r="G1673" s="32" t="n">
        <v>117</v>
      </c>
      <c r="H1673" s="31" t="s">
        <v>145</v>
      </c>
      <c r="I1673" s="31" t="s">
        <v>58</v>
      </c>
      <c r="J1673" s="31" t="s">
        <v>519</v>
      </c>
      <c r="K1673" s="31" t="s">
        <v>48</v>
      </c>
    </row>
    <row r="1674" customFormat="false" ht="15" hidden="false" customHeight="false" outlineLevel="0" collapsed="false">
      <c r="A1674" s="31" t="s">
        <v>2205</v>
      </c>
      <c r="B1674" s="31" t="s">
        <v>2206</v>
      </c>
      <c r="C1674" s="31" t="s">
        <v>20</v>
      </c>
      <c r="D1674" s="31" t="s">
        <v>123</v>
      </c>
      <c r="E1674" s="31" t="n">
        <v>1</v>
      </c>
      <c r="F1674" s="32" t="n">
        <v>75</v>
      </c>
      <c r="G1674" s="32" t="n">
        <v>75</v>
      </c>
      <c r="H1674" s="31" t="s">
        <v>45</v>
      </c>
      <c r="I1674" s="31" t="s">
        <v>58</v>
      </c>
      <c r="J1674" s="31" t="s">
        <v>2207</v>
      </c>
      <c r="K1674" s="31" t="s">
        <v>48</v>
      </c>
    </row>
    <row r="1675" customFormat="false" ht="15" hidden="false" customHeight="false" outlineLevel="0" collapsed="false">
      <c r="A1675" s="31" t="s">
        <v>2205</v>
      </c>
      <c r="B1675" s="31" t="s">
        <v>2206</v>
      </c>
      <c r="C1675" s="31" t="s">
        <v>20</v>
      </c>
      <c r="D1675" s="31" t="s">
        <v>56</v>
      </c>
      <c r="E1675" s="31" t="n">
        <v>1</v>
      </c>
      <c r="F1675" s="32" t="n">
        <v>45</v>
      </c>
      <c r="G1675" s="32" t="n">
        <v>45</v>
      </c>
      <c r="H1675" s="31" t="s">
        <v>45</v>
      </c>
      <c r="I1675" s="31" t="s">
        <v>58</v>
      </c>
      <c r="J1675" s="31" t="s">
        <v>2207</v>
      </c>
      <c r="K1675" s="31" t="s">
        <v>48</v>
      </c>
    </row>
    <row r="1676" customFormat="false" ht="15" hidden="false" customHeight="false" outlineLevel="0" collapsed="false">
      <c r="A1676" s="31" t="s">
        <v>2205</v>
      </c>
      <c r="B1676" s="31" t="s">
        <v>2206</v>
      </c>
      <c r="C1676" s="31" t="s">
        <v>44</v>
      </c>
      <c r="D1676" s="31" t="s">
        <v>44</v>
      </c>
      <c r="E1676" s="31" t="n">
        <v>1</v>
      </c>
      <c r="F1676" s="32" t="n">
        <v>4.95</v>
      </c>
      <c r="G1676" s="32" t="n">
        <v>4.95</v>
      </c>
      <c r="H1676" s="31" t="s">
        <v>45</v>
      </c>
      <c r="I1676" s="31" t="s">
        <v>58</v>
      </c>
      <c r="J1676" s="31" t="s">
        <v>2207</v>
      </c>
      <c r="K1676" s="31" t="s">
        <v>48</v>
      </c>
    </row>
    <row r="1677" customFormat="false" ht="15" hidden="false" customHeight="false" outlineLevel="0" collapsed="false">
      <c r="A1677" s="31" t="s">
        <v>2208</v>
      </c>
      <c r="B1677" s="31" t="s">
        <v>2209</v>
      </c>
      <c r="C1677" s="31" t="s">
        <v>20</v>
      </c>
      <c r="D1677" s="31" t="s">
        <v>66</v>
      </c>
      <c r="E1677" s="31" t="n">
        <v>1</v>
      </c>
      <c r="F1677" s="32" t="n">
        <v>32</v>
      </c>
      <c r="G1677" s="32" t="n">
        <v>32</v>
      </c>
      <c r="H1677" s="31" t="s">
        <v>57</v>
      </c>
      <c r="I1677" s="31" t="s">
        <v>58</v>
      </c>
      <c r="J1677" s="31" t="s">
        <v>1108</v>
      </c>
      <c r="K1677" s="31" t="s">
        <v>48</v>
      </c>
    </row>
    <row r="1678" customFormat="false" ht="15" hidden="false" customHeight="false" outlineLevel="0" collapsed="false">
      <c r="A1678" s="31" t="s">
        <v>2208</v>
      </c>
      <c r="B1678" s="31" t="s">
        <v>2210</v>
      </c>
      <c r="C1678" s="31" t="s">
        <v>44</v>
      </c>
      <c r="D1678" s="31" t="s">
        <v>44</v>
      </c>
      <c r="E1678" s="31" t="n">
        <v>1</v>
      </c>
      <c r="F1678" s="32" t="n">
        <v>3.95</v>
      </c>
      <c r="G1678" s="32" t="n">
        <v>3.95</v>
      </c>
      <c r="H1678" s="31" t="s">
        <v>57</v>
      </c>
      <c r="I1678" s="31" t="s">
        <v>58</v>
      </c>
      <c r="J1678" s="31" t="s">
        <v>1108</v>
      </c>
      <c r="K1678" s="31" t="s">
        <v>48</v>
      </c>
    </row>
    <row r="1679" customFormat="false" ht="15" hidden="false" customHeight="false" outlineLevel="0" collapsed="false">
      <c r="A1679" s="31" t="s">
        <v>2211</v>
      </c>
      <c r="B1679" s="31" t="s">
        <v>2212</v>
      </c>
      <c r="C1679" s="31" t="s">
        <v>20</v>
      </c>
      <c r="D1679" s="31" t="s">
        <v>140</v>
      </c>
      <c r="E1679" s="31" t="n">
        <v>1</v>
      </c>
      <c r="F1679" s="32" t="n">
        <v>26</v>
      </c>
      <c r="G1679" s="32" t="n">
        <v>26</v>
      </c>
      <c r="H1679" s="31" t="s">
        <v>45</v>
      </c>
      <c r="I1679" s="31" t="s">
        <v>58</v>
      </c>
      <c r="J1679" s="31" t="s">
        <v>2213</v>
      </c>
      <c r="K1679" s="31" t="s">
        <v>48</v>
      </c>
    </row>
    <row r="1680" customFormat="false" ht="15" hidden="false" customHeight="false" outlineLevel="0" collapsed="false">
      <c r="A1680" s="31" t="s">
        <v>2214</v>
      </c>
      <c r="B1680" s="31" t="s">
        <v>2215</v>
      </c>
      <c r="C1680" s="31" t="s">
        <v>20</v>
      </c>
      <c r="D1680" s="31" t="s">
        <v>53</v>
      </c>
      <c r="E1680" s="31" t="n">
        <v>1</v>
      </c>
      <c r="F1680" s="32" t="n">
        <v>39</v>
      </c>
      <c r="G1680" s="32" t="n">
        <v>39</v>
      </c>
      <c r="H1680" s="31" t="s">
        <v>45</v>
      </c>
      <c r="I1680" s="31" t="s">
        <v>58</v>
      </c>
      <c r="J1680" s="31" t="s">
        <v>2216</v>
      </c>
      <c r="K1680" s="31" t="s">
        <v>48</v>
      </c>
    </row>
    <row r="1681" customFormat="false" ht="15" hidden="false" customHeight="false" outlineLevel="0" collapsed="false">
      <c r="A1681" s="31" t="s">
        <v>2214</v>
      </c>
      <c r="B1681" s="31" t="s">
        <v>2215</v>
      </c>
      <c r="C1681" s="31" t="s">
        <v>20</v>
      </c>
      <c r="D1681" s="31" t="s">
        <v>56</v>
      </c>
      <c r="E1681" s="31" t="n">
        <v>1</v>
      </c>
      <c r="F1681" s="32" t="n">
        <v>45</v>
      </c>
      <c r="G1681" s="32" t="n">
        <v>45</v>
      </c>
      <c r="H1681" s="31" t="s">
        <v>45</v>
      </c>
      <c r="I1681" s="31" t="s">
        <v>58</v>
      </c>
      <c r="J1681" s="31" t="s">
        <v>2216</v>
      </c>
      <c r="K1681" s="31" t="s">
        <v>48</v>
      </c>
    </row>
    <row r="1682" customFormat="false" ht="15" hidden="false" customHeight="false" outlineLevel="0" collapsed="false">
      <c r="A1682" s="31" t="s">
        <v>2214</v>
      </c>
      <c r="B1682" s="31" t="s">
        <v>2217</v>
      </c>
      <c r="C1682" s="31" t="s">
        <v>20</v>
      </c>
      <c r="D1682" s="31" t="s">
        <v>123</v>
      </c>
      <c r="E1682" s="31" t="n">
        <v>2</v>
      </c>
      <c r="F1682" s="32" t="n">
        <v>75</v>
      </c>
      <c r="G1682" s="32" t="n">
        <v>150</v>
      </c>
      <c r="H1682" s="31" t="s">
        <v>45</v>
      </c>
      <c r="I1682" s="31" t="s">
        <v>58</v>
      </c>
      <c r="J1682" s="31" t="s">
        <v>2216</v>
      </c>
      <c r="K1682" s="31" t="s">
        <v>48</v>
      </c>
    </row>
    <row r="1683" customFormat="false" ht="15" hidden="false" customHeight="false" outlineLevel="0" collapsed="false">
      <c r="A1683" s="31" t="s">
        <v>2214</v>
      </c>
      <c r="B1683" s="31" t="s">
        <v>2215</v>
      </c>
      <c r="C1683" s="31" t="s">
        <v>44</v>
      </c>
      <c r="D1683" s="31" t="s">
        <v>44</v>
      </c>
      <c r="E1683" s="31" t="n">
        <v>1</v>
      </c>
      <c r="F1683" s="32" t="n">
        <v>5.95</v>
      </c>
      <c r="G1683" s="32" t="n">
        <v>5.95</v>
      </c>
      <c r="H1683" s="31" t="s">
        <v>45</v>
      </c>
      <c r="I1683" s="31" t="s">
        <v>58</v>
      </c>
      <c r="J1683" s="31" t="s">
        <v>2216</v>
      </c>
      <c r="K1683" s="31" t="s">
        <v>48</v>
      </c>
    </row>
    <row r="1684" customFormat="false" ht="15" hidden="false" customHeight="false" outlineLevel="0" collapsed="false">
      <c r="A1684" s="31" t="s">
        <v>2218</v>
      </c>
      <c r="B1684" s="31" t="s">
        <v>2219</v>
      </c>
      <c r="C1684" s="31" t="s">
        <v>20</v>
      </c>
      <c r="D1684" s="31" t="s">
        <v>53</v>
      </c>
      <c r="E1684" s="31" t="n">
        <v>3</v>
      </c>
      <c r="F1684" s="32" t="n">
        <v>39</v>
      </c>
      <c r="G1684" s="32" t="n">
        <v>117</v>
      </c>
      <c r="H1684" s="31" t="s">
        <v>45</v>
      </c>
      <c r="I1684" s="31" t="s">
        <v>58</v>
      </c>
      <c r="J1684" s="31" t="s">
        <v>1374</v>
      </c>
      <c r="K1684" s="31" t="s">
        <v>48</v>
      </c>
    </row>
    <row r="1685" customFormat="false" ht="15" hidden="false" customHeight="false" outlineLevel="0" collapsed="false">
      <c r="A1685" s="31" t="s">
        <v>2218</v>
      </c>
      <c r="B1685" s="31" t="s">
        <v>2219</v>
      </c>
      <c r="C1685" s="31" t="s">
        <v>20</v>
      </c>
      <c r="D1685" s="31" t="s">
        <v>140</v>
      </c>
      <c r="E1685" s="31" t="n">
        <v>1</v>
      </c>
      <c r="F1685" s="32" t="n">
        <v>26</v>
      </c>
      <c r="G1685" s="32" t="n">
        <v>26</v>
      </c>
      <c r="H1685" s="31" t="s">
        <v>45</v>
      </c>
      <c r="I1685" s="31" t="s">
        <v>58</v>
      </c>
      <c r="J1685" s="31" t="s">
        <v>1374</v>
      </c>
      <c r="K1685" s="31" t="s">
        <v>48</v>
      </c>
    </row>
    <row r="1686" customFormat="false" ht="15" hidden="false" customHeight="false" outlineLevel="0" collapsed="false">
      <c r="A1686" s="31" t="s">
        <v>2220</v>
      </c>
      <c r="B1686" s="31" t="s">
        <v>2221</v>
      </c>
      <c r="C1686" s="31" t="s">
        <v>20</v>
      </c>
      <c r="D1686" s="31" t="s">
        <v>53</v>
      </c>
      <c r="E1686" s="31" t="n">
        <v>1</v>
      </c>
      <c r="F1686" s="32" t="n">
        <v>39</v>
      </c>
      <c r="G1686" s="32" t="n">
        <v>39</v>
      </c>
      <c r="H1686" s="31" t="s">
        <v>184</v>
      </c>
      <c r="I1686" s="31" t="s">
        <v>46</v>
      </c>
      <c r="J1686" s="31" t="s">
        <v>1144</v>
      </c>
      <c r="K1686" s="31" t="s">
        <v>48</v>
      </c>
    </row>
    <row r="1687" customFormat="false" ht="15" hidden="false" customHeight="false" outlineLevel="0" collapsed="false">
      <c r="A1687" s="31" t="s">
        <v>2220</v>
      </c>
      <c r="B1687" s="31" t="s">
        <v>2222</v>
      </c>
      <c r="C1687" s="31" t="s">
        <v>20</v>
      </c>
      <c r="D1687" s="31" t="s">
        <v>78</v>
      </c>
      <c r="E1687" s="31" t="n">
        <v>2</v>
      </c>
      <c r="F1687" s="32" t="n">
        <v>89</v>
      </c>
      <c r="G1687" s="32" t="n">
        <v>178</v>
      </c>
      <c r="H1687" s="31" t="s">
        <v>184</v>
      </c>
      <c r="I1687" s="31" t="s">
        <v>46</v>
      </c>
      <c r="J1687" s="31" t="s">
        <v>1144</v>
      </c>
      <c r="K1687" s="31" t="s">
        <v>48</v>
      </c>
    </row>
    <row r="1688" customFormat="false" ht="15" hidden="false" customHeight="false" outlineLevel="0" collapsed="false">
      <c r="A1688" s="31" t="s">
        <v>2220</v>
      </c>
      <c r="B1688" s="31" t="s">
        <v>2221</v>
      </c>
      <c r="C1688" s="31" t="s">
        <v>20</v>
      </c>
      <c r="D1688" s="31" t="s">
        <v>52</v>
      </c>
      <c r="E1688" s="31" t="n">
        <v>1</v>
      </c>
      <c r="F1688" s="32" t="n">
        <v>22</v>
      </c>
      <c r="G1688" s="32" t="n">
        <v>22</v>
      </c>
      <c r="H1688" s="31" t="s">
        <v>184</v>
      </c>
      <c r="I1688" s="31" t="s">
        <v>46</v>
      </c>
      <c r="J1688" s="31" t="s">
        <v>1144</v>
      </c>
      <c r="K1688" s="31" t="s">
        <v>48</v>
      </c>
    </row>
    <row r="1689" customFormat="false" ht="15" hidden="false" customHeight="false" outlineLevel="0" collapsed="false">
      <c r="A1689" s="31" t="s">
        <v>2223</v>
      </c>
      <c r="B1689" s="31" t="s">
        <v>2224</v>
      </c>
      <c r="C1689" s="31" t="s">
        <v>20</v>
      </c>
      <c r="D1689" s="31" t="s">
        <v>56</v>
      </c>
      <c r="E1689" s="31" t="n">
        <v>1</v>
      </c>
      <c r="F1689" s="32" t="n">
        <v>45</v>
      </c>
      <c r="G1689" s="32" t="n">
        <v>45</v>
      </c>
      <c r="H1689" s="31" t="s">
        <v>45</v>
      </c>
      <c r="I1689" s="31" t="s">
        <v>58</v>
      </c>
      <c r="J1689" s="31" t="s">
        <v>324</v>
      </c>
      <c r="K1689" s="31" t="s">
        <v>48</v>
      </c>
    </row>
    <row r="1690" customFormat="false" ht="15" hidden="false" customHeight="false" outlineLevel="0" collapsed="false">
      <c r="A1690" s="31" t="s">
        <v>2223</v>
      </c>
      <c r="B1690" s="31" t="s">
        <v>2224</v>
      </c>
      <c r="C1690" s="31" t="s">
        <v>44</v>
      </c>
      <c r="D1690" s="31" t="s">
        <v>44</v>
      </c>
      <c r="E1690" s="31" t="n">
        <v>1</v>
      </c>
      <c r="F1690" s="32" t="n">
        <v>5.95</v>
      </c>
      <c r="G1690" s="32" t="n">
        <v>5.95</v>
      </c>
      <c r="H1690" s="31" t="s">
        <v>45</v>
      </c>
      <c r="I1690" s="31" t="s">
        <v>58</v>
      </c>
      <c r="J1690" s="31" t="s">
        <v>324</v>
      </c>
      <c r="K1690" s="31" t="s">
        <v>48</v>
      </c>
    </row>
    <row r="1691" customFormat="false" ht="15" hidden="false" customHeight="false" outlineLevel="0" collapsed="false">
      <c r="A1691" s="31" t="s">
        <v>2223</v>
      </c>
      <c r="B1691" s="31" t="s">
        <v>2224</v>
      </c>
      <c r="C1691" s="31" t="s">
        <v>50</v>
      </c>
      <c r="D1691" s="31" t="s">
        <v>51</v>
      </c>
      <c r="E1691" s="31" t="n">
        <v>1</v>
      </c>
      <c r="F1691" s="32" t="n">
        <v>-15</v>
      </c>
      <c r="G1691" s="32" t="n">
        <v>-15</v>
      </c>
      <c r="H1691" s="31" t="s">
        <v>45</v>
      </c>
      <c r="I1691" s="31" t="s">
        <v>58</v>
      </c>
      <c r="J1691" s="31" t="s">
        <v>324</v>
      </c>
      <c r="K1691" s="31" t="s">
        <v>48</v>
      </c>
    </row>
    <row r="1692" customFormat="false" ht="15" hidden="false" customHeight="false" outlineLevel="0" collapsed="false">
      <c r="A1692" s="31" t="s">
        <v>2225</v>
      </c>
      <c r="B1692" s="31" t="s">
        <v>2226</v>
      </c>
      <c r="C1692" s="31" t="s">
        <v>20</v>
      </c>
      <c r="D1692" s="31" t="s">
        <v>78</v>
      </c>
      <c r="E1692" s="31" t="n">
        <v>1</v>
      </c>
      <c r="F1692" s="32" t="n">
        <v>89</v>
      </c>
      <c r="G1692" s="32" t="n">
        <v>89</v>
      </c>
      <c r="H1692" s="31" t="s">
        <v>160</v>
      </c>
      <c r="I1692" s="31" t="s">
        <v>58</v>
      </c>
      <c r="J1692" s="31" t="s">
        <v>1478</v>
      </c>
      <c r="K1692" s="31" t="s">
        <v>48</v>
      </c>
    </row>
    <row r="1693" customFormat="false" ht="15" hidden="false" customHeight="false" outlineLevel="0" collapsed="false">
      <c r="A1693" s="31" t="s">
        <v>2225</v>
      </c>
      <c r="B1693" s="31" t="s">
        <v>2227</v>
      </c>
      <c r="C1693" s="31" t="s">
        <v>20</v>
      </c>
      <c r="D1693" s="31" t="s">
        <v>56</v>
      </c>
      <c r="E1693" s="31" t="n">
        <v>3</v>
      </c>
      <c r="F1693" s="32" t="n">
        <v>45</v>
      </c>
      <c r="G1693" s="32" t="n">
        <v>135</v>
      </c>
      <c r="H1693" s="31" t="s">
        <v>160</v>
      </c>
      <c r="I1693" s="31" t="s">
        <v>58</v>
      </c>
      <c r="J1693" s="31" t="s">
        <v>1478</v>
      </c>
      <c r="K1693" s="31" t="s">
        <v>48</v>
      </c>
    </row>
    <row r="1694" customFormat="false" ht="15" hidden="false" customHeight="false" outlineLevel="0" collapsed="false">
      <c r="A1694" s="31" t="s">
        <v>2225</v>
      </c>
      <c r="B1694" s="31" t="s">
        <v>2227</v>
      </c>
      <c r="C1694" s="31" t="s">
        <v>20</v>
      </c>
      <c r="D1694" s="31" t="s">
        <v>63</v>
      </c>
      <c r="E1694" s="31" t="n">
        <v>1</v>
      </c>
      <c r="F1694" s="32" t="n">
        <v>14</v>
      </c>
      <c r="G1694" s="32" t="n">
        <v>14</v>
      </c>
      <c r="H1694" s="31" t="s">
        <v>160</v>
      </c>
      <c r="I1694" s="31" t="s">
        <v>58</v>
      </c>
      <c r="J1694" s="31" t="s">
        <v>1478</v>
      </c>
      <c r="K1694" s="31" t="s">
        <v>48</v>
      </c>
    </row>
    <row r="1695" customFormat="false" ht="15" hidden="false" customHeight="false" outlineLevel="0" collapsed="false">
      <c r="A1695" s="31" t="s">
        <v>2225</v>
      </c>
      <c r="B1695" s="31" t="s">
        <v>2227</v>
      </c>
      <c r="C1695" s="31" t="s">
        <v>20</v>
      </c>
      <c r="D1695" s="31" t="s">
        <v>53</v>
      </c>
      <c r="E1695" s="31" t="n">
        <v>2</v>
      </c>
      <c r="F1695" s="32" t="n">
        <v>39</v>
      </c>
      <c r="G1695" s="32" t="n">
        <v>78</v>
      </c>
      <c r="H1695" s="31" t="s">
        <v>160</v>
      </c>
      <c r="I1695" s="31" t="s">
        <v>58</v>
      </c>
      <c r="J1695" s="31" t="s">
        <v>1478</v>
      </c>
      <c r="K1695" s="31" t="s">
        <v>48</v>
      </c>
    </row>
    <row r="1696" customFormat="false" ht="15" hidden="false" customHeight="false" outlineLevel="0" collapsed="false">
      <c r="A1696" s="31" t="s">
        <v>2228</v>
      </c>
      <c r="B1696" s="31" t="s">
        <v>2229</v>
      </c>
      <c r="C1696" s="31" t="s">
        <v>20</v>
      </c>
      <c r="D1696" s="31" t="s">
        <v>73</v>
      </c>
      <c r="E1696" s="31" t="n">
        <v>1</v>
      </c>
      <c r="F1696" s="32" t="n">
        <v>69</v>
      </c>
      <c r="G1696" s="32" t="n">
        <v>69</v>
      </c>
      <c r="H1696" s="31" t="s">
        <v>184</v>
      </c>
      <c r="I1696" s="31" t="s">
        <v>58</v>
      </c>
      <c r="J1696" s="31" t="s">
        <v>2230</v>
      </c>
      <c r="K1696" s="31" t="s">
        <v>48</v>
      </c>
    </row>
    <row r="1697" customFormat="false" ht="15" hidden="false" customHeight="false" outlineLevel="0" collapsed="false">
      <c r="A1697" s="31" t="s">
        <v>2228</v>
      </c>
      <c r="B1697" s="31" t="s">
        <v>2231</v>
      </c>
      <c r="C1697" s="31" t="s">
        <v>20</v>
      </c>
      <c r="D1697" s="31" t="s">
        <v>78</v>
      </c>
      <c r="E1697" s="31" t="n">
        <v>1</v>
      </c>
      <c r="F1697" s="32" t="n">
        <v>75.65</v>
      </c>
      <c r="G1697" s="32" t="n">
        <v>75.65</v>
      </c>
      <c r="H1697" s="31" t="s">
        <v>184</v>
      </c>
      <c r="I1697" s="31" t="s">
        <v>58</v>
      </c>
      <c r="J1697" s="31" t="s">
        <v>2230</v>
      </c>
      <c r="K1697" s="31" t="s">
        <v>48</v>
      </c>
    </row>
    <row r="1698" customFormat="false" ht="15" hidden="false" customHeight="false" outlineLevel="0" collapsed="false">
      <c r="A1698" s="31" t="s">
        <v>2228</v>
      </c>
      <c r="B1698" s="31" t="s">
        <v>2229</v>
      </c>
      <c r="C1698" s="31" t="s">
        <v>44</v>
      </c>
      <c r="D1698" s="31" t="s">
        <v>44</v>
      </c>
      <c r="E1698" s="31" t="n">
        <v>1</v>
      </c>
      <c r="F1698" s="32" t="n">
        <v>3.95</v>
      </c>
      <c r="G1698" s="32" t="n">
        <v>3.95</v>
      </c>
      <c r="H1698" s="31" t="s">
        <v>184</v>
      </c>
      <c r="I1698" s="31" t="s">
        <v>58</v>
      </c>
      <c r="J1698" s="31" t="s">
        <v>2230</v>
      </c>
      <c r="K1698" s="31" t="s">
        <v>48</v>
      </c>
    </row>
    <row r="1699" customFormat="false" ht="15" hidden="false" customHeight="false" outlineLevel="0" collapsed="false">
      <c r="A1699" s="31" t="s">
        <v>2228</v>
      </c>
      <c r="B1699" s="31" t="s">
        <v>2229</v>
      </c>
      <c r="C1699" s="31" t="s">
        <v>20</v>
      </c>
      <c r="D1699" s="31" t="s">
        <v>87</v>
      </c>
      <c r="E1699" s="31" t="n">
        <v>2</v>
      </c>
      <c r="F1699" s="32" t="n">
        <v>29.75</v>
      </c>
      <c r="G1699" s="32" t="n">
        <v>59.5</v>
      </c>
      <c r="H1699" s="31" t="s">
        <v>184</v>
      </c>
      <c r="I1699" s="31" t="s">
        <v>58</v>
      </c>
      <c r="J1699" s="31" t="s">
        <v>2230</v>
      </c>
      <c r="K1699" s="31" t="s">
        <v>48</v>
      </c>
    </row>
    <row r="1700" customFormat="false" ht="15" hidden="false" customHeight="false" outlineLevel="0" collapsed="false">
      <c r="A1700" s="31" t="s">
        <v>2232</v>
      </c>
      <c r="B1700" s="31" t="s">
        <v>2233</v>
      </c>
      <c r="C1700" s="31" t="s">
        <v>20</v>
      </c>
      <c r="D1700" s="31" t="s">
        <v>78</v>
      </c>
      <c r="E1700" s="31" t="n">
        <v>2</v>
      </c>
      <c r="F1700" s="32" t="n">
        <v>89</v>
      </c>
      <c r="G1700" s="32" t="n">
        <v>178</v>
      </c>
      <c r="H1700" s="31" t="s">
        <v>45</v>
      </c>
      <c r="I1700" s="31" t="s">
        <v>58</v>
      </c>
      <c r="J1700" s="31" t="s">
        <v>2234</v>
      </c>
      <c r="K1700" s="31" t="s">
        <v>48</v>
      </c>
    </row>
    <row r="1701" customFormat="false" ht="15" hidden="false" customHeight="false" outlineLevel="0" collapsed="false">
      <c r="A1701" s="31" t="s">
        <v>2232</v>
      </c>
      <c r="B1701" s="31" t="s">
        <v>2233</v>
      </c>
      <c r="C1701" s="31" t="s">
        <v>20</v>
      </c>
      <c r="D1701" s="31" t="s">
        <v>73</v>
      </c>
      <c r="E1701" s="31" t="n">
        <v>1</v>
      </c>
      <c r="F1701" s="32" t="n">
        <v>69</v>
      </c>
      <c r="G1701" s="32" t="n">
        <v>69</v>
      </c>
      <c r="H1701" s="31" t="s">
        <v>45</v>
      </c>
      <c r="I1701" s="31" t="s">
        <v>58</v>
      </c>
      <c r="J1701" s="31" t="s">
        <v>2234</v>
      </c>
      <c r="K1701" s="31" t="s">
        <v>48</v>
      </c>
    </row>
    <row r="1702" customFormat="false" ht="15" hidden="false" customHeight="false" outlineLevel="0" collapsed="false">
      <c r="A1702" s="31" t="s">
        <v>2235</v>
      </c>
      <c r="B1702" s="31" t="s">
        <v>2236</v>
      </c>
      <c r="C1702" s="31" t="s">
        <v>20</v>
      </c>
      <c r="D1702" s="31" t="s">
        <v>52</v>
      </c>
      <c r="E1702" s="31" t="n">
        <v>1</v>
      </c>
      <c r="F1702" s="32" t="n">
        <v>18.7</v>
      </c>
      <c r="G1702" s="32" t="n">
        <v>18.7</v>
      </c>
      <c r="H1702" s="31" t="s">
        <v>45</v>
      </c>
      <c r="I1702" s="31" t="s">
        <v>58</v>
      </c>
      <c r="J1702" s="31" t="s">
        <v>2237</v>
      </c>
      <c r="K1702" s="31" t="s">
        <v>48</v>
      </c>
    </row>
    <row r="1703" customFormat="false" ht="15" hidden="false" customHeight="false" outlineLevel="0" collapsed="false">
      <c r="A1703" s="31" t="s">
        <v>2235</v>
      </c>
      <c r="B1703" s="31" t="s">
        <v>2238</v>
      </c>
      <c r="C1703" s="31" t="s">
        <v>44</v>
      </c>
      <c r="D1703" s="31" t="s">
        <v>44</v>
      </c>
      <c r="E1703" s="31" t="n">
        <v>1</v>
      </c>
      <c r="F1703" s="32" t="n">
        <v>0</v>
      </c>
      <c r="G1703" s="32" t="n">
        <v>0</v>
      </c>
      <c r="H1703" s="31" t="s">
        <v>45</v>
      </c>
      <c r="I1703" s="31" t="s">
        <v>58</v>
      </c>
      <c r="J1703" s="31" t="s">
        <v>2237</v>
      </c>
      <c r="K1703" s="31" t="s">
        <v>48</v>
      </c>
    </row>
    <row r="1704" customFormat="false" ht="15" hidden="false" customHeight="false" outlineLevel="0" collapsed="false">
      <c r="A1704" s="31" t="s">
        <v>2235</v>
      </c>
      <c r="B1704" s="31" t="s">
        <v>2238</v>
      </c>
      <c r="C1704" s="31" t="s">
        <v>50</v>
      </c>
      <c r="D1704" s="31" t="s">
        <v>51</v>
      </c>
      <c r="E1704" s="31" t="n">
        <v>1</v>
      </c>
      <c r="F1704" s="32" t="n">
        <v>-10</v>
      </c>
      <c r="G1704" s="32" t="n">
        <v>-10</v>
      </c>
      <c r="H1704" s="31" t="s">
        <v>45</v>
      </c>
      <c r="I1704" s="31" t="s">
        <v>58</v>
      </c>
      <c r="J1704" s="31" t="s">
        <v>2237</v>
      </c>
      <c r="K1704" s="31" t="s">
        <v>48</v>
      </c>
    </row>
    <row r="1705" customFormat="false" ht="15" hidden="false" customHeight="false" outlineLevel="0" collapsed="false">
      <c r="A1705" s="31" t="s">
        <v>2235</v>
      </c>
      <c r="B1705" s="31" t="s">
        <v>2238</v>
      </c>
      <c r="C1705" s="31" t="s">
        <v>20</v>
      </c>
      <c r="D1705" s="31" t="s">
        <v>78</v>
      </c>
      <c r="E1705" s="31" t="n">
        <v>1</v>
      </c>
      <c r="F1705" s="32" t="n">
        <v>89</v>
      </c>
      <c r="G1705" s="32" t="n">
        <v>89</v>
      </c>
      <c r="H1705" s="31" t="s">
        <v>45</v>
      </c>
      <c r="I1705" s="31" t="s">
        <v>58</v>
      </c>
      <c r="J1705" s="31" t="s">
        <v>2237</v>
      </c>
      <c r="K1705" s="31" t="s">
        <v>48</v>
      </c>
    </row>
    <row r="1706" customFormat="false" ht="15" hidden="false" customHeight="false" outlineLevel="0" collapsed="false">
      <c r="A1706" s="31" t="s">
        <v>2239</v>
      </c>
      <c r="B1706" s="31" t="s">
        <v>2240</v>
      </c>
      <c r="C1706" s="31" t="s">
        <v>20</v>
      </c>
      <c r="D1706" s="31" t="s">
        <v>73</v>
      </c>
      <c r="E1706" s="31" t="n">
        <v>1</v>
      </c>
      <c r="F1706" s="32" t="n">
        <v>69</v>
      </c>
      <c r="G1706" s="32" t="n">
        <v>69</v>
      </c>
      <c r="H1706" s="31" t="s">
        <v>57</v>
      </c>
      <c r="I1706" s="31" t="s">
        <v>58</v>
      </c>
      <c r="J1706" s="31" t="s">
        <v>1671</v>
      </c>
      <c r="K1706" s="31" t="s">
        <v>48</v>
      </c>
    </row>
    <row r="1707" customFormat="false" ht="15" hidden="false" customHeight="false" outlineLevel="0" collapsed="false">
      <c r="A1707" s="31" t="s">
        <v>2239</v>
      </c>
      <c r="B1707" s="31" t="s">
        <v>2241</v>
      </c>
      <c r="C1707" s="31" t="s">
        <v>44</v>
      </c>
      <c r="D1707" s="31" t="s">
        <v>44</v>
      </c>
      <c r="E1707" s="31" t="n">
        <v>1</v>
      </c>
      <c r="F1707" s="32" t="n">
        <v>4.95</v>
      </c>
      <c r="G1707" s="32" t="n">
        <v>4.95</v>
      </c>
      <c r="H1707" s="31" t="s">
        <v>57</v>
      </c>
      <c r="I1707" s="31" t="s">
        <v>58</v>
      </c>
      <c r="J1707" s="31" t="s">
        <v>1671</v>
      </c>
      <c r="K1707" s="31" t="s">
        <v>48</v>
      </c>
    </row>
    <row r="1708" customFormat="false" ht="15" hidden="false" customHeight="false" outlineLevel="0" collapsed="false">
      <c r="A1708" s="31" t="s">
        <v>2242</v>
      </c>
      <c r="B1708" s="31" t="s">
        <v>2243</v>
      </c>
      <c r="C1708" s="31" t="s">
        <v>44</v>
      </c>
      <c r="D1708" s="31" t="s">
        <v>44</v>
      </c>
      <c r="E1708" s="31" t="n">
        <v>1</v>
      </c>
      <c r="F1708" s="32" t="n">
        <v>3.95</v>
      </c>
      <c r="G1708" s="32" t="n">
        <v>3.95</v>
      </c>
      <c r="H1708" s="31" t="s">
        <v>45</v>
      </c>
      <c r="I1708" s="31" t="s">
        <v>58</v>
      </c>
      <c r="J1708" s="31" t="s">
        <v>2244</v>
      </c>
      <c r="K1708" s="31" t="s">
        <v>48</v>
      </c>
    </row>
    <row r="1709" customFormat="false" ht="15" hidden="false" customHeight="false" outlineLevel="0" collapsed="false">
      <c r="A1709" s="31" t="s">
        <v>2242</v>
      </c>
      <c r="B1709" s="31" t="s">
        <v>2243</v>
      </c>
      <c r="C1709" s="31" t="s">
        <v>20</v>
      </c>
      <c r="D1709" s="31" t="s">
        <v>140</v>
      </c>
      <c r="E1709" s="31" t="n">
        <v>1</v>
      </c>
      <c r="F1709" s="32" t="n">
        <v>26</v>
      </c>
      <c r="G1709" s="32" t="n">
        <v>26</v>
      </c>
      <c r="H1709" s="31" t="s">
        <v>45</v>
      </c>
      <c r="I1709" s="31" t="s">
        <v>58</v>
      </c>
      <c r="J1709" s="31" t="s">
        <v>2244</v>
      </c>
      <c r="K1709" s="31" t="s">
        <v>48</v>
      </c>
    </row>
    <row r="1710" customFormat="false" ht="15" hidden="false" customHeight="false" outlineLevel="0" collapsed="false">
      <c r="A1710" s="31" t="s">
        <v>2245</v>
      </c>
      <c r="B1710" s="31" t="s">
        <v>2246</v>
      </c>
      <c r="C1710" s="31" t="s">
        <v>20</v>
      </c>
      <c r="D1710" s="31" t="s">
        <v>87</v>
      </c>
      <c r="E1710" s="31" t="n">
        <v>2</v>
      </c>
      <c r="F1710" s="32" t="n">
        <v>35</v>
      </c>
      <c r="G1710" s="32" t="n">
        <v>70</v>
      </c>
      <c r="H1710" s="31" t="s">
        <v>45</v>
      </c>
      <c r="I1710" s="31" t="s">
        <v>104</v>
      </c>
      <c r="J1710" s="31" t="s">
        <v>2247</v>
      </c>
      <c r="K1710" s="31" t="s">
        <v>48</v>
      </c>
    </row>
    <row r="1711" customFormat="false" ht="15" hidden="false" customHeight="false" outlineLevel="0" collapsed="false">
      <c r="A1711" s="31" t="s">
        <v>2248</v>
      </c>
      <c r="B1711" s="31" t="s">
        <v>2249</v>
      </c>
      <c r="C1711" s="31" t="s">
        <v>20</v>
      </c>
      <c r="D1711" s="31" t="s">
        <v>52</v>
      </c>
      <c r="E1711" s="31" t="n">
        <v>2</v>
      </c>
      <c r="F1711" s="32" t="n">
        <v>22</v>
      </c>
      <c r="G1711" s="32" t="n">
        <v>44</v>
      </c>
      <c r="H1711" s="31" t="s">
        <v>45</v>
      </c>
      <c r="I1711" s="31" t="s">
        <v>58</v>
      </c>
      <c r="J1711" s="31" t="s">
        <v>2250</v>
      </c>
      <c r="K1711" s="31" t="s">
        <v>48</v>
      </c>
    </row>
    <row r="1712" customFormat="false" ht="15" hidden="false" customHeight="false" outlineLevel="0" collapsed="false">
      <c r="A1712" s="31" t="s">
        <v>2248</v>
      </c>
      <c r="B1712" s="31" t="s">
        <v>2251</v>
      </c>
      <c r="C1712" s="31" t="s">
        <v>20</v>
      </c>
      <c r="D1712" s="31" t="s">
        <v>73</v>
      </c>
      <c r="E1712" s="31" t="n">
        <v>1</v>
      </c>
      <c r="F1712" s="32" t="n">
        <v>69</v>
      </c>
      <c r="G1712" s="32" t="n">
        <v>69</v>
      </c>
      <c r="H1712" s="31" t="s">
        <v>45</v>
      </c>
      <c r="I1712" s="31" t="s">
        <v>58</v>
      </c>
      <c r="J1712" s="31" t="s">
        <v>2250</v>
      </c>
      <c r="K1712" s="31" t="s">
        <v>48</v>
      </c>
    </row>
    <row r="1713" customFormat="false" ht="15" hidden="false" customHeight="false" outlineLevel="0" collapsed="false">
      <c r="A1713" s="31" t="s">
        <v>2252</v>
      </c>
      <c r="B1713" s="31" t="s">
        <v>2253</v>
      </c>
      <c r="C1713" s="31" t="s">
        <v>44</v>
      </c>
      <c r="D1713" s="31" t="s">
        <v>44</v>
      </c>
      <c r="E1713" s="31" t="n">
        <v>1</v>
      </c>
      <c r="F1713" s="32" t="n">
        <v>0</v>
      </c>
      <c r="G1713" s="32" t="n">
        <v>0</v>
      </c>
      <c r="H1713" s="31" t="s">
        <v>57</v>
      </c>
      <c r="I1713" s="31" t="s">
        <v>58</v>
      </c>
      <c r="J1713" s="31" t="s">
        <v>2254</v>
      </c>
      <c r="K1713" s="31" t="s">
        <v>48</v>
      </c>
    </row>
    <row r="1714" customFormat="false" ht="15" hidden="false" customHeight="false" outlineLevel="0" collapsed="false">
      <c r="A1714" s="31" t="s">
        <v>2252</v>
      </c>
      <c r="B1714" s="31" t="s">
        <v>2253</v>
      </c>
      <c r="C1714" s="31" t="s">
        <v>44</v>
      </c>
      <c r="D1714" s="31" t="s">
        <v>44</v>
      </c>
      <c r="E1714" s="31" t="n">
        <v>1</v>
      </c>
      <c r="F1714" s="32" t="n">
        <v>0</v>
      </c>
      <c r="G1714" s="32" t="n">
        <v>0</v>
      </c>
      <c r="H1714" s="31" t="s">
        <v>57</v>
      </c>
      <c r="I1714" s="31" t="s">
        <v>58</v>
      </c>
      <c r="J1714" s="31" t="s">
        <v>2254</v>
      </c>
      <c r="K1714" s="31" t="s">
        <v>48</v>
      </c>
    </row>
    <row r="1715" customFormat="false" ht="15" hidden="false" customHeight="false" outlineLevel="0" collapsed="false">
      <c r="A1715" s="31" t="s">
        <v>2252</v>
      </c>
      <c r="B1715" s="31" t="s">
        <v>2253</v>
      </c>
      <c r="C1715" s="31" t="s">
        <v>20</v>
      </c>
      <c r="D1715" s="31" t="s">
        <v>73</v>
      </c>
      <c r="E1715" s="31" t="n">
        <v>1</v>
      </c>
      <c r="F1715" s="32" t="n">
        <v>69</v>
      </c>
      <c r="G1715" s="32" t="n">
        <v>69</v>
      </c>
      <c r="H1715" s="31" t="s">
        <v>57</v>
      </c>
      <c r="I1715" s="31" t="s">
        <v>58</v>
      </c>
      <c r="J1715" s="31" t="s">
        <v>2254</v>
      </c>
      <c r="K1715" s="31" t="s">
        <v>48</v>
      </c>
    </row>
    <row r="1716" customFormat="false" ht="15" hidden="false" customHeight="false" outlineLevel="0" collapsed="false">
      <c r="A1716" s="31" t="s">
        <v>2255</v>
      </c>
      <c r="B1716" s="31" t="s">
        <v>2256</v>
      </c>
      <c r="C1716" s="31" t="s">
        <v>20</v>
      </c>
      <c r="D1716" s="31" t="s">
        <v>73</v>
      </c>
      <c r="E1716" s="31" t="n">
        <v>2</v>
      </c>
      <c r="F1716" s="32" t="n">
        <v>69</v>
      </c>
      <c r="G1716" s="32" t="n">
        <v>138</v>
      </c>
      <c r="H1716" s="31" t="s">
        <v>45</v>
      </c>
      <c r="I1716" s="31" t="s">
        <v>58</v>
      </c>
      <c r="J1716" s="31" t="s">
        <v>2257</v>
      </c>
      <c r="K1716" s="31" t="s">
        <v>48</v>
      </c>
    </row>
    <row r="1717" customFormat="false" ht="15" hidden="false" customHeight="false" outlineLevel="0" collapsed="false">
      <c r="A1717" s="31" t="s">
        <v>2255</v>
      </c>
      <c r="B1717" s="31" t="s">
        <v>2258</v>
      </c>
      <c r="C1717" s="31" t="s">
        <v>20</v>
      </c>
      <c r="D1717" s="31" t="s">
        <v>123</v>
      </c>
      <c r="E1717" s="31" t="n">
        <v>1</v>
      </c>
      <c r="F1717" s="32" t="n">
        <v>67.5</v>
      </c>
      <c r="G1717" s="32" t="n">
        <v>67.5</v>
      </c>
      <c r="H1717" s="31" t="s">
        <v>45</v>
      </c>
      <c r="I1717" s="31" t="s">
        <v>58</v>
      </c>
      <c r="J1717" s="31" t="s">
        <v>2257</v>
      </c>
      <c r="K1717" s="31" t="s">
        <v>202</v>
      </c>
    </row>
    <row r="1718" customFormat="false" ht="15" hidden="false" customHeight="false" outlineLevel="0" collapsed="false">
      <c r="A1718" s="31" t="s">
        <v>2255</v>
      </c>
      <c r="B1718" s="31" t="s">
        <v>2256</v>
      </c>
      <c r="C1718" s="31" t="s">
        <v>20</v>
      </c>
      <c r="D1718" s="31" t="s">
        <v>140</v>
      </c>
      <c r="E1718" s="31" t="n">
        <v>1</v>
      </c>
      <c r="F1718" s="32" t="n">
        <v>26</v>
      </c>
      <c r="G1718" s="32" t="n">
        <v>26</v>
      </c>
      <c r="H1718" s="31" t="s">
        <v>45</v>
      </c>
      <c r="I1718" s="31" t="s">
        <v>58</v>
      </c>
      <c r="J1718" s="31" t="s">
        <v>2257</v>
      </c>
      <c r="K1718" s="31" t="s">
        <v>48</v>
      </c>
    </row>
    <row r="1719" customFormat="false" ht="15" hidden="false" customHeight="false" outlineLevel="0" collapsed="false">
      <c r="A1719" s="31" t="s">
        <v>2259</v>
      </c>
      <c r="B1719" s="31" t="s">
        <v>2260</v>
      </c>
      <c r="C1719" s="31" t="s">
        <v>20</v>
      </c>
      <c r="D1719" s="31" t="s">
        <v>53</v>
      </c>
      <c r="E1719" s="31" t="n">
        <v>1</v>
      </c>
      <c r="F1719" s="32" t="n">
        <v>39</v>
      </c>
      <c r="G1719" s="32" t="n">
        <v>39</v>
      </c>
      <c r="H1719" s="31" t="s">
        <v>57</v>
      </c>
      <c r="I1719" s="31" t="s">
        <v>58</v>
      </c>
      <c r="J1719" s="31" t="s">
        <v>2261</v>
      </c>
      <c r="K1719" s="31" t="s">
        <v>48</v>
      </c>
    </row>
    <row r="1720" customFormat="false" ht="15" hidden="false" customHeight="false" outlineLevel="0" collapsed="false">
      <c r="A1720" s="31" t="s">
        <v>2262</v>
      </c>
      <c r="B1720" s="31" t="s">
        <v>2263</v>
      </c>
      <c r="C1720" s="31" t="s">
        <v>20</v>
      </c>
      <c r="D1720" s="31" t="s">
        <v>73</v>
      </c>
      <c r="E1720" s="31" t="n">
        <v>2</v>
      </c>
      <c r="F1720" s="32" t="n">
        <v>69</v>
      </c>
      <c r="G1720" s="32" t="n">
        <v>138</v>
      </c>
      <c r="H1720" s="31" t="s">
        <v>45</v>
      </c>
      <c r="I1720" s="31" t="s">
        <v>58</v>
      </c>
      <c r="J1720" s="31" t="s">
        <v>730</v>
      </c>
      <c r="K1720" s="31" t="s">
        <v>48</v>
      </c>
    </row>
    <row r="1721" customFormat="false" ht="15" hidden="false" customHeight="false" outlineLevel="0" collapsed="false">
      <c r="A1721" s="31" t="s">
        <v>2262</v>
      </c>
      <c r="B1721" s="31" t="s">
        <v>2263</v>
      </c>
      <c r="C1721" s="31" t="s">
        <v>50</v>
      </c>
      <c r="D1721" s="31" t="s">
        <v>51</v>
      </c>
      <c r="E1721" s="31" t="n">
        <v>1</v>
      </c>
      <c r="F1721" s="32" t="n">
        <v>-15</v>
      </c>
      <c r="G1721" s="32" t="n">
        <v>-15</v>
      </c>
      <c r="H1721" s="31" t="s">
        <v>45</v>
      </c>
      <c r="I1721" s="31" t="s">
        <v>58</v>
      </c>
      <c r="J1721" s="31" t="s">
        <v>730</v>
      </c>
      <c r="K1721" s="31" t="s">
        <v>48</v>
      </c>
    </row>
    <row r="1722" customFormat="false" ht="15" hidden="false" customHeight="false" outlineLevel="0" collapsed="false">
      <c r="A1722" s="31" t="s">
        <v>2262</v>
      </c>
      <c r="B1722" s="31" t="s">
        <v>2264</v>
      </c>
      <c r="C1722" s="31" t="s">
        <v>44</v>
      </c>
      <c r="D1722" s="31" t="s">
        <v>44</v>
      </c>
      <c r="E1722" s="31" t="n">
        <v>1</v>
      </c>
      <c r="F1722" s="32" t="n">
        <v>3.95</v>
      </c>
      <c r="G1722" s="32" t="n">
        <v>3.95</v>
      </c>
      <c r="H1722" s="31" t="s">
        <v>45</v>
      </c>
      <c r="I1722" s="31" t="s">
        <v>58</v>
      </c>
      <c r="J1722" s="31" t="s">
        <v>730</v>
      </c>
      <c r="K1722" s="31" t="s">
        <v>48</v>
      </c>
    </row>
    <row r="1723" customFormat="false" ht="15" hidden="false" customHeight="false" outlineLevel="0" collapsed="false">
      <c r="A1723" s="31" t="s">
        <v>2265</v>
      </c>
      <c r="B1723" s="31" t="s">
        <v>2266</v>
      </c>
      <c r="C1723" s="31" t="s">
        <v>20</v>
      </c>
      <c r="D1723" s="31" t="s">
        <v>66</v>
      </c>
      <c r="E1723" s="31" t="n">
        <v>2</v>
      </c>
      <c r="F1723" s="32" t="n">
        <v>32</v>
      </c>
      <c r="G1723" s="32" t="n">
        <v>64</v>
      </c>
      <c r="H1723" s="31" t="s">
        <v>45</v>
      </c>
      <c r="I1723" s="31" t="s">
        <v>58</v>
      </c>
      <c r="J1723" s="31" t="s">
        <v>2267</v>
      </c>
      <c r="K1723" s="31" t="s">
        <v>48</v>
      </c>
    </row>
    <row r="1724" customFormat="false" ht="15" hidden="false" customHeight="false" outlineLevel="0" collapsed="false">
      <c r="A1724" s="31" t="s">
        <v>2265</v>
      </c>
      <c r="B1724" s="31" t="s">
        <v>2266</v>
      </c>
      <c r="C1724" s="31" t="s">
        <v>44</v>
      </c>
      <c r="D1724" s="31" t="s">
        <v>44</v>
      </c>
      <c r="E1724" s="31" t="n">
        <v>1</v>
      </c>
      <c r="F1724" s="32" t="n">
        <v>4.95</v>
      </c>
      <c r="G1724" s="32" t="n">
        <v>4.95</v>
      </c>
      <c r="H1724" s="31" t="s">
        <v>45</v>
      </c>
      <c r="I1724" s="31" t="s">
        <v>58</v>
      </c>
      <c r="J1724" s="31" t="s">
        <v>2267</v>
      </c>
      <c r="K1724" s="31" t="s">
        <v>48</v>
      </c>
    </row>
    <row r="1725" customFormat="false" ht="15" hidden="false" customHeight="false" outlineLevel="0" collapsed="false">
      <c r="A1725" s="31" t="s">
        <v>2265</v>
      </c>
      <c r="B1725" s="31" t="s">
        <v>2266</v>
      </c>
      <c r="C1725" s="31" t="s">
        <v>44</v>
      </c>
      <c r="D1725" s="31" t="s">
        <v>44</v>
      </c>
      <c r="E1725" s="31" t="n">
        <v>1</v>
      </c>
      <c r="F1725" s="32" t="n">
        <v>4.95</v>
      </c>
      <c r="G1725" s="32" t="n">
        <v>4.95</v>
      </c>
      <c r="H1725" s="31" t="s">
        <v>45</v>
      </c>
      <c r="I1725" s="31" t="s">
        <v>58</v>
      </c>
      <c r="J1725" s="31" t="s">
        <v>2267</v>
      </c>
      <c r="K1725" s="31" t="s">
        <v>48</v>
      </c>
    </row>
    <row r="1726" customFormat="false" ht="15" hidden="false" customHeight="false" outlineLevel="0" collapsed="false">
      <c r="A1726" s="31" t="s">
        <v>2268</v>
      </c>
      <c r="B1726" s="31" t="s">
        <v>2269</v>
      </c>
      <c r="C1726" s="31" t="s">
        <v>20</v>
      </c>
      <c r="D1726" s="31" t="s">
        <v>52</v>
      </c>
      <c r="E1726" s="31" t="n">
        <v>1</v>
      </c>
      <c r="F1726" s="32" t="n">
        <v>22</v>
      </c>
      <c r="G1726" s="32" t="n">
        <v>22</v>
      </c>
      <c r="H1726" s="31" t="s">
        <v>145</v>
      </c>
      <c r="I1726" s="31" t="s">
        <v>58</v>
      </c>
      <c r="J1726" s="31" t="s">
        <v>2270</v>
      </c>
      <c r="K1726" s="31" t="s">
        <v>48</v>
      </c>
    </row>
    <row r="1727" customFormat="false" ht="15" hidden="false" customHeight="false" outlineLevel="0" collapsed="false">
      <c r="A1727" s="31" t="s">
        <v>2268</v>
      </c>
      <c r="B1727" s="31" t="s">
        <v>2271</v>
      </c>
      <c r="C1727" s="31" t="s">
        <v>20</v>
      </c>
      <c r="D1727" s="31" t="s">
        <v>78</v>
      </c>
      <c r="E1727" s="31" t="n">
        <v>1</v>
      </c>
      <c r="F1727" s="32" t="n">
        <v>89</v>
      </c>
      <c r="G1727" s="32" t="n">
        <v>89</v>
      </c>
      <c r="H1727" s="31" t="s">
        <v>145</v>
      </c>
      <c r="I1727" s="31" t="s">
        <v>58</v>
      </c>
      <c r="J1727" s="31" t="s">
        <v>2270</v>
      </c>
      <c r="K1727" s="31" t="s">
        <v>48</v>
      </c>
    </row>
    <row r="1728" customFormat="false" ht="15" hidden="false" customHeight="false" outlineLevel="0" collapsed="false">
      <c r="A1728" s="31" t="s">
        <v>2268</v>
      </c>
      <c r="B1728" s="31" t="s">
        <v>2269</v>
      </c>
      <c r="C1728" s="31" t="s">
        <v>44</v>
      </c>
      <c r="D1728" s="31" t="s">
        <v>44</v>
      </c>
      <c r="E1728" s="31" t="n">
        <v>1</v>
      </c>
      <c r="F1728" s="32" t="n">
        <v>5.95</v>
      </c>
      <c r="G1728" s="32" t="n">
        <v>5.95</v>
      </c>
      <c r="H1728" s="31" t="s">
        <v>145</v>
      </c>
      <c r="I1728" s="31" t="s">
        <v>58</v>
      </c>
      <c r="J1728" s="31" t="s">
        <v>2270</v>
      </c>
      <c r="K1728" s="31" t="s">
        <v>48</v>
      </c>
    </row>
    <row r="1729" customFormat="false" ht="15" hidden="false" customHeight="false" outlineLevel="0" collapsed="false">
      <c r="A1729" s="31" t="s">
        <v>2268</v>
      </c>
      <c r="B1729" s="31" t="s">
        <v>2269</v>
      </c>
      <c r="C1729" s="31" t="s">
        <v>20</v>
      </c>
      <c r="D1729" s="31" t="s">
        <v>73</v>
      </c>
      <c r="E1729" s="31" t="n">
        <v>1</v>
      </c>
      <c r="F1729" s="32" t="n">
        <v>69</v>
      </c>
      <c r="G1729" s="32" t="n">
        <v>69</v>
      </c>
      <c r="H1729" s="31" t="s">
        <v>145</v>
      </c>
      <c r="I1729" s="31" t="s">
        <v>58</v>
      </c>
      <c r="J1729" s="31" t="s">
        <v>2270</v>
      </c>
      <c r="K1729" s="31" t="s">
        <v>48</v>
      </c>
    </row>
    <row r="1730" customFormat="false" ht="15" hidden="false" customHeight="false" outlineLevel="0" collapsed="false">
      <c r="A1730" s="31" t="s">
        <v>2268</v>
      </c>
      <c r="B1730" s="31" t="s">
        <v>2269</v>
      </c>
      <c r="C1730" s="31" t="s">
        <v>50</v>
      </c>
      <c r="D1730" s="31" t="s">
        <v>51</v>
      </c>
      <c r="E1730" s="31" t="n">
        <v>1</v>
      </c>
      <c r="F1730" s="32" t="n">
        <v>-10</v>
      </c>
      <c r="G1730" s="32" t="n">
        <v>-10</v>
      </c>
      <c r="H1730" s="31" t="s">
        <v>145</v>
      </c>
      <c r="I1730" s="31" t="s">
        <v>58</v>
      </c>
      <c r="J1730" s="31" t="s">
        <v>2270</v>
      </c>
      <c r="K1730" s="31" t="s">
        <v>48</v>
      </c>
    </row>
    <row r="1731" customFormat="false" ht="15" hidden="false" customHeight="false" outlineLevel="0" collapsed="false">
      <c r="A1731" s="31" t="s">
        <v>2272</v>
      </c>
      <c r="B1731" s="31" t="s">
        <v>2273</v>
      </c>
      <c r="C1731" s="31" t="s">
        <v>20</v>
      </c>
      <c r="D1731" s="31" t="s">
        <v>78</v>
      </c>
      <c r="E1731" s="31" t="n">
        <v>1</v>
      </c>
      <c r="F1731" s="32" t="n">
        <v>71.2</v>
      </c>
      <c r="G1731" s="32" t="n">
        <v>71.2</v>
      </c>
      <c r="H1731" s="31" t="s">
        <v>45</v>
      </c>
      <c r="I1731" s="31" t="s">
        <v>104</v>
      </c>
      <c r="J1731" s="31" t="s">
        <v>2117</v>
      </c>
      <c r="K1731" s="31" t="s">
        <v>48</v>
      </c>
    </row>
    <row r="1732" customFormat="false" ht="15" hidden="false" customHeight="false" outlineLevel="0" collapsed="false">
      <c r="A1732" s="31" t="s">
        <v>2272</v>
      </c>
      <c r="B1732" s="31" t="s">
        <v>2274</v>
      </c>
      <c r="C1732" s="31" t="s">
        <v>20</v>
      </c>
      <c r="D1732" s="31" t="s">
        <v>73</v>
      </c>
      <c r="E1732" s="31" t="n">
        <v>2</v>
      </c>
      <c r="F1732" s="32" t="n">
        <v>69</v>
      </c>
      <c r="G1732" s="32" t="n">
        <v>138</v>
      </c>
      <c r="H1732" s="31" t="s">
        <v>45</v>
      </c>
      <c r="I1732" s="31" t="s">
        <v>104</v>
      </c>
      <c r="J1732" s="31" t="s">
        <v>2117</v>
      </c>
      <c r="K1732" s="31" t="s">
        <v>48</v>
      </c>
    </row>
    <row r="1733" customFormat="false" ht="15" hidden="false" customHeight="false" outlineLevel="0" collapsed="false">
      <c r="A1733" s="31" t="s">
        <v>2275</v>
      </c>
      <c r="B1733" s="31" t="s">
        <v>2276</v>
      </c>
      <c r="C1733" s="31" t="s">
        <v>50</v>
      </c>
      <c r="D1733" s="31" t="s">
        <v>51</v>
      </c>
      <c r="E1733" s="31" t="n">
        <v>1</v>
      </c>
      <c r="F1733" s="32" t="n">
        <v>-5</v>
      </c>
      <c r="G1733" s="32" t="n">
        <v>-5</v>
      </c>
      <c r="H1733" s="31" t="s">
        <v>45</v>
      </c>
      <c r="I1733" s="31" t="s">
        <v>84</v>
      </c>
      <c r="J1733" s="31" t="s">
        <v>1547</v>
      </c>
      <c r="K1733" s="31" t="s">
        <v>48</v>
      </c>
    </row>
    <row r="1734" customFormat="false" ht="15" hidden="false" customHeight="false" outlineLevel="0" collapsed="false">
      <c r="A1734" s="31" t="s">
        <v>2275</v>
      </c>
      <c r="B1734" s="31" t="s">
        <v>2276</v>
      </c>
      <c r="C1734" s="31" t="s">
        <v>44</v>
      </c>
      <c r="D1734" s="31" t="s">
        <v>44</v>
      </c>
      <c r="E1734" s="31" t="n">
        <v>1</v>
      </c>
      <c r="F1734" s="32" t="n">
        <v>3.95</v>
      </c>
      <c r="G1734" s="32" t="n">
        <v>3.95</v>
      </c>
      <c r="H1734" s="31" t="s">
        <v>45</v>
      </c>
      <c r="I1734" s="31" t="s">
        <v>84</v>
      </c>
      <c r="J1734" s="31" t="s">
        <v>1547</v>
      </c>
      <c r="K1734" s="31" t="s">
        <v>48</v>
      </c>
    </row>
    <row r="1735" customFormat="false" ht="15" hidden="false" customHeight="false" outlineLevel="0" collapsed="false">
      <c r="A1735" s="31" t="s">
        <v>2275</v>
      </c>
      <c r="B1735" s="31" t="s">
        <v>2276</v>
      </c>
      <c r="C1735" s="31" t="s">
        <v>20</v>
      </c>
      <c r="D1735" s="31" t="s">
        <v>66</v>
      </c>
      <c r="E1735" s="31" t="n">
        <v>2</v>
      </c>
      <c r="F1735" s="32" t="n">
        <v>32</v>
      </c>
      <c r="G1735" s="32" t="n">
        <v>64</v>
      </c>
      <c r="H1735" s="31" t="s">
        <v>45</v>
      </c>
      <c r="I1735" s="31" t="s">
        <v>84</v>
      </c>
      <c r="J1735" s="31" t="s">
        <v>1547</v>
      </c>
      <c r="K1735" s="31" t="s">
        <v>48</v>
      </c>
    </row>
    <row r="1736" customFormat="false" ht="15" hidden="false" customHeight="false" outlineLevel="0" collapsed="false">
      <c r="A1736" s="31" t="s">
        <v>2277</v>
      </c>
      <c r="B1736" s="31" t="s">
        <v>2278</v>
      </c>
      <c r="C1736" s="31" t="s">
        <v>50</v>
      </c>
      <c r="D1736" s="31" t="s">
        <v>51</v>
      </c>
      <c r="E1736" s="31" t="n">
        <v>1</v>
      </c>
      <c r="F1736" s="32" t="n">
        <v>-5</v>
      </c>
      <c r="G1736" s="32" t="n">
        <v>-5</v>
      </c>
      <c r="H1736" s="31" t="s">
        <v>45</v>
      </c>
      <c r="I1736" s="31" t="s">
        <v>58</v>
      </c>
      <c r="J1736" s="31" t="s">
        <v>1128</v>
      </c>
      <c r="K1736" s="31" t="s">
        <v>48</v>
      </c>
    </row>
    <row r="1737" customFormat="false" ht="15" hidden="false" customHeight="false" outlineLevel="0" collapsed="false">
      <c r="A1737" s="31" t="s">
        <v>2277</v>
      </c>
      <c r="B1737" s="31" t="s">
        <v>2279</v>
      </c>
      <c r="C1737" s="31" t="s">
        <v>20</v>
      </c>
      <c r="D1737" s="31" t="s">
        <v>87</v>
      </c>
      <c r="E1737" s="31" t="n">
        <v>1</v>
      </c>
      <c r="F1737" s="32" t="n">
        <v>35</v>
      </c>
      <c r="G1737" s="32" t="n">
        <v>35</v>
      </c>
      <c r="H1737" s="31" t="s">
        <v>45</v>
      </c>
      <c r="I1737" s="31" t="s">
        <v>58</v>
      </c>
      <c r="J1737" s="31" t="s">
        <v>1128</v>
      </c>
      <c r="K1737" s="31" t="s">
        <v>48</v>
      </c>
    </row>
    <row r="1738" customFormat="false" ht="15" hidden="false" customHeight="false" outlineLevel="0" collapsed="false">
      <c r="A1738" s="31" t="s">
        <v>2280</v>
      </c>
      <c r="B1738" s="31" t="s">
        <v>2281</v>
      </c>
      <c r="C1738" s="31" t="s">
        <v>44</v>
      </c>
      <c r="D1738" s="31" t="s">
        <v>44</v>
      </c>
      <c r="E1738" s="31" t="n">
        <v>1</v>
      </c>
      <c r="F1738" s="32" t="n">
        <v>0</v>
      </c>
      <c r="G1738" s="32" t="n">
        <v>0</v>
      </c>
      <c r="H1738" s="31" t="s">
        <v>45</v>
      </c>
      <c r="I1738" s="31" t="s">
        <v>58</v>
      </c>
      <c r="J1738" s="31" t="s">
        <v>748</v>
      </c>
      <c r="K1738" s="31" t="s">
        <v>48</v>
      </c>
    </row>
    <row r="1739" customFormat="false" ht="15" hidden="false" customHeight="false" outlineLevel="0" collapsed="false">
      <c r="A1739" s="31" t="s">
        <v>2280</v>
      </c>
      <c r="B1739" s="31" t="s">
        <v>2281</v>
      </c>
      <c r="C1739" s="31" t="s">
        <v>20</v>
      </c>
      <c r="D1739" s="31" t="s">
        <v>56</v>
      </c>
      <c r="E1739" s="31" t="n">
        <v>1</v>
      </c>
      <c r="F1739" s="32" t="n">
        <v>45</v>
      </c>
      <c r="G1739" s="32" t="n">
        <v>45</v>
      </c>
      <c r="H1739" s="31" t="s">
        <v>45</v>
      </c>
      <c r="I1739" s="31" t="s">
        <v>58</v>
      </c>
      <c r="J1739" s="31" t="s">
        <v>748</v>
      </c>
      <c r="K1739" s="31" t="s">
        <v>48</v>
      </c>
    </row>
    <row r="1740" customFormat="false" ht="15" hidden="false" customHeight="false" outlineLevel="0" collapsed="false">
      <c r="A1740" s="31" t="s">
        <v>2280</v>
      </c>
      <c r="B1740" s="31" t="s">
        <v>2281</v>
      </c>
      <c r="C1740" s="31" t="s">
        <v>20</v>
      </c>
      <c r="D1740" s="31" t="s">
        <v>52</v>
      </c>
      <c r="E1740" s="31" t="n">
        <v>1</v>
      </c>
      <c r="F1740" s="32" t="n">
        <v>22</v>
      </c>
      <c r="G1740" s="32" t="n">
        <v>22</v>
      </c>
      <c r="H1740" s="31" t="s">
        <v>45</v>
      </c>
      <c r="I1740" s="31" t="s">
        <v>58</v>
      </c>
      <c r="J1740" s="31" t="s">
        <v>748</v>
      </c>
      <c r="K1740" s="31" t="s">
        <v>48</v>
      </c>
    </row>
    <row r="1741" customFormat="false" ht="15" hidden="false" customHeight="false" outlineLevel="0" collapsed="false">
      <c r="A1741" s="31" t="s">
        <v>2282</v>
      </c>
      <c r="B1741" s="31" t="s">
        <v>2283</v>
      </c>
      <c r="C1741" s="31" t="s">
        <v>44</v>
      </c>
      <c r="D1741" s="31" t="s">
        <v>44</v>
      </c>
      <c r="E1741" s="31" t="n">
        <v>1</v>
      </c>
      <c r="F1741" s="32" t="n">
        <v>3.95</v>
      </c>
      <c r="G1741" s="32" t="n">
        <v>3.95</v>
      </c>
      <c r="H1741" s="31" t="s">
        <v>184</v>
      </c>
      <c r="I1741" s="31" t="s">
        <v>58</v>
      </c>
      <c r="J1741" s="31" t="s">
        <v>2284</v>
      </c>
      <c r="K1741" s="31" t="s">
        <v>48</v>
      </c>
    </row>
    <row r="1742" customFormat="false" ht="15" hidden="false" customHeight="false" outlineLevel="0" collapsed="false">
      <c r="A1742" s="31" t="s">
        <v>2282</v>
      </c>
      <c r="B1742" s="31" t="s">
        <v>2285</v>
      </c>
      <c r="C1742" s="31" t="s">
        <v>20</v>
      </c>
      <c r="D1742" s="31" t="s">
        <v>78</v>
      </c>
      <c r="E1742" s="31" t="n">
        <v>3</v>
      </c>
      <c r="F1742" s="32" t="n">
        <v>89</v>
      </c>
      <c r="G1742" s="32" t="n">
        <v>267</v>
      </c>
      <c r="H1742" s="31" t="s">
        <v>184</v>
      </c>
      <c r="I1742" s="31" t="s">
        <v>58</v>
      </c>
      <c r="J1742" s="31" t="s">
        <v>2284</v>
      </c>
      <c r="K1742" s="31" t="s">
        <v>48</v>
      </c>
    </row>
    <row r="1743" customFormat="false" ht="15" hidden="false" customHeight="false" outlineLevel="0" collapsed="false">
      <c r="A1743" s="31" t="s">
        <v>2286</v>
      </c>
      <c r="B1743" s="31" t="s">
        <v>2287</v>
      </c>
      <c r="C1743" s="31" t="s">
        <v>20</v>
      </c>
      <c r="D1743" s="31" t="s">
        <v>87</v>
      </c>
      <c r="E1743" s="31" t="n">
        <v>2</v>
      </c>
      <c r="F1743" s="32" t="n">
        <v>35</v>
      </c>
      <c r="G1743" s="32" t="n">
        <v>70</v>
      </c>
      <c r="H1743" s="31" t="s">
        <v>45</v>
      </c>
      <c r="I1743" s="31" t="s">
        <v>58</v>
      </c>
      <c r="J1743" s="31" t="s">
        <v>117</v>
      </c>
      <c r="K1743" s="31" t="s">
        <v>48</v>
      </c>
    </row>
    <row r="1744" customFormat="false" ht="15" hidden="false" customHeight="false" outlineLevel="0" collapsed="false">
      <c r="A1744" s="31" t="s">
        <v>2288</v>
      </c>
      <c r="B1744" s="31" t="s">
        <v>2289</v>
      </c>
      <c r="C1744" s="31" t="s">
        <v>44</v>
      </c>
      <c r="D1744" s="31" t="s">
        <v>44</v>
      </c>
      <c r="E1744" s="31" t="n">
        <v>1</v>
      </c>
      <c r="F1744" s="32" t="n">
        <v>0</v>
      </c>
      <c r="G1744" s="32" t="n">
        <v>0</v>
      </c>
      <c r="H1744" s="31" t="s">
        <v>57</v>
      </c>
      <c r="I1744" s="31" t="s">
        <v>58</v>
      </c>
      <c r="J1744" s="31" t="s">
        <v>1768</v>
      </c>
      <c r="K1744" s="31" t="s">
        <v>48</v>
      </c>
    </row>
    <row r="1745" customFormat="false" ht="15" hidden="false" customHeight="false" outlineLevel="0" collapsed="false">
      <c r="A1745" s="31" t="s">
        <v>2288</v>
      </c>
      <c r="B1745" s="31" t="s">
        <v>2289</v>
      </c>
      <c r="C1745" s="31" t="s">
        <v>20</v>
      </c>
      <c r="D1745" s="31" t="s">
        <v>87</v>
      </c>
      <c r="E1745" s="31" t="n">
        <v>1</v>
      </c>
      <c r="F1745" s="32" t="n">
        <v>35</v>
      </c>
      <c r="G1745" s="32" t="n">
        <v>35</v>
      </c>
      <c r="H1745" s="31" t="s">
        <v>57</v>
      </c>
      <c r="I1745" s="31" t="s">
        <v>58</v>
      </c>
      <c r="J1745" s="31" t="s">
        <v>1768</v>
      </c>
      <c r="K1745" s="31" t="s">
        <v>48</v>
      </c>
    </row>
    <row r="1746" customFormat="false" ht="15" hidden="false" customHeight="false" outlineLevel="0" collapsed="false">
      <c r="A1746" s="31" t="s">
        <v>2290</v>
      </c>
      <c r="B1746" s="31" t="s">
        <v>2291</v>
      </c>
      <c r="C1746" s="31" t="s">
        <v>44</v>
      </c>
      <c r="D1746" s="31" t="s">
        <v>44</v>
      </c>
      <c r="E1746" s="31" t="n">
        <v>1</v>
      </c>
      <c r="F1746" s="32" t="n">
        <v>0</v>
      </c>
      <c r="G1746" s="32" t="n">
        <v>0</v>
      </c>
      <c r="H1746" s="31" t="s">
        <v>145</v>
      </c>
      <c r="I1746" s="31" t="s">
        <v>58</v>
      </c>
      <c r="J1746" s="31" t="s">
        <v>2292</v>
      </c>
      <c r="K1746" s="31" t="s">
        <v>48</v>
      </c>
    </row>
    <row r="1747" customFormat="false" ht="15" hidden="false" customHeight="false" outlineLevel="0" collapsed="false">
      <c r="A1747" s="31" t="s">
        <v>2290</v>
      </c>
      <c r="B1747" s="31" t="s">
        <v>2293</v>
      </c>
      <c r="C1747" s="31" t="s">
        <v>20</v>
      </c>
      <c r="D1747" s="31" t="s">
        <v>87</v>
      </c>
      <c r="E1747" s="31" t="n">
        <v>2</v>
      </c>
      <c r="F1747" s="32" t="n">
        <v>35</v>
      </c>
      <c r="G1747" s="32" t="n">
        <v>70</v>
      </c>
      <c r="H1747" s="31" t="s">
        <v>145</v>
      </c>
      <c r="I1747" s="31" t="s">
        <v>58</v>
      </c>
      <c r="J1747" s="31" t="s">
        <v>2292</v>
      </c>
      <c r="K1747" s="31" t="s">
        <v>48</v>
      </c>
    </row>
    <row r="1748" customFormat="false" ht="15" hidden="false" customHeight="false" outlineLevel="0" collapsed="false">
      <c r="A1748" s="31" t="s">
        <v>2290</v>
      </c>
      <c r="B1748" s="31" t="s">
        <v>2291</v>
      </c>
      <c r="C1748" s="31" t="s">
        <v>44</v>
      </c>
      <c r="D1748" s="31" t="s">
        <v>44</v>
      </c>
      <c r="E1748" s="31" t="n">
        <v>1</v>
      </c>
      <c r="F1748" s="32" t="n">
        <v>0</v>
      </c>
      <c r="G1748" s="32" t="n">
        <v>0</v>
      </c>
      <c r="H1748" s="31" t="s">
        <v>145</v>
      </c>
      <c r="I1748" s="31" t="s">
        <v>58</v>
      </c>
      <c r="J1748" s="31" t="s">
        <v>2292</v>
      </c>
      <c r="K1748" s="31" t="s">
        <v>48</v>
      </c>
    </row>
    <row r="1749" customFormat="false" ht="15" hidden="false" customHeight="false" outlineLevel="0" collapsed="false">
      <c r="A1749" s="31" t="s">
        <v>2294</v>
      </c>
      <c r="B1749" s="31" t="s">
        <v>2295</v>
      </c>
      <c r="C1749" s="31" t="s">
        <v>50</v>
      </c>
      <c r="D1749" s="31" t="s">
        <v>51</v>
      </c>
      <c r="E1749" s="31" t="n">
        <v>1</v>
      </c>
      <c r="F1749" s="32" t="n">
        <v>-5</v>
      </c>
      <c r="G1749" s="32" t="n">
        <v>-5</v>
      </c>
      <c r="H1749" s="31" t="s">
        <v>45</v>
      </c>
      <c r="I1749" s="31" t="s">
        <v>58</v>
      </c>
      <c r="J1749" s="31" t="s">
        <v>646</v>
      </c>
      <c r="K1749" s="31" t="s">
        <v>48</v>
      </c>
    </row>
    <row r="1750" customFormat="false" ht="15" hidden="false" customHeight="false" outlineLevel="0" collapsed="false">
      <c r="A1750" s="31" t="s">
        <v>2294</v>
      </c>
      <c r="B1750" s="31" t="s">
        <v>2295</v>
      </c>
      <c r="C1750" s="31" t="s">
        <v>20</v>
      </c>
      <c r="D1750" s="31" t="s">
        <v>63</v>
      </c>
      <c r="E1750" s="31" t="n">
        <v>1</v>
      </c>
      <c r="F1750" s="32" t="n">
        <v>14</v>
      </c>
      <c r="G1750" s="32" t="n">
        <v>14</v>
      </c>
      <c r="H1750" s="31" t="s">
        <v>45</v>
      </c>
      <c r="I1750" s="31" t="s">
        <v>58</v>
      </c>
      <c r="J1750" s="31" t="s">
        <v>646</v>
      </c>
      <c r="K1750" s="31" t="s">
        <v>48</v>
      </c>
    </row>
    <row r="1751" customFormat="false" ht="15" hidden="false" customHeight="false" outlineLevel="0" collapsed="false">
      <c r="A1751" s="31" t="s">
        <v>2294</v>
      </c>
      <c r="B1751" s="31" t="s">
        <v>2295</v>
      </c>
      <c r="C1751" s="31" t="s">
        <v>44</v>
      </c>
      <c r="D1751" s="31" t="s">
        <v>44</v>
      </c>
      <c r="E1751" s="31" t="n">
        <v>1</v>
      </c>
      <c r="F1751" s="32" t="n">
        <v>5.95</v>
      </c>
      <c r="G1751" s="32" t="n">
        <v>5.95</v>
      </c>
      <c r="H1751" s="31" t="s">
        <v>45</v>
      </c>
      <c r="I1751" s="31" t="s">
        <v>58</v>
      </c>
      <c r="J1751" s="31" t="s">
        <v>646</v>
      </c>
      <c r="K1751" s="31" t="s">
        <v>48</v>
      </c>
    </row>
    <row r="1752" customFormat="false" ht="15" hidden="false" customHeight="false" outlineLevel="0" collapsed="false">
      <c r="A1752" s="31" t="s">
        <v>2294</v>
      </c>
      <c r="B1752" s="31" t="s">
        <v>2296</v>
      </c>
      <c r="C1752" s="31" t="s">
        <v>20</v>
      </c>
      <c r="D1752" s="31" t="s">
        <v>69</v>
      </c>
      <c r="E1752" s="31" t="n">
        <v>1</v>
      </c>
      <c r="F1752" s="32" t="n">
        <v>29</v>
      </c>
      <c r="G1752" s="32" t="n">
        <v>29</v>
      </c>
      <c r="H1752" s="31" t="s">
        <v>45</v>
      </c>
      <c r="I1752" s="31" t="s">
        <v>58</v>
      </c>
      <c r="J1752" s="31" t="s">
        <v>646</v>
      </c>
      <c r="K1752" s="31" t="s">
        <v>48</v>
      </c>
    </row>
    <row r="1753" customFormat="false" ht="15" hidden="false" customHeight="false" outlineLevel="0" collapsed="false">
      <c r="A1753" s="31" t="s">
        <v>2297</v>
      </c>
      <c r="B1753" s="31" t="s">
        <v>2298</v>
      </c>
      <c r="C1753" s="31" t="s">
        <v>20</v>
      </c>
      <c r="D1753" s="31" t="s">
        <v>78</v>
      </c>
      <c r="E1753" s="31" t="n">
        <v>1</v>
      </c>
      <c r="F1753" s="32" t="n">
        <v>89</v>
      </c>
      <c r="G1753" s="32" t="n">
        <v>89</v>
      </c>
      <c r="H1753" s="31" t="s">
        <v>57</v>
      </c>
      <c r="I1753" s="31" t="s">
        <v>58</v>
      </c>
      <c r="J1753" s="31" t="s">
        <v>1098</v>
      </c>
      <c r="K1753" s="31" t="s">
        <v>48</v>
      </c>
    </row>
    <row r="1754" customFormat="false" ht="15" hidden="false" customHeight="false" outlineLevel="0" collapsed="false">
      <c r="A1754" s="31" t="s">
        <v>2297</v>
      </c>
      <c r="B1754" s="31" t="s">
        <v>2298</v>
      </c>
      <c r="C1754" s="31" t="s">
        <v>44</v>
      </c>
      <c r="D1754" s="31" t="s">
        <v>44</v>
      </c>
      <c r="E1754" s="31" t="n">
        <v>1</v>
      </c>
      <c r="F1754" s="32" t="n">
        <v>5.95</v>
      </c>
      <c r="G1754" s="32" t="n">
        <v>5.95</v>
      </c>
      <c r="H1754" s="31" t="s">
        <v>57</v>
      </c>
      <c r="I1754" s="31" t="s">
        <v>58</v>
      </c>
      <c r="J1754" s="31" t="s">
        <v>1098</v>
      </c>
      <c r="K1754" s="31" t="s">
        <v>48</v>
      </c>
    </row>
    <row r="1755" customFormat="false" ht="15" hidden="false" customHeight="false" outlineLevel="0" collapsed="false">
      <c r="A1755" s="31" t="s">
        <v>2299</v>
      </c>
      <c r="B1755" s="31" t="s">
        <v>2300</v>
      </c>
      <c r="C1755" s="31" t="s">
        <v>20</v>
      </c>
      <c r="D1755" s="31" t="s">
        <v>53</v>
      </c>
      <c r="E1755" s="31" t="n">
        <v>2</v>
      </c>
      <c r="F1755" s="32" t="n">
        <v>39</v>
      </c>
      <c r="G1755" s="32" t="n">
        <v>78</v>
      </c>
      <c r="H1755" s="31" t="s">
        <v>45</v>
      </c>
      <c r="I1755" s="31" t="s">
        <v>58</v>
      </c>
      <c r="J1755" s="31" t="s">
        <v>2301</v>
      </c>
      <c r="K1755" s="31" t="s">
        <v>48</v>
      </c>
    </row>
    <row r="1756" customFormat="false" ht="15" hidden="false" customHeight="false" outlineLevel="0" collapsed="false">
      <c r="A1756" s="31" t="s">
        <v>2299</v>
      </c>
      <c r="B1756" s="31" t="s">
        <v>2300</v>
      </c>
      <c r="C1756" s="31" t="s">
        <v>20</v>
      </c>
      <c r="D1756" s="31" t="s">
        <v>140</v>
      </c>
      <c r="E1756" s="31" t="n">
        <v>1</v>
      </c>
      <c r="F1756" s="32" t="n">
        <v>26</v>
      </c>
      <c r="G1756" s="32" t="n">
        <v>26</v>
      </c>
      <c r="H1756" s="31" t="s">
        <v>45</v>
      </c>
      <c r="I1756" s="31" t="s">
        <v>58</v>
      </c>
      <c r="J1756" s="31" t="s">
        <v>2301</v>
      </c>
      <c r="K1756" s="31" t="s">
        <v>48</v>
      </c>
    </row>
    <row r="1757" customFormat="false" ht="15" hidden="false" customHeight="false" outlineLevel="0" collapsed="false">
      <c r="A1757" s="31" t="s">
        <v>2299</v>
      </c>
      <c r="B1757" s="31" t="s">
        <v>2302</v>
      </c>
      <c r="C1757" s="31" t="s">
        <v>20</v>
      </c>
      <c r="D1757" s="31" t="s">
        <v>123</v>
      </c>
      <c r="E1757" s="31" t="n">
        <v>1</v>
      </c>
      <c r="F1757" s="32" t="n">
        <v>75</v>
      </c>
      <c r="G1757" s="32" t="n">
        <v>75</v>
      </c>
      <c r="H1757" s="31" t="s">
        <v>45</v>
      </c>
      <c r="I1757" s="31" t="s">
        <v>58</v>
      </c>
      <c r="J1757" s="31" t="s">
        <v>2301</v>
      </c>
      <c r="K1757" s="31" t="s">
        <v>202</v>
      </c>
    </row>
    <row r="1758" customFormat="false" ht="15" hidden="false" customHeight="false" outlineLevel="0" collapsed="false">
      <c r="A1758" s="31" t="s">
        <v>2299</v>
      </c>
      <c r="B1758" s="31" t="s">
        <v>2300</v>
      </c>
      <c r="C1758" s="31" t="s">
        <v>50</v>
      </c>
      <c r="D1758" s="31" t="s">
        <v>51</v>
      </c>
      <c r="E1758" s="31" t="n">
        <v>1</v>
      </c>
      <c r="F1758" s="32" t="n">
        <v>-5</v>
      </c>
      <c r="G1758" s="32" t="n">
        <v>-5</v>
      </c>
      <c r="H1758" s="31" t="s">
        <v>45</v>
      </c>
      <c r="I1758" s="31" t="s">
        <v>58</v>
      </c>
      <c r="J1758" s="31" t="s">
        <v>2301</v>
      </c>
      <c r="K1758" s="31" t="s">
        <v>48</v>
      </c>
    </row>
    <row r="1759" customFormat="false" ht="15" hidden="false" customHeight="false" outlineLevel="0" collapsed="false">
      <c r="A1759" s="31" t="s">
        <v>2299</v>
      </c>
      <c r="B1759" s="31" t="s">
        <v>2300</v>
      </c>
      <c r="C1759" s="31" t="s">
        <v>44</v>
      </c>
      <c r="D1759" s="31" t="s">
        <v>44</v>
      </c>
      <c r="E1759" s="31" t="n">
        <v>1</v>
      </c>
      <c r="F1759" s="32" t="n">
        <v>0</v>
      </c>
      <c r="G1759" s="32" t="n">
        <v>0</v>
      </c>
      <c r="H1759" s="31" t="s">
        <v>45</v>
      </c>
      <c r="I1759" s="31" t="s">
        <v>58</v>
      </c>
      <c r="J1759" s="31" t="s">
        <v>2301</v>
      </c>
      <c r="K1759" s="31" t="s">
        <v>48</v>
      </c>
    </row>
    <row r="1760" customFormat="false" ht="15" hidden="false" customHeight="false" outlineLevel="0" collapsed="false">
      <c r="A1760" s="31" t="s">
        <v>2303</v>
      </c>
      <c r="B1760" s="31" t="s">
        <v>2304</v>
      </c>
      <c r="C1760" s="31" t="s">
        <v>20</v>
      </c>
      <c r="D1760" s="31" t="s">
        <v>56</v>
      </c>
      <c r="E1760" s="31" t="n">
        <v>1</v>
      </c>
      <c r="F1760" s="32" t="n">
        <v>45</v>
      </c>
      <c r="G1760" s="32" t="n">
        <v>45</v>
      </c>
      <c r="H1760" s="31" t="s">
        <v>160</v>
      </c>
      <c r="I1760" s="31" t="s">
        <v>46</v>
      </c>
      <c r="J1760" s="31" t="s">
        <v>2305</v>
      </c>
      <c r="K1760" s="31" t="s">
        <v>202</v>
      </c>
    </row>
    <row r="1761" customFormat="false" ht="15" hidden="false" customHeight="false" outlineLevel="0" collapsed="false">
      <c r="A1761" s="31" t="s">
        <v>2303</v>
      </c>
      <c r="B1761" s="31" t="s">
        <v>2304</v>
      </c>
      <c r="C1761" s="31" t="s">
        <v>44</v>
      </c>
      <c r="D1761" s="31" t="s">
        <v>44</v>
      </c>
      <c r="E1761" s="31" t="n">
        <v>1</v>
      </c>
      <c r="F1761" s="32" t="n">
        <v>4.95</v>
      </c>
      <c r="G1761" s="32" t="n">
        <v>4.95</v>
      </c>
      <c r="H1761" s="31" t="s">
        <v>160</v>
      </c>
      <c r="I1761" s="31" t="s">
        <v>46</v>
      </c>
      <c r="J1761" s="31" t="s">
        <v>2305</v>
      </c>
      <c r="K1761" s="31" t="s">
        <v>48</v>
      </c>
    </row>
    <row r="1762" customFormat="false" ht="15" hidden="false" customHeight="false" outlineLevel="0" collapsed="false">
      <c r="A1762" s="31" t="s">
        <v>2306</v>
      </c>
      <c r="B1762" s="31" t="s">
        <v>2307</v>
      </c>
      <c r="C1762" s="31" t="s">
        <v>44</v>
      </c>
      <c r="D1762" s="31" t="s">
        <v>44</v>
      </c>
      <c r="E1762" s="31" t="n">
        <v>1</v>
      </c>
      <c r="F1762" s="32" t="n">
        <v>3.95</v>
      </c>
      <c r="G1762" s="32" t="n">
        <v>3.95</v>
      </c>
      <c r="H1762" s="31" t="s">
        <v>45</v>
      </c>
      <c r="I1762" s="31" t="s">
        <v>84</v>
      </c>
      <c r="J1762" s="31" t="s">
        <v>364</v>
      </c>
      <c r="K1762" s="31" t="s">
        <v>48</v>
      </c>
    </row>
    <row r="1763" customFormat="false" ht="15" hidden="false" customHeight="false" outlineLevel="0" collapsed="false">
      <c r="A1763" s="31" t="s">
        <v>2306</v>
      </c>
      <c r="B1763" s="31" t="s">
        <v>2308</v>
      </c>
      <c r="C1763" s="31" t="s">
        <v>20</v>
      </c>
      <c r="D1763" s="31" t="s">
        <v>66</v>
      </c>
      <c r="E1763" s="31" t="n">
        <v>1</v>
      </c>
      <c r="F1763" s="32" t="n">
        <v>32</v>
      </c>
      <c r="G1763" s="32" t="n">
        <v>32</v>
      </c>
      <c r="H1763" s="31" t="s">
        <v>45</v>
      </c>
      <c r="I1763" s="31" t="s">
        <v>84</v>
      </c>
      <c r="J1763" s="31" t="s">
        <v>364</v>
      </c>
      <c r="K1763" s="31" t="s">
        <v>48</v>
      </c>
    </row>
    <row r="1764" customFormat="false" ht="15" hidden="false" customHeight="false" outlineLevel="0" collapsed="false">
      <c r="A1764" s="31" t="s">
        <v>2309</v>
      </c>
      <c r="B1764" s="31" t="s">
        <v>2310</v>
      </c>
      <c r="C1764" s="31" t="s">
        <v>44</v>
      </c>
      <c r="D1764" s="31" t="s">
        <v>44</v>
      </c>
      <c r="E1764" s="31" t="n">
        <v>1</v>
      </c>
      <c r="F1764" s="32" t="n">
        <v>3.95</v>
      </c>
      <c r="G1764" s="32" t="n">
        <v>3.95</v>
      </c>
      <c r="H1764" s="31" t="s">
        <v>57</v>
      </c>
      <c r="I1764" s="31" t="s">
        <v>104</v>
      </c>
      <c r="J1764" s="31" t="s">
        <v>2126</v>
      </c>
      <c r="K1764" s="31" t="s">
        <v>48</v>
      </c>
    </row>
    <row r="1765" customFormat="false" ht="15" hidden="false" customHeight="false" outlineLevel="0" collapsed="false">
      <c r="A1765" s="31" t="s">
        <v>2309</v>
      </c>
      <c r="B1765" s="31" t="s">
        <v>2310</v>
      </c>
      <c r="C1765" s="31" t="s">
        <v>20</v>
      </c>
      <c r="D1765" s="31" t="s">
        <v>140</v>
      </c>
      <c r="E1765" s="31" t="n">
        <v>1</v>
      </c>
      <c r="F1765" s="32" t="n">
        <v>26</v>
      </c>
      <c r="G1765" s="32" t="n">
        <v>26</v>
      </c>
      <c r="H1765" s="31" t="s">
        <v>57</v>
      </c>
      <c r="I1765" s="31" t="s">
        <v>104</v>
      </c>
      <c r="J1765" s="31" t="s">
        <v>2126</v>
      </c>
      <c r="K1765" s="31" t="s">
        <v>48</v>
      </c>
    </row>
    <row r="1766" customFormat="false" ht="15" hidden="false" customHeight="false" outlineLevel="0" collapsed="false">
      <c r="A1766" s="31" t="s">
        <v>2309</v>
      </c>
      <c r="B1766" s="31" t="s">
        <v>2310</v>
      </c>
      <c r="C1766" s="31" t="s">
        <v>20</v>
      </c>
      <c r="D1766" s="31" t="s">
        <v>53</v>
      </c>
      <c r="E1766" s="31" t="n">
        <v>2</v>
      </c>
      <c r="F1766" s="32" t="n">
        <v>39</v>
      </c>
      <c r="G1766" s="32" t="n">
        <v>78</v>
      </c>
      <c r="H1766" s="31" t="s">
        <v>57</v>
      </c>
      <c r="I1766" s="31" t="s">
        <v>104</v>
      </c>
      <c r="J1766" s="31" t="s">
        <v>2126</v>
      </c>
      <c r="K1766" s="31" t="s">
        <v>48</v>
      </c>
    </row>
    <row r="1767" customFormat="false" ht="15" hidden="false" customHeight="false" outlineLevel="0" collapsed="false">
      <c r="A1767" s="31" t="s">
        <v>2311</v>
      </c>
      <c r="B1767" s="31" t="s">
        <v>2312</v>
      </c>
      <c r="C1767" s="31" t="s">
        <v>44</v>
      </c>
      <c r="D1767" s="31" t="s">
        <v>44</v>
      </c>
      <c r="E1767" s="31" t="n">
        <v>1</v>
      </c>
      <c r="F1767" s="32" t="n">
        <v>4.95</v>
      </c>
      <c r="G1767" s="32" t="n">
        <v>4.95</v>
      </c>
      <c r="H1767" s="31" t="s">
        <v>160</v>
      </c>
      <c r="I1767" s="31" t="s">
        <v>58</v>
      </c>
      <c r="J1767" s="31" t="s">
        <v>933</v>
      </c>
      <c r="K1767" s="31" t="s">
        <v>48</v>
      </c>
    </row>
    <row r="1768" customFormat="false" ht="15" hidden="false" customHeight="false" outlineLevel="0" collapsed="false">
      <c r="A1768" s="31" t="s">
        <v>2311</v>
      </c>
      <c r="B1768" s="31" t="s">
        <v>2313</v>
      </c>
      <c r="C1768" s="31" t="s">
        <v>20</v>
      </c>
      <c r="D1768" s="31" t="s">
        <v>52</v>
      </c>
      <c r="E1768" s="31" t="n">
        <v>1</v>
      </c>
      <c r="F1768" s="32" t="n">
        <v>22</v>
      </c>
      <c r="G1768" s="32" t="n">
        <v>22</v>
      </c>
      <c r="H1768" s="31" t="s">
        <v>160</v>
      </c>
      <c r="I1768" s="31" t="s">
        <v>58</v>
      </c>
      <c r="J1768" s="31" t="s">
        <v>933</v>
      </c>
      <c r="K1768" s="31" t="s">
        <v>48</v>
      </c>
    </row>
    <row r="1769" customFormat="false" ht="15" hidden="false" customHeight="false" outlineLevel="0" collapsed="false">
      <c r="A1769" s="31" t="s">
        <v>2311</v>
      </c>
      <c r="B1769" s="31" t="s">
        <v>2313</v>
      </c>
      <c r="C1769" s="31" t="s">
        <v>20</v>
      </c>
      <c r="D1769" s="31" t="s">
        <v>63</v>
      </c>
      <c r="E1769" s="31" t="n">
        <v>1</v>
      </c>
      <c r="F1769" s="32" t="n">
        <v>11.9</v>
      </c>
      <c r="G1769" s="32" t="n">
        <v>11.9</v>
      </c>
      <c r="H1769" s="31" t="s">
        <v>160</v>
      </c>
      <c r="I1769" s="31" t="s">
        <v>58</v>
      </c>
      <c r="J1769" s="31" t="s">
        <v>933</v>
      </c>
      <c r="K1769" s="31" t="s">
        <v>48</v>
      </c>
    </row>
    <row r="1770" customFormat="false" ht="15" hidden="false" customHeight="false" outlineLevel="0" collapsed="false">
      <c r="A1770" s="31" t="s">
        <v>2314</v>
      </c>
      <c r="B1770" s="31" t="s">
        <v>2315</v>
      </c>
      <c r="C1770" s="31" t="s">
        <v>20</v>
      </c>
      <c r="D1770" s="31" t="s">
        <v>73</v>
      </c>
      <c r="E1770" s="31" t="n">
        <v>1</v>
      </c>
      <c r="F1770" s="32" t="n">
        <v>69</v>
      </c>
      <c r="G1770" s="32" t="n">
        <v>69</v>
      </c>
      <c r="H1770" s="31" t="s">
        <v>184</v>
      </c>
      <c r="I1770" s="31" t="s">
        <v>46</v>
      </c>
      <c r="J1770" s="31" t="s">
        <v>1555</v>
      </c>
      <c r="K1770" s="31" t="s">
        <v>48</v>
      </c>
    </row>
    <row r="1771" customFormat="false" ht="15" hidden="false" customHeight="false" outlineLevel="0" collapsed="false">
      <c r="A1771" s="31" t="s">
        <v>2314</v>
      </c>
      <c r="B1771" s="31" t="s">
        <v>2315</v>
      </c>
      <c r="C1771" s="31" t="s">
        <v>44</v>
      </c>
      <c r="D1771" s="31" t="s">
        <v>44</v>
      </c>
      <c r="E1771" s="31" t="n">
        <v>1</v>
      </c>
      <c r="F1771" s="32" t="n">
        <v>5.95</v>
      </c>
      <c r="G1771" s="32" t="n">
        <v>5.95</v>
      </c>
      <c r="H1771" s="31" t="s">
        <v>184</v>
      </c>
      <c r="I1771" s="31" t="s">
        <v>46</v>
      </c>
      <c r="J1771" s="31" t="s">
        <v>1555</v>
      </c>
      <c r="K1771" s="31" t="s">
        <v>48</v>
      </c>
    </row>
    <row r="1772" customFormat="false" ht="15" hidden="false" customHeight="false" outlineLevel="0" collapsed="false">
      <c r="A1772" s="31" t="s">
        <v>2316</v>
      </c>
      <c r="B1772" s="31" t="s">
        <v>2317</v>
      </c>
      <c r="C1772" s="31" t="s">
        <v>20</v>
      </c>
      <c r="D1772" s="31" t="s">
        <v>73</v>
      </c>
      <c r="E1772" s="31" t="n">
        <v>1</v>
      </c>
      <c r="F1772" s="32" t="n">
        <v>69</v>
      </c>
      <c r="G1772" s="32" t="n">
        <v>69</v>
      </c>
      <c r="H1772" s="31" t="s">
        <v>45</v>
      </c>
      <c r="I1772" s="31" t="s">
        <v>84</v>
      </c>
      <c r="J1772" s="31" t="s">
        <v>2318</v>
      </c>
      <c r="K1772" s="31" t="s">
        <v>48</v>
      </c>
    </row>
    <row r="1773" customFormat="false" ht="15" hidden="false" customHeight="false" outlineLevel="0" collapsed="false">
      <c r="A1773" s="31" t="s">
        <v>2316</v>
      </c>
      <c r="B1773" s="31" t="s">
        <v>2319</v>
      </c>
      <c r="C1773" s="31" t="s">
        <v>50</v>
      </c>
      <c r="D1773" s="31" t="s">
        <v>51</v>
      </c>
      <c r="E1773" s="31" t="n">
        <v>1</v>
      </c>
      <c r="F1773" s="32" t="n">
        <v>-15</v>
      </c>
      <c r="G1773" s="32" t="n">
        <v>-15</v>
      </c>
      <c r="H1773" s="31" t="s">
        <v>45</v>
      </c>
      <c r="I1773" s="31" t="s">
        <v>84</v>
      </c>
      <c r="J1773" s="31" t="s">
        <v>2318</v>
      </c>
      <c r="K1773" s="31" t="s">
        <v>48</v>
      </c>
    </row>
    <row r="1774" customFormat="false" ht="15" hidden="false" customHeight="false" outlineLevel="0" collapsed="false">
      <c r="A1774" s="31" t="s">
        <v>2316</v>
      </c>
      <c r="B1774" s="31" t="s">
        <v>2319</v>
      </c>
      <c r="C1774" s="31" t="s">
        <v>44</v>
      </c>
      <c r="D1774" s="31" t="s">
        <v>44</v>
      </c>
      <c r="E1774" s="31" t="n">
        <v>1</v>
      </c>
      <c r="F1774" s="32" t="n">
        <v>0</v>
      </c>
      <c r="G1774" s="32" t="n">
        <v>0</v>
      </c>
      <c r="H1774" s="31" t="s">
        <v>45</v>
      </c>
      <c r="I1774" s="31" t="s">
        <v>84</v>
      </c>
      <c r="J1774" s="31" t="s">
        <v>2318</v>
      </c>
      <c r="K1774" s="31" t="s">
        <v>48</v>
      </c>
    </row>
    <row r="1775" customFormat="false" ht="15" hidden="false" customHeight="false" outlineLevel="0" collapsed="false">
      <c r="A1775" s="31" t="s">
        <v>2320</v>
      </c>
      <c r="B1775" s="31" t="s">
        <v>2321</v>
      </c>
      <c r="C1775" s="31" t="s">
        <v>20</v>
      </c>
      <c r="D1775" s="31" t="s">
        <v>73</v>
      </c>
      <c r="E1775" s="31" t="n">
        <v>2</v>
      </c>
      <c r="F1775" s="32" t="n">
        <v>69</v>
      </c>
      <c r="G1775" s="32" t="n">
        <v>138</v>
      </c>
      <c r="H1775" s="31" t="s">
        <v>45</v>
      </c>
      <c r="I1775" s="31" t="s">
        <v>58</v>
      </c>
      <c r="J1775" s="31" t="s">
        <v>2322</v>
      </c>
      <c r="K1775" s="31" t="s">
        <v>48</v>
      </c>
    </row>
    <row r="1776" customFormat="false" ht="15" hidden="false" customHeight="false" outlineLevel="0" collapsed="false">
      <c r="A1776" s="31" t="s">
        <v>2320</v>
      </c>
      <c r="B1776" s="31" t="s">
        <v>2321</v>
      </c>
      <c r="C1776" s="31" t="s">
        <v>20</v>
      </c>
      <c r="D1776" s="31" t="s">
        <v>53</v>
      </c>
      <c r="E1776" s="31" t="n">
        <v>1</v>
      </c>
      <c r="F1776" s="32" t="n">
        <v>39</v>
      </c>
      <c r="G1776" s="32" t="n">
        <v>39</v>
      </c>
      <c r="H1776" s="31" t="s">
        <v>45</v>
      </c>
      <c r="I1776" s="31" t="s">
        <v>58</v>
      </c>
      <c r="J1776" s="31" t="s">
        <v>2322</v>
      </c>
      <c r="K1776" s="31" t="s">
        <v>48</v>
      </c>
    </row>
    <row r="1777" customFormat="false" ht="15" hidden="false" customHeight="false" outlineLevel="0" collapsed="false">
      <c r="A1777" s="31" t="s">
        <v>2320</v>
      </c>
      <c r="B1777" s="31" t="s">
        <v>2323</v>
      </c>
      <c r="C1777" s="31" t="s">
        <v>20</v>
      </c>
      <c r="D1777" s="31" t="s">
        <v>53</v>
      </c>
      <c r="E1777" s="31" t="n">
        <v>1</v>
      </c>
      <c r="F1777" s="32" t="n">
        <v>39</v>
      </c>
      <c r="G1777" s="32" t="n">
        <v>39</v>
      </c>
      <c r="H1777" s="31" t="s">
        <v>45</v>
      </c>
      <c r="I1777" s="31" t="s">
        <v>58</v>
      </c>
      <c r="J1777" s="31" t="s">
        <v>2322</v>
      </c>
      <c r="K1777" s="31" t="s">
        <v>48</v>
      </c>
    </row>
    <row r="1778" customFormat="false" ht="15" hidden="false" customHeight="false" outlineLevel="0" collapsed="false">
      <c r="A1778" s="31" t="s">
        <v>2320</v>
      </c>
      <c r="B1778" s="31" t="s">
        <v>2321</v>
      </c>
      <c r="C1778" s="31" t="s">
        <v>44</v>
      </c>
      <c r="D1778" s="31" t="s">
        <v>44</v>
      </c>
      <c r="E1778" s="31" t="n">
        <v>1</v>
      </c>
      <c r="F1778" s="32" t="n">
        <v>4.95</v>
      </c>
      <c r="G1778" s="32" t="n">
        <v>4.95</v>
      </c>
      <c r="H1778" s="31" t="s">
        <v>45</v>
      </c>
      <c r="I1778" s="31" t="s">
        <v>58</v>
      </c>
      <c r="J1778" s="31" t="s">
        <v>2322</v>
      </c>
      <c r="K1778" s="31" t="s">
        <v>48</v>
      </c>
    </row>
    <row r="1779" customFormat="false" ht="15" hidden="false" customHeight="false" outlineLevel="0" collapsed="false">
      <c r="A1779" s="31" t="s">
        <v>2324</v>
      </c>
      <c r="B1779" s="31" t="s">
        <v>2325</v>
      </c>
      <c r="C1779" s="31" t="s">
        <v>44</v>
      </c>
      <c r="D1779" s="31" t="s">
        <v>44</v>
      </c>
      <c r="E1779" s="31" t="n">
        <v>1</v>
      </c>
      <c r="F1779" s="32" t="n">
        <v>0</v>
      </c>
      <c r="G1779" s="32" t="n">
        <v>0</v>
      </c>
      <c r="H1779" s="31" t="s">
        <v>45</v>
      </c>
      <c r="I1779" s="31" t="s">
        <v>58</v>
      </c>
      <c r="J1779" s="31" t="s">
        <v>1050</v>
      </c>
      <c r="K1779" s="31" t="s">
        <v>48</v>
      </c>
    </row>
    <row r="1780" customFormat="false" ht="15" hidden="false" customHeight="false" outlineLevel="0" collapsed="false">
      <c r="A1780" s="31" t="s">
        <v>2324</v>
      </c>
      <c r="B1780" s="31" t="s">
        <v>2325</v>
      </c>
      <c r="C1780" s="31" t="s">
        <v>20</v>
      </c>
      <c r="D1780" s="31" t="s">
        <v>73</v>
      </c>
      <c r="E1780" s="31" t="n">
        <v>3</v>
      </c>
      <c r="F1780" s="32" t="n">
        <v>69</v>
      </c>
      <c r="G1780" s="32" t="n">
        <v>207</v>
      </c>
      <c r="H1780" s="31" t="s">
        <v>45</v>
      </c>
      <c r="I1780" s="31" t="s">
        <v>58</v>
      </c>
      <c r="J1780" s="31" t="s">
        <v>1050</v>
      </c>
      <c r="K1780" s="31" t="s">
        <v>48</v>
      </c>
    </row>
    <row r="1781" customFormat="false" ht="15" hidden="false" customHeight="false" outlineLevel="0" collapsed="false">
      <c r="A1781" s="31" t="s">
        <v>2324</v>
      </c>
      <c r="B1781" s="31" t="s">
        <v>2325</v>
      </c>
      <c r="C1781" s="31" t="s">
        <v>20</v>
      </c>
      <c r="D1781" s="31" t="s">
        <v>52</v>
      </c>
      <c r="E1781" s="31" t="n">
        <v>1</v>
      </c>
      <c r="F1781" s="32" t="n">
        <v>22</v>
      </c>
      <c r="G1781" s="32" t="n">
        <v>22</v>
      </c>
      <c r="H1781" s="31" t="s">
        <v>45</v>
      </c>
      <c r="I1781" s="31" t="s">
        <v>58</v>
      </c>
      <c r="J1781" s="31" t="s">
        <v>1050</v>
      </c>
      <c r="K1781" s="31" t="s">
        <v>48</v>
      </c>
    </row>
    <row r="1782" customFormat="false" ht="15" hidden="false" customHeight="false" outlineLevel="0" collapsed="false">
      <c r="A1782" s="31" t="s">
        <v>2326</v>
      </c>
      <c r="B1782" s="31" t="s">
        <v>2327</v>
      </c>
      <c r="C1782" s="31" t="s">
        <v>20</v>
      </c>
      <c r="D1782" s="31" t="s">
        <v>52</v>
      </c>
      <c r="E1782" s="31" t="n">
        <v>1</v>
      </c>
      <c r="F1782" s="32" t="n">
        <v>22</v>
      </c>
      <c r="G1782" s="32" t="n">
        <v>22</v>
      </c>
      <c r="H1782" s="31" t="s">
        <v>57</v>
      </c>
      <c r="I1782" s="31" t="s">
        <v>121</v>
      </c>
      <c r="J1782" s="31" t="s">
        <v>2328</v>
      </c>
      <c r="K1782" s="31" t="s">
        <v>48</v>
      </c>
    </row>
    <row r="1783" customFormat="false" ht="15" hidden="false" customHeight="false" outlineLevel="0" collapsed="false">
      <c r="A1783" s="31" t="s">
        <v>2326</v>
      </c>
      <c r="B1783" s="31" t="s">
        <v>2329</v>
      </c>
      <c r="C1783" s="31" t="s">
        <v>44</v>
      </c>
      <c r="D1783" s="31" t="s">
        <v>44</v>
      </c>
      <c r="E1783" s="31" t="n">
        <v>1</v>
      </c>
      <c r="F1783" s="32" t="n">
        <v>3.95</v>
      </c>
      <c r="G1783" s="32" t="n">
        <v>3.95</v>
      </c>
      <c r="H1783" s="31" t="s">
        <v>57</v>
      </c>
      <c r="I1783" s="31" t="s">
        <v>121</v>
      </c>
      <c r="J1783" s="31" t="s">
        <v>2328</v>
      </c>
      <c r="K1783" s="31" t="s">
        <v>48</v>
      </c>
    </row>
    <row r="1784" customFormat="false" ht="15" hidden="false" customHeight="false" outlineLevel="0" collapsed="false">
      <c r="A1784" s="31" t="s">
        <v>2330</v>
      </c>
      <c r="B1784" s="31" t="s">
        <v>2331</v>
      </c>
      <c r="C1784" s="31" t="s">
        <v>44</v>
      </c>
      <c r="D1784" s="31" t="s">
        <v>44</v>
      </c>
      <c r="E1784" s="31" t="n">
        <v>1</v>
      </c>
      <c r="F1784" s="32" t="n">
        <v>5.95</v>
      </c>
      <c r="G1784" s="32" t="n">
        <v>5.95</v>
      </c>
      <c r="H1784" s="31" t="s">
        <v>57</v>
      </c>
      <c r="I1784" s="31" t="s">
        <v>58</v>
      </c>
      <c r="J1784" s="31" t="s">
        <v>611</v>
      </c>
      <c r="K1784" s="31" t="s">
        <v>48</v>
      </c>
    </row>
    <row r="1785" customFormat="false" ht="15" hidden="false" customHeight="false" outlineLevel="0" collapsed="false">
      <c r="A1785" s="31" t="s">
        <v>2330</v>
      </c>
      <c r="B1785" s="31" t="s">
        <v>2331</v>
      </c>
      <c r="C1785" s="31" t="s">
        <v>20</v>
      </c>
      <c r="D1785" s="31" t="s">
        <v>123</v>
      </c>
      <c r="E1785" s="31" t="n">
        <v>1</v>
      </c>
      <c r="F1785" s="32" t="n">
        <v>75</v>
      </c>
      <c r="G1785" s="32" t="n">
        <v>75</v>
      </c>
      <c r="H1785" s="31" t="s">
        <v>57</v>
      </c>
      <c r="I1785" s="31" t="s">
        <v>58</v>
      </c>
      <c r="J1785" s="31" t="s">
        <v>611</v>
      </c>
      <c r="K1785" s="31" t="s">
        <v>48</v>
      </c>
    </row>
    <row r="1786" customFormat="false" ht="15" hidden="false" customHeight="false" outlineLevel="0" collapsed="false">
      <c r="A1786" s="31" t="s">
        <v>2330</v>
      </c>
      <c r="B1786" s="31" t="s">
        <v>2331</v>
      </c>
      <c r="C1786" s="31" t="s">
        <v>20</v>
      </c>
      <c r="D1786" s="31" t="s">
        <v>56</v>
      </c>
      <c r="E1786" s="31" t="n">
        <v>1</v>
      </c>
      <c r="F1786" s="32" t="n">
        <v>45</v>
      </c>
      <c r="G1786" s="32" t="n">
        <v>45</v>
      </c>
      <c r="H1786" s="31" t="s">
        <v>57</v>
      </c>
      <c r="I1786" s="31" t="s">
        <v>58</v>
      </c>
      <c r="J1786" s="31" t="s">
        <v>611</v>
      </c>
      <c r="K1786" s="31" t="s">
        <v>48</v>
      </c>
    </row>
    <row r="1787" customFormat="false" ht="15" hidden="false" customHeight="false" outlineLevel="0" collapsed="false">
      <c r="A1787" s="31" t="s">
        <v>2332</v>
      </c>
      <c r="B1787" s="31" t="s">
        <v>2333</v>
      </c>
      <c r="C1787" s="31" t="s">
        <v>20</v>
      </c>
      <c r="D1787" s="31" t="s">
        <v>87</v>
      </c>
      <c r="E1787" s="31" t="n">
        <v>2</v>
      </c>
      <c r="F1787" s="32" t="n">
        <v>35</v>
      </c>
      <c r="G1787" s="32" t="n">
        <v>70</v>
      </c>
      <c r="H1787" s="31" t="s">
        <v>57</v>
      </c>
      <c r="I1787" s="31" t="s">
        <v>58</v>
      </c>
      <c r="J1787" s="31" t="s">
        <v>2334</v>
      </c>
      <c r="K1787" s="31" t="s">
        <v>48</v>
      </c>
    </row>
    <row r="1788" customFormat="false" ht="15" hidden="false" customHeight="false" outlineLevel="0" collapsed="false">
      <c r="A1788" s="31" t="s">
        <v>2332</v>
      </c>
      <c r="B1788" s="31" t="s">
        <v>2335</v>
      </c>
      <c r="C1788" s="31" t="s">
        <v>44</v>
      </c>
      <c r="D1788" s="31" t="s">
        <v>44</v>
      </c>
      <c r="E1788" s="31" t="n">
        <v>1</v>
      </c>
      <c r="F1788" s="32" t="n">
        <v>4.95</v>
      </c>
      <c r="G1788" s="32" t="n">
        <v>4.95</v>
      </c>
      <c r="H1788" s="31" t="s">
        <v>57</v>
      </c>
      <c r="I1788" s="31" t="s">
        <v>58</v>
      </c>
      <c r="J1788" s="31" t="s">
        <v>2334</v>
      </c>
      <c r="K1788" s="31" t="s">
        <v>48</v>
      </c>
    </row>
    <row r="1789" customFormat="false" ht="15" hidden="false" customHeight="false" outlineLevel="0" collapsed="false">
      <c r="A1789" s="31" t="s">
        <v>2332</v>
      </c>
      <c r="B1789" s="31" t="s">
        <v>2335</v>
      </c>
      <c r="C1789" s="31" t="s">
        <v>44</v>
      </c>
      <c r="D1789" s="31" t="s">
        <v>44</v>
      </c>
      <c r="E1789" s="31" t="n">
        <v>1</v>
      </c>
      <c r="F1789" s="32" t="n">
        <v>4.95</v>
      </c>
      <c r="G1789" s="32" t="n">
        <v>4.95</v>
      </c>
      <c r="H1789" s="31" t="s">
        <v>57</v>
      </c>
      <c r="I1789" s="31" t="s">
        <v>58</v>
      </c>
      <c r="J1789" s="31" t="s">
        <v>2334</v>
      </c>
      <c r="K1789" s="31" t="s">
        <v>48</v>
      </c>
    </row>
    <row r="1790" customFormat="false" ht="15" hidden="false" customHeight="false" outlineLevel="0" collapsed="false">
      <c r="A1790" s="31" t="s">
        <v>2332</v>
      </c>
      <c r="B1790" s="31" t="s">
        <v>2335</v>
      </c>
      <c r="C1790" s="31" t="s">
        <v>20</v>
      </c>
      <c r="D1790" s="31" t="s">
        <v>78</v>
      </c>
      <c r="E1790" s="31" t="n">
        <v>1</v>
      </c>
      <c r="F1790" s="32" t="n">
        <v>80.1</v>
      </c>
      <c r="G1790" s="32" t="n">
        <v>80.1</v>
      </c>
      <c r="H1790" s="31" t="s">
        <v>57</v>
      </c>
      <c r="I1790" s="31" t="s">
        <v>58</v>
      </c>
      <c r="J1790" s="31" t="s">
        <v>2334</v>
      </c>
      <c r="K1790" s="31" t="s">
        <v>48</v>
      </c>
    </row>
    <row r="1791" customFormat="false" ht="15" hidden="false" customHeight="false" outlineLevel="0" collapsed="false">
      <c r="A1791" s="31" t="s">
        <v>2336</v>
      </c>
      <c r="B1791" s="31" t="s">
        <v>2337</v>
      </c>
      <c r="C1791" s="31" t="s">
        <v>20</v>
      </c>
      <c r="D1791" s="31" t="s">
        <v>56</v>
      </c>
      <c r="E1791" s="31" t="n">
        <v>2</v>
      </c>
      <c r="F1791" s="32" t="n">
        <v>45</v>
      </c>
      <c r="G1791" s="32" t="n">
        <v>90</v>
      </c>
      <c r="H1791" s="31" t="s">
        <v>57</v>
      </c>
      <c r="I1791" s="31" t="s">
        <v>58</v>
      </c>
      <c r="J1791" s="31" t="s">
        <v>2338</v>
      </c>
      <c r="K1791" s="31" t="s">
        <v>48</v>
      </c>
    </row>
    <row r="1792" customFormat="false" ht="15" hidden="false" customHeight="false" outlineLevel="0" collapsed="false">
      <c r="A1792" s="31" t="s">
        <v>2336</v>
      </c>
      <c r="B1792" s="31" t="s">
        <v>2339</v>
      </c>
      <c r="C1792" s="31" t="s">
        <v>44</v>
      </c>
      <c r="D1792" s="31" t="s">
        <v>44</v>
      </c>
      <c r="E1792" s="31" t="n">
        <v>1</v>
      </c>
      <c r="F1792" s="32" t="n">
        <v>4.95</v>
      </c>
      <c r="G1792" s="32" t="n">
        <v>4.95</v>
      </c>
      <c r="H1792" s="31" t="s">
        <v>57</v>
      </c>
      <c r="I1792" s="31" t="s">
        <v>58</v>
      </c>
      <c r="J1792" s="31" t="s">
        <v>2338</v>
      </c>
      <c r="K1792" s="31" t="s">
        <v>48</v>
      </c>
    </row>
    <row r="1793" customFormat="false" ht="15" hidden="false" customHeight="false" outlineLevel="0" collapsed="false">
      <c r="A1793" s="31" t="s">
        <v>2340</v>
      </c>
      <c r="B1793" s="31" t="s">
        <v>2341</v>
      </c>
      <c r="C1793" s="31" t="s">
        <v>20</v>
      </c>
      <c r="D1793" s="31" t="s">
        <v>52</v>
      </c>
      <c r="E1793" s="31" t="n">
        <v>1</v>
      </c>
      <c r="F1793" s="32" t="n">
        <v>22</v>
      </c>
      <c r="G1793" s="32" t="n">
        <v>22</v>
      </c>
      <c r="H1793" s="31" t="s">
        <v>45</v>
      </c>
      <c r="I1793" s="31" t="s">
        <v>58</v>
      </c>
      <c r="J1793" s="31" t="s">
        <v>2342</v>
      </c>
      <c r="K1793" s="31" t="s">
        <v>48</v>
      </c>
    </row>
    <row r="1794" customFormat="false" ht="15" hidden="false" customHeight="false" outlineLevel="0" collapsed="false">
      <c r="A1794" s="31" t="s">
        <v>2340</v>
      </c>
      <c r="B1794" s="31" t="s">
        <v>2341</v>
      </c>
      <c r="C1794" s="31" t="s">
        <v>44</v>
      </c>
      <c r="D1794" s="31" t="s">
        <v>44</v>
      </c>
      <c r="E1794" s="31" t="n">
        <v>1</v>
      </c>
      <c r="F1794" s="32" t="n">
        <v>5.95</v>
      </c>
      <c r="G1794" s="32" t="n">
        <v>5.95</v>
      </c>
      <c r="H1794" s="31" t="s">
        <v>45</v>
      </c>
      <c r="I1794" s="31" t="s">
        <v>58</v>
      </c>
      <c r="J1794" s="31" t="s">
        <v>2342</v>
      </c>
      <c r="K1794" s="31" t="s">
        <v>48</v>
      </c>
    </row>
    <row r="1795" customFormat="false" ht="15" hidden="false" customHeight="false" outlineLevel="0" collapsed="false">
      <c r="A1795" s="31" t="s">
        <v>2340</v>
      </c>
      <c r="B1795" s="31" t="s">
        <v>2341</v>
      </c>
      <c r="C1795" s="31" t="s">
        <v>50</v>
      </c>
      <c r="D1795" s="31" t="s">
        <v>51</v>
      </c>
      <c r="E1795" s="31" t="n">
        <v>1</v>
      </c>
      <c r="F1795" s="32" t="n">
        <v>-10</v>
      </c>
      <c r="G1795" s="32" t="n">
        <v>-10</v>
      </c>
      <c r="H1795" s="31" t="s">
        <v>45</v>
      </c>
      <c r="I1795" s="31" t="s">
        <v>58</v>
      </c>
      <c r="J1795" s="31" t="s">
        <v>2342</v>
      </c>
      <c r="K1795" s="31" t="s">
        <v>48</v>
      </c>
    </row>
    <row r="1796" customFormat="false" ht="15" hidden="false" customHeight="false" outlineLevel="0" collapsed="false">
      <c r="A1796" s="31" t="s">
        <v>2343</v>
      </c>
      <c r="B1796" s="31" t="s">
        <v>2344</v>
      </c>
      <c r="C1796" s="31" t="s">
        <v>20</v>
      </c>
      <c r="D1796" s="31" t="s">
        <v>66</v>
      </c>
      <c r="E1796" s="31" t="n">
        <v>1</v>
      </c>
      <c r="F1796" s="32" t="n">
        <v>32</v>
      </c>
      <c r="G1796" s="32" t="n">
        <v>32</v>
      </c>
      <c r="H1796" s="31" t="s">
        <v>45</v>
      </c>
      <c r="I1796" s="31" t="s">
        <v>155</v>
      </c>
      <c r="J1796" s="31" t="s">
        <v>1214</v>
      </c>
      <c r="K1796" s="31" t="s">
        <v>48</v>
      </c>
    </row>
    <row r="1797" customFormat="false" ht="15" hidden="false" customHeight="false" outlineLevel="0" collapsed="false">
      <c r="A1797" s="31" t="s">
        <v>2343</v>
      </c>
      <c r="B1797" s="31" t="s">
        <v>2345</v>
      </c>
      <c r="C1797" s="31" t="s">
        <v>20</v>
      </c>
      <c r="D1797" s="31" t="s">
        <v>56</v>
      </c>
      <c r="E1797" s="31" t="n">
        <v>3</v>
      </c>
      <c r="F1797" s="32" t="n">
        <v>45</v>
      </c>
      <c r="G1797" s="32" t="n">
        <v>135</v>
      </c>
      <c r="H1797" s="31" t="s">
        <v>45</v>
      </c>
      <c r="I1797" s="31" t="s">
        <v>155</v>
      </c>
      <c r="J1797" s="31" t="s">
        <v>1214</v>
      </c>
      <c r="K1797" s="31" t="s">
        <v>48</v>
      </c>
    </row>
    <row r="1798" customFormat="false" ht="15" hidden="false" customHeight="false" outlineLevel="0" collapsed="false">
      <c r="A1798" s="31" t="s">
        <v>2343</v>
      </c>
      <c r="B1798" s="31" t="s">
        <v>2344</v>
      </c>
      <c r="C1798" s="31" t="s">
        <v>44</v>
      </c>
      <c r="D1798" s="31" t="s">
        <v>44</v>
      </c>
      <c r="E1798" s="31" t="n">
        <v>1</v>
      </c>
      <c r="F1798" s="32" t="n">
        <v>4.95</v>
      </c>
      <c r="G1798" s="32" t="n">
        <v>4.95</v>
      </c>
      <c r="H1798" s="31" t="s">
        <v>45</v>
      </c>
      <c r="I1798" s="31" t="s">
        <v>155</v>
      </c>
      <c r="J1798" s="31" t="s">
        <v>1214</v>
      </c>
      <c r="K1798" s="31" t="s">
        <v>48</v>
      </c>
    </row>
    <row r="1799" customFormat="false" ht="15" hidden="false" customHeight="false" outlineLevel="0" collapsed="false">
      <c r="A1799" s="31" t="s">
        <v>2187</v>
      </c>
      <c r="B1799" s="31" t="s">
        <v>2346</v>
      </c>
      <c r="C1799" s="31" t="s">
        <v>20</v>
      </c>
      <c r="D1799" s="31" t="s">
        <v>73</v>
      </c>
      <c r="E1799" s="31" t="n">
        <v>-1</v>
      </c>
      <c r="F1799" s="32" t="n">
        <v>69</v>
      </c>
      <c r="G1799" s="32" t="n">
        <v>-69</v>
      </c>
      <c r="H1799" s="31" t="s">
        <v>45</v>
      </c>
      <c r="I1799" s="31" t="s">
        <v>58</v>
      </c>
      <c r="J1799" s="31" t="s">
        <v>2189</v>
      </c>
      <c r="K1799" s="31" t="s">
        <v>243</v>
      </c>
    </row>
    <row r="1800" customFormat="false" ht="15" hidden="false" customHeight="false" outlineLevel="0" collapsed="false">
      <c r="A1800" s="31" t="s">
        <v>2347</v>
      </c>
      <c r="B1800" s="31" t="s">
        <v>2348</v>
      </c>
      <c r="C1800" s="31" t="s">
        <v>44</v>
      </c>
      <c r="D1800" s="31" t="s">
        <v>44</v>
      </c>
      <c r="E1800" s="31" t="n">
        <v>1</v>
      </c>
      <c r="F1800" s="32" t="n">
        <v>3.95</v>
      </c>
      <c r="G1800" s="32" t="n">
        <v>3.95</v>
      </c>
      <c r="H1800" s="31" t="s">
        <v>45</v>
      </c>
      <c r="I1800" s="31" t="s">
        <v>58</v>
      </c>
      <c r="J1800" s="31"/>
      <c r="K1800" s="31" t="s">
        <v>48</v>
      </c>
    </row>
    <row r="1801" customFormat="false" ht="15" hidden="false" customHeight="false" outlineLevel="0" collapsed="false">
      <c r="A1801" s="31" t="s">
        <v>2347</v>
      </c>
      <c r="B1801" s="31" t="s">
        <v>2348</v>
      </c>
      <c r="C1801" s="31" t="s">
        <v>20</v>
      </c>
      <c r="D1801" s="31" t="s">
        <v>56</v>
      </c>
      <c r="E1801" s="31" t="n">
        <v>1</v>
      </c>
      <c r="F1801" s="32" t="n">
        <v>45</v>
      </c>
      <c r="G1801" s="32" t="n">
        <v>45</v>
      </c>
      <c r="H1801" s="31" t="s">
        <v>45</v>
      </c>
      <c r="I1801" s="31" t="s">
        <v>58</v>
      </c>
      <c r="J1801" s="31"/>
      <c r="K1801" s="31" t="s">
        <v>48</v>
      </c>
    </row>
    <row r="1802" customFormat="false" ht="15" hidden="false" customHeight="false" outlineLevel="0" collapsed="false">
      <c r="A1802" s="31" t="s">
        <v>2349</v>
      </c>
      <c r="B1802" s="31" t="s">
        <v>2350</v>
      </c>
      <c r="C1802" s="31" t="s">
        <v>44</v>
      </c>
      <c r="D1802" s="31" t="s">
        <v>44</v>
      </c>
      <c r="E1802" s="31" t="n">
        <v>1</v>
      </c>
      <c r="F1802" s="32" t="n">
        <v>4.95</v>
      </c>
      <c r="G1802" s="32" t="n">
        <v>4.95</v>
      </c>
      <c r="H1802" s="31" t="s">
        <v>45</v>
      </c>
      <c r="I1802" s="31" t="s">
        <v>58</v>
      </c>
      <c r="J1802" s="31" t="s">
        <v>702</v>
      </c>
      <c r="K1802" s="31" t="s">
        <v>48</v>
      </c>
    </row>
    <row r="1803" customFormat="false" ht="15" hidden="false" customHeight="false" outlineLevel="0" collapsed="false">
      <c r="A1803" s="31" t="s">
        <v>2349</v>
      </c>
      <c r="B1803" s="31" t="s">
        <v>2351</v>
      </c>
      <c r="C1803" s="31" t="s">
        <v>20</v>
      </c>
      <c r="D1803" s="31" t="s">
        <v>78</v>
      </c>
      <c r="E1803" s="31" t="n">
        <v>1</v>
      </c>
      <c r="F1803" s="32" t="n">
        <v>89</v>
      </c>
      <c r="G1803" s="32" t="n">
        <v>89</v>
      </c>
      <c r="H1803" s="31" t="s">
        <v>45</v>
      </c>
      <c r="I1803" s="31" t="s">
        <v>58</v>
      </c>
      <c r="J1803" s="31" t="s">
        <v>702</v>
      </c>
      <c r="K1803" s="31" t="s">
        <v>48</v>
      </c>
    </row>
    <row r="1804" customFormat="false" ht="15" hidden="false" customHeight="false" outlineLevel="0" collapsed="false">
      <c r="A1804" s="31" t="s">
        <v>2349</v>
      </c>
      <c r="B1804" s="31" t="s">
        <v>2351</v>
      </c>
      <c r="C1804" s="31" t="s">
        <v>20</v>
      </c>
      <c r="D1804" s="31" t="s">
        <v>69</v>
      </c>
      <c r="E1804" s="31" t="n">
        <v>1</v>
      </c>
      <c r="F1804" s="32" t="n">
        <v>29</v>
      </c>
      <c r="G1804" s="32" t="n">
        <v>29</v>
      </c>
      <c r="H1804" s="31" t="s">
        <v>45</v>
      </c>
      <c r="I1804" s="31" t="s">
        <v>58</v>
      </c>
      <c r="J1804" s="31" t="s">
        <v>702</v>
      </c>
      <c r="K1804" s="31" t="s">
        <v>48</v>
      </c>
    </row>
    <row r="1805" customFormat="false" ht="15" hidden="false" customHeight="false" outlineLevel="0" collapsed="false">
      <c r="A1805" s="31" t="s">
        <v>2352</v>
      </c>
      <c r="B1805" s="31" t="s">
        <v>2353</v>
      </c>
      <c r="C1805" s="31" t="s">
        <v>20</v>
      </c>
      <c r="D1805" s="31" t="s">
        <v>52</v>
      </c>
      <c r="E1805" s="31" t="n">
        <v>1</v>
      </c>
      <c r="F1805" s="32" t="n">
        <v>22</v>
      </c>
      <c r="G1805" s="32" t="n">
        <v>22</v>
      </c>
      <c r="H1805" s="31" t="s">
        <v>145</v>
      </c>
      <c r="I1805" s="31" t="s">
        <v>155</v>
      </c>
      <c r="J1805" s="31" t="s">
        <v>72</v>
      </c>
      <c r="K1805" s="31" t="s">
        <v>48</v>
      </c>
    </row>
    <row r="1806" customFormat="false" ht="15" hidden="false" customHeight="false" outlineLevel="0" collapsed="false">
      <c r="A1806" s="31" t="s">
        <v>2352</v>
      </c>
      <c r="B1806" s="31" t="s">
        <v>2353</v>
      </c>
      <c r="C1806" s="31" t="s">
        <v>44</v>
      </c>
      <c r="D1806" s="31" t="s">
        <v>44</v>
      </c>
      <c r="E1806" s="31" t="n">
        <v>1</v>
      </c>
      <c r="F1806" s="32" t="n">
        <v>4.95</v>
      </c>
      <c r="G1806" s="32" t="n">
        <v>4.95</v>
      </c>
      <c r="H1806" s="31" t="s">
        <v>145</v>
      </c>
      <c r="I1806" s="31" t="s">
        <v>155</v>
      </c>
      <c r="J1806" s="31" t="s">
        <v>72</v>
      </c>
      <c r="K1806" s="31" t="s">
        <v>48</v>
      </c>
    </row>
    <row r="1807" customFormat="false" ht="15" hidden="false" customHeight="false" outlineLevel="0" collapsed="false">
      <c r="A1807" s="31" t="s">
        <v>2194</v>
      </c>
      <c r="B1807" s="31" t="s">
        <v>2354</v>
      </c>
      <c r="C1807" s="31" t="s">
        <v>20</v>
      </c>
      <c r="D1807" s="31" t="s">
        <v>78</v>
      </c>
      <c r="E1807" s="31" t="n">
        <v>-1</v>
      </c>
      <c r="F1807" s="32" t="n">
        <v>89</v>
      </c>
      <c r="G1807" s="32" t="n">
        <v>-89</v>
      </c>
      <c r="H1807" s="31" t="s">
        <v>45</v>
      </c>
      <c r="I1807" s="31" t="s">
        <v>58</v>
      </c>
      <c r="J1807" s="31" t="s">
        <v>2196</v>
      </c>
      <c r="K1807" s="31" t="s">
        <v>243</v>
      </c>
    </row>
    <row r="1808" customFormat="false" ht="15" hidden="false" customHeight="false" outlineLevel="0" collapsed="false">
      <c r="A1808" s="31" t="s">
        <v>2355</v>
      </c>
      <c r="B1808" s="31" t="s">
        <v>2356</v>
      </c>
      <c r="C1808" s="31" t="s">
        <v>44</v>
      </c>
      <c r="D1808" s="31" t="s">
        <v>44</v>
      </c>
      <c r="E1808" s="31" t="n">
        <v>1</v>
      </c>
      <c r="F1808" s="32" t="n">
        <v>0</v>
      </c>
      <c r="G1808" s="32" t="n">
        <v>0</v>
      </c>
      <c r="H1808" s="31" t="s">
        <v>45</v>
      </c>
      <c r="I1808" s="31" t="s">
        <v>84</v>
      </c>
      <c r="J1808" s="31" t="s">
        <v>250</v>
      </c>
      <c r="K1808" s="31" t="s">
        <v>48</v>
      </c>
    </row>
    <row r="1809" customFormat="false" ht="15" hidden="false" customHeight="false" outlineLevel="0" collapsed="false">
      <c r="A1809" s="31" t="s">
        <v>2355</v>
      </c>
      <c r="B1809" s="31" t="s">
        <v>2356</v>
      </c>
      <c r="C1809" s="31" t="s">
        <v>20</v>
      </c>
      <c r="D1809" s="31" t="s">
        <v>52</v>
      </c>
      <c r="E1809" s="31" t="n">
        <v>2</v>
      </c>
      <c r="F1809" s="32" t="n">
        <v>22</v>
      </c>
      <c r="G1809" s="32" t="n">
        <v>44</v>
      </c>
      <c r="H1809" s="31" t="s">
        <v>45</v>
      </c>
      <c r="I1809" s="31" t="s">
        <v>84</v>
      </c>
      <c r="J1809" s="31" t="s">
        <v>250</v>
      </c>
      <c r="K1809" s="31" t="s">
        <v>48</v>
      </c>
    </row>
    <row r="1810" customFormat="false" ht="15" hidden="false" customHeight="false" outlineLevel="0" collapsed="false">
      <c r="A1810" s="31" t="s">
        <v>2355</v>
      </c>
      <c r="B1810" s="31" t="s">
        <v>2356</v>
      </c>
      <c r="C1810" s="31" t="s">
        <v>20</v>
      </c>
      <c r="D1810" s="31" t="s">
        <v>78</v>
      </c>
      <c r="E1810" s="31" t="n">
        <v>1</v>
      </c>
      <c r="F1810" s="32" t="n">
        <v>89</v>
      </c>
      <c r="G1810" s="32" t="n">
        <v>89</v>
      </c>
      <c r="H1810" s="31" t="s">
        <v>45</v>
      </c>
      <c r="I1810" s="31" t="s">
        <v>84</v>
      </c>
      <c r="J1810" s="31" t="s">
        <v>250</v>
      </c>
      <c r="K1810" s="31" t="s">
        <v>48</v>
      </c>
    </row>
    <row r="1811" customFormat="false" ht="15" hidden="false" customHeight="false" outlineLevel="0" collapsed="false">
      <c r="A1811" s="31" t="s">
        <v>2357</v>
      </c>
      <c r="B1811" s="31" t="s">
        <v>2358</v>
      </c>
      <c r="C1811" s="31" t="s">
        <v>20</v>
      </c>
      <c r="D1811" s="31" t="s">
        <v>87</v>
      </c>
      <c r="E1811" s="31" t="n">
        <v>1</v>
      </c>
      <c r="F1811" s="32" t="n">
        <v>35</v>
      </c>
      <c r="G1811" s="32" t="n">
        <v>35</v>
      </c>
      <c r="H1811" s="31" t="s">
        <v>45</v>
      </c>
      <c r="I1811" s="31" t="s">
        <v>84</v>
      </c>
      <c r="J1811" s="31" t="s">
        <v>2359</v>
      </c>
      <c r="K1811" s="31" t="s">
        <v>48</v>
      </c>
    </row>
    <row r="1812" customFormat="false" ht="15" hidden="false" customHeight="false" outlineLevel="0" collapsed="false">
      <c r="A1812" s="31" t="s">
        <v>2357</v>
      </c>
      <c r="B1812" s="31" t="s">
        <v>2360</v>
      </c>
      <c r="C1812" s="31" t="s">
        <v>20</v>
      </c>
      <c r="D1812" s="31" t="s">
        <v>53</v>
      </c>
      <c r="E1812" s="31" t="n">
        <v>2</v>
      </c>
      <c r="F1812" s="32" t="n">
        <v>39</v>
      </c>
      <c r="G1812" s="32" t="n">
        <v>78</v>
      </c>
      <c r="H1812" s="31" t="s">
        <v>45</v>
      </c>
      <c r="I1812" s="31" t="s">
        <v>84</v>
      </c>
      <c r="J1812" s="31" t="s">
        <v>2359</v>
      </c>
      <c r="K1812" s="31" t="s">
        <v>48</v>
      </c>
    </row>
    <row r="1813" customFormat="false" ht="15" hidden="false" customHeight="false" outlineLevel="0" collapsed="false">
      <c r="A1813" s="31" t="s">
        <v>2357</v>
      </c>
      <c r="B1813" s="31" t="s">
        <v>2358</v>
      </c>
      <c r="C1813" s="31" t="s">
        <v>44</v>
      </c>
      <c r="D1813" s="31" t="s">
        <v>44</v>
      </c>
      <c r="E1813" s="31" t="n">
        <v>1</v>
      </c>
      <c r="F1813" s="32" t="n">
        <v>0</v>
      </c>
      <c r="G1813" s="32" t="n">
        <v>0</v>
      </c>
      <c r="H1813" s="31" t="s">
        <v>45</v>
      </c>
      <c r="I1813" s="31" t="s">
        <v>84</v>
      </c>
      <c r="J1813" s="31" t="s">
        <v>2359</v>
      </c>
      <c r="K1813" s="31" t="s">
        <v>48</v>
      </c>
    </row>
    <row r="1814" customFormat="false" ht="15" hidden="false" customHeight="false" outlineLevel="0" collapsed="false">
      <c r="A1814" s="31" t="s">
        <v>2361</v>
      </c>
      <c r="B1814" s="31" t="s">
        <v>2362</v>
      </c>
      <c r="C1814" s="31" t="s">
        <v>44</v>
      </c>
      <c r="D1814" s="31" t="s">
        <v>44</v>
      </c>
      <c r="E1814" s="31" t="n">
        <v>1</v>
      </c>
      <c r="F1814" s="32" t="n">
        <v>3.95</v>
      </c>
      <c r="G1814" s="32" t="n">
        <v>3.95</v>
      </c>
      <c r="H1814" s="31" t="s">
        <v>45</v>
      </c>
      <c r="I1814" s="31" t="s">
        <v>58</v>
      </c>
      <c r="J1814" s="31" t="s">
        <v>2363</v>
      </c>
      <c r="K1814" s="31" t="s">
        <v>48</v>
      </c>
    </row>
    <row r="1815" customFormat="false" ht="15" hidden="false" customHeight="false" outlineLevel="0" collapsed="false">
      <c r="A1815" s="31" t="s">
        <v>2361</v>
      </c>
      <c r="B1815" s="31" t="s">
        <v>2362</v>
      </c>
      <c r="C1815" s="31" t="s">
        <v>20</v>
      </c>
      <c r="D1815" s="31" t="s">
        <v>78</v>
      </c>
      <c r="E1815" s="31" t="n">
        <v>2</v>
      </c>
      <c r="F1815" s="32" t="n">
        <v>89</v>
      </c>
      <c r="G1815" s="32" t="n">
        <v>178</v>
      </c>
      <c r="H1815" s="31" t="s">
        <v>45</v>
      </c>
      <c r="I1815" s="31" t="s">
        <v>58</v>
      </c>
      <c r="J1815" s="31" t="s">
        <v>2363</v>
      </c>
      <c r="K1815" s="31" t="s">
        <v>48</v>
      </c>
    </row>
    <row r="1816" customFormat="false" ht="15" hidden="false" customHeight="false" outlineLevel="0" collapsed="false">
      <c r="A1816" s="31" t="s">
        <v>2361</v>
      </c>
      <c r="B1816" s="31" t="s">
        <v>2362</v>
      </c>
      <c r="C1816" s="31" t="s">
        <v>20</v>
      </c>
      <c r="D1816" s="31" t="s">
        <v>73</v>
      </c>
      <c r="E1816" s="31" t="n">
        <v>1</v>
      </c>
      <c r="F1816" s="32" t="n">
        <v>69</v>
      </c>
      <c r="G1816" s="32" t="n">
        <v>69</v>
      </c>
      <c r="H1816" s="31" t="s">
        <v>45</v>
      </c>
      <c r="I1816" s="31" t="s">
        <v>58</v>
      </c>
      <c r="J1816" s="31" t="s">
        <v>2363</v>
      </c>
      <c r="K1816" s="31" t="s">
        <v>48</v>
      </c>
    </row>
    <row r="1817" customFormat="false" ht="15" hidden="false" customHeight="false" outlineLevel="0" collapsed="false">
      <c r="A1817" s="31" t="s">
        <v>2364</v>
      </c>
      <c r="B1817" s="31" t="s">
        <v>2365</v>
      </c>
      <c r="C1817" s="31" t="s">
        <v>44</v>
      </c>
      <c r="D1817" s="31" t="s">
        <v>44</v>
      </c>
      <c r="E1817" s="31" t="n">
        <v>1</v>
      </c>
      <c r="F1817" s="32" t="n">
        <v>5.95</v>
      </c>
      <c r="G1817" s="32" t="n">
        <v>5.95</v>
      </c>
      <c r="H1817" s="31" t="s">
        <v>57</v>
      </c>
      <c r="I1817" s="31" t="s">
        <v>58</v>
      </c>
      <c r="J1817" s="31" t="s">
        <v>1300</v>
      </c>
      <c r="K1817" s="31" t="s">
        <v>48</v>
      </c>
    </row>
    <row r="1818" customFormat="false" ht="15" hidden="false" customHeight="false" outlineLevel="0" collapsed="false">
      <c r="A1818" s="31" t="s">
        <v>2364</v>
      </c>
      <c r="B1818" s="31" t="s">
        <v>2366</v>
      </c>
      <c r="C1818" s="31" t="s">
        <v>20</v>
      </c>
      <c r="D1818" s="31" t="s">
        <v>66</v>
      </c>
      <c r="E1818" s="31" t="n">
        <v>1</v>
      </c>
      <c r="F1818" s="32" t="n">
        <v>32</v>
      </c>
      <c r="G1818" s="32" t="n">
        <v>32</v>
      </c>
      <c r="H1818" s="31" t="s">
        <v>57</v>
      </c>
      <c r="I1818" s="31" t="s">
        <v>58</v>
      </c>
      <c r="J1818" s="31" t="s">
        <v>1300</v>
      </c>
      <c r="K1818" s="31" t="s">
        <v>48</v>
      </c>
    </row>
    <row r="1819" customFormat="false" ht="15" hidden="false" customHeight="false" outlineLevel="0" collapsed="false">
      <c r="A1819" s="31" t="s">
        <v>2225</v>
      </c>
      <c r="B1819" s="31" t="s">
        <v>2367</v>
      </c>
      <c r="C1819" s="31" t="s">
        <v>20</v>
      </c>
      <c r="D1819" s="31" t="s">
        <v>53</v>
      </c>
      <c r="E1819" s="31" t="n">
        <v>-2</v>
      </c>
      <c r="F1819" s="32" t="n">
        <v>39</v>
      </c>
      <c r="G1819" s="32" t="n">
        <v>-78</v>
      </c>
      <c r="H1819" s="31" t="s">
        <v>160</v>
      </c>
      <c r="I1819" s="31" t="s">
        <v>58</v>
      </c>
      <c r="J1819" s="31" t="s">
        <v>1478</v>
      </c>
      <c r="K1819" s="31" t="s">
        <v>243</v>
      </c>
    </row>
    <row r="1820" customFormat="false" ht="15" hidden="false" customHeight="false" outlineLevel="0" collapsed="false">
      <c r="A1820" s="31" t="s">
        <v>2248</v>
      </c>
      <c r="B1820" s="31" t="s">
        <v>2368</v>
      </c>
      <c r="C1820" s="31" t="s">
        <v>20</v>
      </c>
      <c r="D1820" s="31" t="s">
        <v>52</v>
      </c>
      <c r="E1820" s="31" t="n">
        <v>-2</v>
      </c>
      <c r="F1820" s="32" t="n">
        <v>22</v>
      </c>
      <c r="G1820" s="32" t="n">
        <v>-44</v>
      </c>
      <c r="H1820" s="31" t="s">
        <v>45</v>
      </c>
      <c r="I1820" s="31" t="s">
        <v>58</v>
      </c>
      <c r="J1820" s="31" t="s">
        <v>2250</v>
      </c>
      <c r="K1820" s="31" t="s">
        <v>243</v>
      </c>
    </row>
    <row r="1821" customFormat="false" ht="15" hidden="false" customHeight="false" outlineLevel="0" collapsed="false">
      <c r="A1821" s="31" t="s">
        <v>2369</v>
      </c>
      <c r="B1821" s="31" t="s">
        <v>2370</v>
      </c>
      <c r="C1821" s="31" t="s">
        <v>20</v>
      </c>
      <c r="D1821" s="31" t="s">
        <v>140</v>
      </c>
      <c r="E1821" s="31" t="n">
        <v>1</v>
      </c>
      <c r="F1821" s="32" t="n">
        <v>26</v>
      </c>
      <c r="G1821" s="32" t="n">
        <v>26</v>
      </c>
      <c r="H1821" s="31" t="s">
        <v>45</v>
      </c>
      <c r="I1821" s="31" t="s">
        <v>58</v>
      </c>
      <c r="J1821" s="31" t="s">
        <v>1803</v>
      </c>
      <c r="K1821" s="31" t="s">
        <v>48</v>
      </c>
    </row>
    <row r="1822" customFormat="false" ht="15" hidden="false" customHeight="false" outlineLevel="0" collapsed="false">
      <c r="A1822" s="31" t="s">
        <v>2369</v>
      </c>
      <c r="B1822" s="31" t="s">
        <v>2371</v>
      </c>
      <c r="C1822" s="31" t="s">
        <v>44</v>
      </c>
      <c r="D1822" s="31" t="s">
        <v>44</v>
      </c>
      <c r="E1822" s="31" t="n">
        <v>1</v>
      </c>
      <c r="F1822" s="32" t="n">
        <v>5.95</v>
      </c>
      <c r="G1822" s="32" t="n">
        <v>5.95</v>
      </c>
      <c r="H1822" s="31" t="s">
        <v>45</v>
      </c>
      <c r="I1822" s="31" t="s">
        <v>58</v>
      </c>
      <c r="J1822" s="31" t="s">
        <v>1803</v>
      </c>
      <c r="K1822" s="31" t="s">
        <v>48</v>
      </c>
    </row>
    <row r="1823" customFormat="false" ht="15" hidden="false" customHeight="false" outlineLevel="0" collapsed="false">
      <c r="A1823" s="31" t="s">
        <v>2255</v>
      </c>
      <c r="B1823" s="31" t="s">
        <v>2372</v>
      </c>
      <c r="C1823" s="31" t="s">
        <v>20</v>
      </c>
      <c r="D1823" s="31" t="s">
        <v>140</v>
      </c>
      <c r="E1823" s="31" t="n">
        <v>-1</v>
      </c>
      <c r="F1823" s="32" t="n">
        <v>26</v>
      </c>
      <c r="G1823" s="32" t="n">
        <v>-26</v>
      </c>
      <c r="H1823" s="31" t="s">
        <v>45</v>
      </c>
      <c r="I1823" s="31" t="s">
        <v>58</v>
      </c>
      <c r="J1823" s="31" t="s">
        <v>2257</v>
      </c>
      <c r="K1823" s="31" t="s">
        <v>243</v>
      </c>
    </row>
    <row r="1824" customFormat="false" ht="15" hidden="false" customHeight="false" outlineLevel="0" collapsed="false">
      <c r="A1824" s="31" t="s">
        <v>2373</v>
      </c>
      <c r="B1824" s="31" t="s">
        <v>2374</v>
      </c>
      <c r="C1824" s="31" t="s">
        <v>44</v>
      </c>
      <c r="D1824" s="31" t="s">
        <v>44</v>
      </c>
      <c r="E1824" s="31" t="n">
        <v>1</v>
      </c>
      <c r="F1824" s="32" t="n">
        <v>0</v>
      </c>
      <c r="G1824" s="32" t="n">
        <v>0</v>
      </c>
      <c r="H1824" s="31" t="s">
        <v>45</v>
      </c>
      <c r="I1824" s="31" t="s">
        <v>58</v>
      </c>
      <c r="J1824" s="31" t="s">
        <v>2375</v>
      </c>
      <c r="K1824" s="31" t="s">
        <v>48</v>
      </c>
    </row>
    <row r="1825" customFormat="false" ht="15" hidden="false" customHeight="false" outlineLevel="0" collapsed="false">
      <c r="A1825" s="31" t="s">
        <v>2373</v>
      </c>
      <c r="B1825" s="31" t="s">
        <v>2374</v>
      </c>
      <c r="C1825" s="31" t="s">
        <v>20</v>
      </c>
      <c r="D1825" s="31" t="s">
        <v>69</v>
      </c>
      <c r="E1825" s="31" t="n">
        <v>1</v>
      </c>
      <c r="F1825" s="32" t="n">
        <v>29</v>
      </c>
      <c r="G1825" s="32" t="n">
        <v>29</v>
      </c>
      <c r="H1825" s="31" t="s">
        <v>45</v>
      </c>
      <c r="I1825" s="31" t="s">
        <v>58</v>
      </c>
      <c r="J1825" s="31" t="s">
        <v>2375</v>
      </c>
      <c r="K1825" s="31" t="s">
        <v>48</v>
      </c>
    </row>
    <row r="1826" customFormat="false" ht="15" hidden="false" customHeight="false" outlineLevel="0" collapsed="false">
      <c r="A1826" s="31" t="s">
        <v>2376</v>
      </c>
      <c r="B1826" s="31" t="s">
        <v>2377</v>
      </c>
      <c r="C1826" s="31" t="s">
        <v>20</v>
      </c>
      <c r="D1826" s="31" t="s">
        <v>69</v>
      </c>
      <c r="E1826" s="31" t="n">
        <v>1</v>
      </c>
      <c r="F1826" s="32" t="n">
        <v>29</v>
      </c>
      <c r="G1826" s="32" t="n">
        <v>29</v>
      </c>
      <c r="H1826" s="31" t="s">
        <v>45</v>
      </c>
      <c r="I1826" s="31" t="s">
        <v>46</v>
      </c>
      <c r="J1826" s="31" t="s">
        <v>2378</v>
      </c>
      <c r="K1826" s="31" t="s">
        <v>48</v>
      </c>
    </row>
    <row r="1827" customFormat="false" ht="15" hidden="false" customHeight="false" outlineLevel="0" collapsed="false">
      <c r="A1827" s="31" t="s">
        <v>2277</v>
      </c>
      <c r="B1827" s="31" t="s">
        <v>2379</v>
      </c>
      <c r="C1827" s="31" t="s">
        <v>20</v>
      </c>
      <c r="D1827" s="31" t="s">
        <v>87</v>
      </c>
      <c r="E1827" s="31" t="n">
        <v>-1</v>
      </c>
      <c r="F1827" s="32" t="n">
        <v>35</v>
      </c>
      <c r="G1827" s="32" t="n">
        <v>-35</v>
      </c>
      <c r="H1827" s="31" t="s">
        <v>45</v>
      </c>
      <c r="I1827" s="31" t="s">
        <v>58</v>
      </c>
      <c r="J1827" s="31" t="s">
        <v>1128</v>
      </c>
      <c r="K1827" s="31" t="s">
        <v>243</v>
      </c>
    </row>
    <row r="1828" customFormat="false" ht="15" hidden="false" customHeight="false" outlineLevel="0" collapsed="false">
      <c r="A1828" s="31" t="s">
        <v>2380</v>
      </c>
      <c r="B1828" s="31" t="s">
        <v>2381</v>
      </c>
      <c r="C1828" s="31" t="s">
        <v>20</v>
      </c>
      <c r="D1828" s="31" t="s">
        <v>73</v>
      </c>
      <c r="E1828" s="31" t="n">
        <v>1</v>
      </c>
      <c r="F1828" s="32" t="n">
        <v>69</v>
      </c>
      <c r="G1828" s="32" t="n">
        <v>69</v>
      </c>
      <c r="H1828" s="31" t="s">
        <v>45</v>
      </c>
      <c r="I1828" s="31" t="s">
        <v>84</v>
      </c>
      <c r="J1828" s="31" t="s">
        <v>1026</v>
      </c>
      <c r="K1828" s="31" t="s">
        <v>48</v>
      </c>
    </row>
    <row r="1829" customFormat="false" ht="15" hidden="false" customHeight="false" outlineLevel="0" collapsed="false">
      <c r="A1829" s="31" t="s">
        <v>2380</v>
      </c>
      <c r="B1829" s="31" t="s">
        <v>2381</v>
      </c>
      <c r="C1829" s="31" t="s">
        <v>44</v>
      </c>
      <c r="D1829" s="31" t="s">
        <v>44</v>
      </c>
      <c r="E1829" s="31" t="n">
        <v>1</v>
      </c>
      <c r="F1829" s="32" t="n">
        <v>5.95</v>
      </c>
      <c r="G1829" s="32" t="n">
        <v>5.95</v>
      </c>
      <c r="H1829" s="31" t="s">
        <v>45</v>
      </c>
      <c r="I1829" s="31" t="s">
        <v>84</v>
      </c>
      <c r="J1829" s="31" t="s">
        <v>1026</v>
      </c>
      <c r="K1829" s="31" t="s">
        <v>48</v>
      </c>
    </row>
    <row r="1830" customFormat="false" ht="15" hidden="false" customHeight="false" outlineLevel="0" collapsed="false">
      <c r="A1830" s="31" t="s">
        <v>2380</v>
      </c>
      <c r="B1830" s="31" t="s">
        <v>2381</v>
      </c>
      <c r="C1830" s="31" t="s">
        <v>20</v>
      </c>
      <c r="D1830" s="31" t="s">
        <v>69</v>
      </c>
      <c r="E1830" s="31" t="n">
        <v>3</v>
      </c>
      <c r="F1830" s="32" t="n">
        <v>29</v>
      </c>
      <c r="G1830" s="32" t="n">
        <v>87</v>
      </c>
      <c r="H1830" s="31" t="s">
        <v>45</v>
      </c>
      <c r="I1830" s="31" t="s">
        <v>84</v>
      </c>
      <c r="J1830" s="31" t="s">
        <v>1026</v>
      </c>
      <c r="K1830" s="31" t="s">
        <v>48</v>
      </c>
    </row>
    <row r="1831" customFormat="false" ht="15" hidden="false" customHeight="false" outlineLevel="0" collapsed="false">
      <c r="A1831" s="31" t="s">
        <v>2382</v>
      </c>
      <c r="B1831" s="31" t="s">
        <v>2383</v>
      </c>
      <c r="C1831" s="31" t="s">
        <v>44</v>
      </c>
      <c r="D1831" s="31" t="s">
        <v>44</v>
      </c>
      <c r="E1831" s="31" t="n">
        <v>1</v>
      </c>
      <c r="F1831" s="32" t="n">
        <v>3.95</v>
      </c>
      <c r="G1831" s="32" t="n">
        <v>3.95</v>
      </c>
      <c r="H1831" s="31" t="s">
        <v>45</v>
      </c>
      <c r="I1831" s="31" t="s">
        <v>58</v>
      </c>
      <c r="J1831" s="31" t="s">
        <v>2384</v>
      </c>
      <c r="K1831" s="31" t="s">
        <v>48</v>
      </c>
    </row>
    <row r="1832" customFormat="false" ht="15" hidden="false" customHeight="false" outlineLevel="0" collapsed="false">
      <c r="A1832" s="31" t="s">
        <v>2382</v>
      </c>
      <c r="B1832" s="31" t="s">
        <v>2385</v>
      </c>
      <c r="C1832" s="31" t="s">
        <v>20</v>
      </c>
      <c r="D1832" s="31" t="s">
        <v>73</v>
      </c>
      <c r="E1832" s="31" t="n">
        <v>2</v>
      </c>
      <c r="F1832" s="32" t="n">
        <v>69</v>
      </c>
      <c r="G1832" s="32" t="n">
        <v>138</v>
      </c>
      <c r="H1832" s="31" t="s">
        <v>45</v>
      </c>
      <c r="I1832" s="31" t="s">
        <v>58</v>
      </c>
      <c r="J1832" s="31" t="s">
        <v>2384</v>
      </c>
      <c r="K1832" s="31" t="s">
        <v>48</v>
      </c>
    </row>
    <row r="1833" customFormat="false" ht="15" hidden="false" customHeight="false" outlineLevel="0" collapsed="false">
      <c r="A1833" s="31" t="s">
        <v>2386</v>
      </c>
      <c r="B1833" s="31" t="s">
        <v>2387</v>
      </c>
      <c r="C1833" s="31" t="s">
        <v>20</v>
      </c>
      <c r="D1833" s="31" t="s">
        <v>69</v>
      </c>
      <c r="E1833" s="31" t="n">
        <v>1</v>
      </c>
      <c r="F1833" s="32" t="n">
        <v>29</v>
      </c>
      <c r="G1833" s="32" t="n">
        <v>29</v>
      </c>
      <c r="H1833" s="31" t="s">
        <v>45</v>
      </c>
      <c r="I1833" s="31" t="s">
        <v>58</v>
      </c>
      <c r="J1833" s="31" t="s">
        <v>2189</v>
      </c>
      <c r="K1833" s="31" t="s">
        <v>48</v>
      </c>
    </row>
    <row r="1834" customFormat="false" ht="15" hidden="false" customHeight="false" outlineLevel="0" collapsed="false">
      <c r="A1834" s="31" t="s">
        <v>2386</v>
      </c>
      <c r="B1834" s="31" t="s">
        <v>2387</v>
      </c>
      <c r="C1834" s="31" t="s">
        <v>20</v>
      </c>
      <c r="D1834" s="31" t="s">
        <v>52</v>
      </c>
      <c r="E1834" s="31" t="n">
        <v>1</v>
      </c>
      <c r="F1834" s="32" t="n">
        <v>22</v>
      </c>
      <c r="G1834" s="32" t="n">
        <v>22</v>
      </c>
      <c r="H1834" s="31" t="s">
        <v>45</v>
      </c>
      <c r="I1834" s="31" t="s">
        <v>58</v>
      </c>
      <c r="J1834" s="31" t="s">
        <v>2189</v>
      </c>
      <c r="K1834" s="31" t="s">
        <v>48</v>
      </c>
    </row>
    <row r="1835" customFormat="false" ht="15" hidden="false" customHeight="false" outlineLevel="0" collapsed="false">
      <c r="A1835" s="31" t="s">
        <v>2386</v>
      </c>
      <c r="B1835" s="31" t="s">
        <v>2387</v>
      </c>
      <c r="C1835" s="31" t="s">
        <v>44</v>
      </c>
      <c r="D1835" s="31" t="s">
        <v>44</v>
      </c>
      <c r="E1835" s="31" t="n">
        <v>1</v>
      </c>
      <c r="F1835" s="32" t="n">
        <v>0</v>
      </c>
      <c r="G1835" s="32" t="n">
        <v>0</v>
      </c>
      <c r="H1835" s="31" t="s">
        <v>45</v>
      </c>
      <c r="I1835" s="31" t="s">
        <v>58</v>
      </c>
      <c r="J1835" s="31" t="s">
        <v>2189</v>
      </c>
      <c r="K1835" s="31" t="s">
        <v>48</v>
      </c>
    </row>
    <row r="1836" customFormat="false" ht="15" hidden="false" customHeight="false" outlineLevel="0" collapsed="false">
      <c r="A1836" s="31" t="s">
        <v>2324</v>
      </c>
      <c r="B1836" s="31" t="s">
        <v>2388</v>
      </c>
      <c r="C1836" s="31" t="s">
        <v>20</v>
      </c>
      <c r="D1836" s="31" t="s">
        <v>52</v>
      </c>
      <c r="E1836" s="31" t="n">
        <v>-1</v>
      </c>
      <c r="F1836" s="32" t="n">
        <v>22</v>
      </c>
      <c r="G1836" s="32" t="n">
        <v>-22</v>
      </c>
      <c r="H1836" s="31" t="s">
        <v>45</v>
      </c>
      <c r="I1836" s="31" t="s">
        <v>58</v>
      </c>
      <c r="J1836" s="31" t="s">
        <v>1050</v>
      </c>
      <c r="K1836" s="31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3"/>
    <col collapsed="false" customWidth="true" hidden="false" outlineLevel="0" max="16" min="16" style="0" width="29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3"/>
    <col collapsed="false" customWidth="true" hidden="false" outlineLevel="0" max="20" min="20" style="0" width="14"/>
    <col collapsed="false" customWidth="true" hidden="false" outlineLevel="0" max="21" min="21" style="0" width="11"/>
  </cols>
  <sheetData>
    <row r="1" customFormat="false" ht="20.9" hidden="false" customHeight="false" outlineLevel="0" collapsed="false">
      <c r="A1" s="1" t="s">
        <v>2389</v>
      </c>
      <c r="H1" s="12" t="s">
        <v>2390</v>
      </c>
      <c r="P1" s="12" t="s">
        <v>2391</v>
      </c>
    </row>
    <row r="2" customFormat="false" ht="15" hidden="false" customHeight="false" outlineLevel="0" collapsed="false">
      <c r="A2" s="33" t="s">
        <v>2392</v>
      </c>
      <c r="H2" s="33" t="s">
        <v>2393</v>
      </c>
      <c r="P2" s="33" t="str">
        <f aca="false">TEXT($H$3,"d mmm yyyy")</f>
        <v>3 Aug 2026</v>
      </c>
    </row>
    <row r="3" customFormat="false" ht="15" hidden="false" customHeight="false" outlineLevel="0" collapsed="false">
      <c r="G3" s="34" t="s">
        <v>2394</v>
      </c>
      <c r="H3" s="35" t="n">
        <f aca="false">SUMPRODUCT(MAX(($J$5:$J$20&gt;0)*($H$5:$H$20)))</f>
        <v>46237</v>
      </c>
      <c r="I3" s="11" t="s">
        <v>2395</v>
      </c>
    </row>
    <row r="4" customFormat="false" ht="19.5" hidden="false" customHeight="true" outlineLevel="0" collapsed="false">
      <c r="A4" s="13" t="s">
        <v>2396</v>
      </c>
      <c r="B4" s="13" t="s">
        <v>2397</v>
      </c>
      <c r="C4" s="13" t="s">
        <v>2398</v>
      </c>
      <c r="D4" s="13" t="s">
        <v>2399</v>
      </c>
      <c r="E4" s="13" t="s">
        <v>21</v>
      </c>
      <c r="F4" s="13" t="s">
        <v>2400</v>
      </c>
      <c r="H4" s="13" t="s">
        <v>13</v>
      </c>
      <c r="I4" s="13" t="s">
        <v>14</v>
      </c>
      <c r="J4" s="13" t="s">
        <v>15</v>
      </c>
      <c r="K4" s="13" t="s">
        <v>21</v>
      </c>
      <c r="L4" s="13" t="s">
        <v>2401</v>
      </c>
      <c r="M4" s="13" t="s">
        <v>16</v>
      </c>
      <c r="N4" s="13" t="s">
        <v>17</v>
      </c>
      <c r="P4" s="13" t="s">
        <v>20</v>
      </c>
      <c r="Q4" s="13" t="s">
        <v>14</v>
      </c>
      <c r="R4" s="13" t="s">
        <v>21</v>
      </c>
      <c r="T4" s="13" t="s">
        <v>22</v>
      </c>
      <c r="U4" s="13" t="s">
        <v>14</v>
      </c>
    </row>
    <row r="5" customFormat="false" ht="15" hidden="false" customHeight="false" outlineLevel="0" collapsed="false">
      <c r="A5" s="36" t="n">
        <f aca="false">IF('Raw Orders'!B2="","",IF(MID('Raw Orders'!B2,5,1)="-",DATE(VALUE(LEFT('Raw Orders'!B2,4)),VALUE(MID('Raw Orders'!B2,6,2)),VALUE(MID('Raw Orders'!B2,9,2))),DATE(VALUE(MID('Raw Orders'!B2,7,4)),VALUE(MID('Raw Orders'!B2,4,2)),VALUE(LEFT('Raw Orders'!B2,2)))))</f>
        <v>46146</v>
      </c>
      <c r="B5" s="36" t="n">
        <f aca="false">IF(A5="","",A5-WEEKDAY(A5,3))</f>
        <v>46146</v>
      </c>
      <c r="C5" s="32" t="n">
        <f aca="false">IF(OR('Raw Orders'!C2&lt;&gt;"Product",'Raw Orders'!K2="Cancelled"),0,'Raw Orders'!G2)</f>
        <v>0</v>
      </c>
      <c r="D5" s="31" t="n">
        <f aca="false">IF(AND('Raw Orders'!C2="Product",'Raw Orders'!K2="Fulfilled",COUNTIFS('Raw Orders'!$A$2:$A2,'Raw Orders'!A2,'Raw Orders'!$C$2:$C2,"Product",'Raw Orders'!$K$2:$K2,"Fulfilled")=1),1,0)</f>
        <v>0</v>
      </c>
      <c r="E5" s="31" t="n">
        <f aca="false">IF(AND('Raw Orders'!C2="Product",'Raw Orders'!K2="Fulfilled"),'Raw Orders'!E2,0)</f>
        <v>0</v>
      </c>
      <c r="F5" s="32" t="n">
        <f aca="false">IF('Raw Orders'!K2="Refunded",'Raw Orders'!G2,0)</f>
        <v>0</v>
      </c>
      <c r="H5" s="14" t="n">
        <f aca="false">MIN($B$5:$B$1839)</f>
        <v>46146</v>
      </c>
      <c r="I5" s="15" t="n">
        <f aca="false">SUMIFS($C$5:$C$1839,$B$5:$B$1839,H5)</f>
        <v>6169.5</v>
      </c>
      <c r="J5" s="16" t="n">
        <f aca="false">SUMIFS($D$5:$D$1839,$B$5:$B$1839,H5)</f>
        <v>56</v>
      </c>
      <c r="K5" s="16" t="n">
        <f aca="false">SUMIFS($E$5:$E$1839,$B$5:$B$1839,H5)</f>
        <v>130</v>
      </c>
      <c r="L5" s="15" t="n">
        <f aca="false">SUMIFS($F$5:$F$1839,$B$5:$B$1839,H5)</f>
        <v>-45</v>
      </c>
      <c r="M5" s="17" t="n">
        <f aca="false">IFERROR(I5/J5,0)</f>
        <v>110.169642857143</v>
      </c>
      <c r="N5" s="18"/>
      <c r="P5" s="24" t="s">
        <v>53</v>
      </c>
      <c r="Q5" s="15" t="n">
        <f aca="false">SUMIFS($C$5:$C$1839,$B$5:$B$1839,$H$3,'Raw Orders'!$D$2:$D$1836,$P5)</f>
        <v>702</v>
      </c>
      <c r="R5" s="16" t="n">
        <f aca="false">SUMIFS($E$5:$E$1839,$B$5:$B$1839,$H$3,'Raw Orders'!$D$2:$D$1836,$P5)</f>
        <v>20</v>
      </c>
      <c r="T5" s="24" t="s">
        <v>184</v>
      </c>
      <c r="U5" s="15" t="n">
        <f aca="false">SUMIFS($C$5:$C$1839,$B$5:$B$1839,$H$3,'Raw Orders'!$H$2:$H$1836,$T5)</f>
        <v>779.15</v>
      </c>
    </row>
    <row r="6" customFormat="false" ht="15" hidden="false" customHeight="false" outlineLevel="0" collapsed="false">
      <c r="A6" s="36" t="n">
        <f aca="false">IF('Raw Orders'!B3="","",IF(MID('Raw Orders'!B3,5,1)="-",DATE(VALUE(LEFT('Raw Orders'!B3,4)),VALUE(MID('Raw Orders'!B3,6,2)),VALUE(MID('Raw Orders'!B3,9,2))),DATE(VALUE(MID('Raw Orders'!B3,7,4)),VALUE(MID('Raw Orders'!B3,4,2)),VALUE(LEFT('Raw Orders'!B3,2)))))</f>
        <v>46146</v>
      </c>
      <c r="B6" s="36" t="n">
        <f aca="false">IF(A6="","",A6-WEEKDAY(A6,3))</f>
        <v>46146</v>
      </c>
      <c r="C6" s="32" t="n">
        <f aca="false">IF(OR('Raw Orders'!C3&lt;&gt;"Product",'Raw Orders'!K3="Cancelled"),0,'Raw Orders'!G3)</f>
        <v>0</v>
      </c>
      <c r="D6" s="31" t="n">
        <f aca="false">IF(AND('Raw Orders'!C3="Product",'Raw Orders'!K3="Fulfilled",COUNTIFS('Raw Orders'!$A$2:$A3,'Raw Orders'!A3,'Raw Orders'!$C$2:$C3,"Product",'Raw Orders'!$K$2:$K3,"Fulfilled")=1),1,0)</f>
        <v>0</v>
      </c>
      <c r="E6" s="31" t="n">
        <f aca="false">IF(AND('Raw Orders'!C3="Product",'Raw Orders'!K3="Fulfilled"),'Raw Orders'!E3,0)</f>
        <v>0</v>
      </c>
      <c r="F6" s="32" t="n">
        <f aca="false">IF('Raw Orders'!K3="Refunded",'Raw Orders'!G3,0)</f>
        <v>0</v>
      </c>
      <c r="H6" s="19" t="n">
        <f aca="false">H5+7</f>
        <v>46153</v>
      </c>
      <c r="I6" s="20" t="n">
        <f aca="false">SUMIFS($C$5:$C$1839,$B$5:$B$1839,H6)</f>
        <v>4203.05</v>
      </c>
      <c r="J6" s="21" t="n">
        <f aca="false">SUMIFS($D$5:$D$1839,$B$5:$B$1839,H6)</f>
        <v>44</v>
      </c>
      <c r="K6" s="21" t="n">
        <f aca="false">SUMIFS($E$5:$E$1839,$B$5:$B$1839,H6)</f>
        <v>90</v>
      </c>
      <c r="L6" s="20" t="n">
        <f aca="false">SUMIFS($F$5:$F$1839,$B$5:$B$1839,H6)</f>
        <v>-39</v>
      </c>
      <c r="M6" s="22" t="n">
        <f aca="false">IFERROR(I6/J6,0)</f>
        <v>95.5238636363636</v>
      </c>
      <c r="N6" s="23" t="n">
        <f aca="false">IFERROR(I6/I5-1,"")</f>
        <v>-0.318737336899262</v>
      </c>
      <c r="P6" s="26" t="s">
        <v>56</v>
      </c>
      <c r="Q6" s="20" t="n">
        <f aca="false">SUMIFS($C$5:$C$1839,$B$5:$B$1839,$H$3,'Raw Orders'!$D$2:$D$1836,$P6)</f>
        <v>585</v>
      </c>
      <c r="R6" s="21" t="n">
        <f aca="false">SUMIFS($E$5:$E$1839,$B$5:$B$1839,$H$3,'Raw Orders'!$D$2:$D$1836,$P6)</f>
        <v>14</v>
      </c>
      <c r="T6" s="26" t="s">
        <v>145</v>
      </c>
      <c r="U6" s="20" t="n">
        <f aca="false">SUMIFS($C$5:$C$1839,$B$5:$B$1839,$H$3,'Raw Orders'!$H$2:$H$1836,$T6)</f>
        <v>418</v>
      </c>
    </row>
    <row r="7" customFormat="false" ht="15" hidden="false" customHeight="false" outlineLevel="0" collapsed="false">
      <c r="A7" s="36" t="n">
        <f aca="false">IF('Raw Orders'!B4="","",IF(MID('Raw Orders'!B4,5,1)="-",DATE(VALUE(LEFT('Raw Orders'!B4,4)),VALUE(MID('Raw Orders'!B4,6,2)),VALUE(MID('Raw Orders'!B4,9,2))),DATE(VALUE(MID('Raw Orders'!B4,7,4)),VALUE(MID('Raw Orders'!B4,4,2)),VALUE(LEFT('Raw Orders'!B4,2)))))</f>
        <v>46146</v>
      </c>
      <c r="B7" s="36" t="n">
        <f aca="false">IF(A7="","",A7-WEEKDAY(A7,3))</f>
        <v>46146</v>
      </c>
      <c r="C7" s="32" t="n">
        <f aca="false">IF(OR('Raw Orders'!C4&lt;&gt;"Product",'Raw Orders'!K4="Cancelled"),0,'Raw Orders'!G4)</f>
        <v>22</v>
      </c>
      <c r="D7" s="31" t="n">
        <f aca="false">IF(AND('Raw Orders'!C4="Product",'Raw Orders'!K4="Fulfilled",COUNTIFS('Raw Orders'!$A$2:$A4,'Raw Orders'!A4,'Raw Orders'!$C$2:$C4,"Product",'Raw Orders'!$K$2:$K4,"Fulfilled")=1),1,0)</f>
        <v>1</v>
      </c>
      <c r="E7" s="31" t="n">
        <f aca="false">IF(AND('Raw Orders'!C4="Product",'Raw Orders'!K4="Fulfilled"),'Raw Orders'!E4,0)</f>
        <v>1</v>
      </c>
      <c r="F7" s="32" t="n">
        <f aca="false">IF('Raw Orders'!K4="Refunded",'Raw Orders'!G4,0)</f>
        <v>0</v>
      </c>
      <c r="H7" s="14" t="n">
        <f aca="false">H6+7</f>
        <v>46160</v>
      </c>
      <c r="I7" s="15" t="n">
        <f aca="false">SUMIFS($C$5:$C$1839,$B$5:$B$1839,H7)</f>
        <v>3420.3</v>
      </c>
      <c r="J7" s="16" t="n">
        <f aca="false">SUMIFS($D$5:$D$1839,$B$5:$B$1839,H7)</f>
        <v>38</v>
      </c>
      <c r="K7" s="16" t="n">
        <f aca="false">SUMIFS($E$5:$E$1839,$B$5:$B$1839,H7)</f>
        <v>84</v>
      </c>
      <c r="L7" s="15" t="n">
        <f aca="false">SUMIFS($F$5:$F$1839,$B$5:$B$1839,H7)</f>
        <v>-142</v>
      </c>
      <c r="M7" s="17" t="n">
        <f aca="false">IFERROR(I7/J7,0)</f>
        <v>90.0078947368421</v>
      </c>
      <c r="N7" s="18" t="n">
        <f aca="false">IFERROR(I7/I6-1,"")</f>
        <v>-0.186233806402493</v>
      </c>
      <c r="P7" s="24" t="s">
        <v>123</v>
      </c>
      <c r="Q7" s="15" t="n">
        <f aca="false">SUMIFS($C$5:$C$1839,$B$5:$B$1839,$H$3,'Raw Orders'!$D$2:$D$1836,$P7)</f>
        <v>300</v>
      </c>
      <c r="R7" s="16" t="n">
        <f aca="false">SUMIFS($E$5:$E$1839,$B$5:$B$1839,$H$3,'Raw Orders'!$D$2:$D$1836,$P7)</f>
        <v>4</v>
      </c>
      <c r="T7" s="24" t="s">
        <v>57</v>
      </c>
      <c r="U7" s="15" t="n">
        <f aca="false">SUMIFS($C$5:$C$1839,$B$5:$B$1839,$H$3,'Raw Orders'!$H$2:$H$1836,$T7)</f>
        <v>1169.1</v>
      </c>
    </row>
    <row r="8" customFormat="false" ht="15" hidden="false" customHeight="false" outlineLevel="0" collapsed="false">
      <c r="A8" s="36" t="n">
        <f aca="false">IF('Raw Orders'!B5="","",IF(MID('Raw Orders'!B5,5,1)="-",DATE(VALUE(LEFT('Raw Orders'!B5,4)),VALUE(MID('Raw Orders'!B5,6,2)),VALUE(MID('Raw Orders'!B5,9,2))),DATE(VALUE(MID('Raw Orders'!B5,7,4)),VALUE(MID('Raw Orders'!B5,4,2)),VALUE(LEFT('Raw Orders'!B5,2)))))</f>
        <v>46146</v>
      </c>
      <c r="B8" s="36" t="n">
        <f aca="false">IF(A8="","",A8-WEEKDAY(A8,3))</f>
        <v>46146</v>
      </c>
      <c r="C8" s="32" t="n">
        <f aca="false">IF(OR('Raw Orders'!C5&lt;&gt;"Product",'Raw Orders'!K5="Cancelled"),0,'Raw Orders'!G5)</f>
        <v>39</v>
      </c>
      <c r="D8" s="31" t="n">
        <f aca="false">IF(AND('Raw Orders'!C5="Product",'Raw Orders'!K5="Fulfilled",COUNTIFS('Raw Orders'!$A$2:$A5,'Raw Orders'!A5,'Raw Orders'!$C$2:$C5,"Product",'Raw Orders'!$K$2:$K5,"Fulfilled")=1),1,0)</f>
        <v>0</v>
      </c>
      <c r="E8" s="31" t="n">
        <f aca="false">IF(AND('Raw Orders'!C5="Product",'Raw Orders'!K5="Fulfilled"),'Raw Orders'!E5,0)</f>
        <v>1</v>
      </c>
      <c r="F8" s="32" t="n">
        <f aca="false">IF('Raw Orders'!K5="Refunded",'Raw Orders'!G5,0)</f>
        <v>0</v>
      </c>
      <c r="H8" s="19" t="n">
        <f aca="false">H7+7</f>
        <v>46167</v>
      </c>
      <c r="I8" s="20" t="n">
        <f aca="false">SUMIFS($C$5:$C$1839,$B$5:$B$1839,H8)</f>
        <v>5843.8</v>
      </c>
      <c r="J8" s="21" t="n">
        <f aca="false">SUMIFS($D$5:$D$1839,$B$5:$B$1839,H8)</f>
        <v>53</v>
      </c>
      <c r="K8" s="21" t="n">
        <f aca="false">SUMIFS($E$5:$E$1839,$B$5:$B$1839,H8)</f>
        <v>116</v>
      </c>
      <c r="L8" s="20" t="n">
        <f aca="false">SUMIFS($F$5:$F$1839,$B$5:$B$1839,H8)</f>
        <v>-255</v>
      </c>
      <c r="M8" s="22" t="n">
        <f aca="false">IFERROR(I8/J8,0)</f>
        <v>110.260377358491</v>
      </c>
      <c r="N8" s="23" t="n">
        <f aca="false">IFERROR(I8/I7-1,"")</f>
        <v>0.708563576294477</v>
      </c>
      <c r="P8" s="26" t="s">
        <v>52</v>
      </c>
      <c r="Q8" s="20" t="n">
        <f aca="false">SUMIFS($C$5:$C$1839,$B$5:$B$1839,$H$3,'Raw Orders'!$D$2:$D$1836,$P8)</f>
        <v>326.7</v>
      </c>
      <c r="R8" s="21" t="n">
        <f aca="false">SUMIFS($E$5:$E$1839,$B$5:$B$1839,$H$3,'Raw Orders'!$D$2:$D$1836,$P8)</f>
        <v>17</v>
      </c>
      <c r="T8" s="26" t="s">
        <v>45</v>
      </c>
      <c r="U8" s="20" t="n">
        <f aca="false">SUMIFS($C$5:$C$1839,$B$5:$B$1839,$H$3,'Raw Orders'!$H$2:$H$1836,$T8)</f>
        <v>4201.9</v>
      </c>
    </row>
    <row r="9" customFormat="false" ht="15" hidden="false" customHeight="false" outlineLevel="0" collapsed="false">
      <c r="A9" s="36" t="n">
        <f aca="false">IF('Raw Orders'!B6="","",IF(MID('Raw Orders'!B6,5,1)="-",DATE(VALUE(LEFT('Raw Orders'!B6,4)),VALUE(MID('Raw Orders'!B6,6,2)),VALUE(MID('Raw Orders'!B6,9,2))),DATE(VALUE(MID('Raw Orders'!B6,7,4)),VALUE(MID('Raw Orders'!B6,4,2)),VALUE(LEFT('Raw Orders'!B6,2)))))</f>
        <v>46146</v>
      </c>
      <c r="B9" s="36" t="n">
        <f aca="false">IF(A9="","",A9-WEEKDAY(A9,3))</f>
        <v>46146</v>
      </c>
      <c r="C9" s="32" t="n">
        <f aca="false">IF(OR('Raw Orders'!C6&lt;&gt;"Product",'Raw Orders'!K6="Cancelled"),0,'Raw Orders'!G6)</f>
        <v>90</v>
      </c>
      <c r="D9" s="31" t="n">
        <f aca="false">IF(AND('Raw Orders'!C6="Product",'Raw Orders'!K6="Fulfilled",COUNTIFS('Raw Orders'!$A$2:$A6,'Raw Orders'!A6,'Raw Orders'!$C$2:$C6,"Product",'Raw Orders'!$K$2:$K6,"Fulfilled")=1),1,0)</f>
        <v>1</v>
      </c>
      <c r="E9" s="31" t="n">
        <f aca="false">IF(AND('Raw Orders'!C6="Product",'Raw Orders'!K6="Fulfilled"),'Raw Orders'!E6,0)</f>
        <v>2</v>
      </c>
      <c r="F9" s="32" t="n">
        <f aca="false">IF('Raw Orders'!K6="Refunded",'Raw Orders'!G6,0)</f>
        <v>0</v>
      </c>
      <c r="H9" s="14" t="n">
        <f aca="false">H8+7</f>
        <v>46174</v>
      </c>
      <c r="I9" s="15" t="n">
        <f aca="false">SUMIFS($C$5:$C$1839,$B$5:$B$1839,H9)</f>
        <v>4768</v>
      </c>
      <c r="J9" s="16" t="n">
        <f aca="false">SUMIFS($D$5:$D$1839,$B$5:$B$1839,H9)</f>
        <v>58</v>
      </c>
      <c r="K9" s="16" t="n">
        <f aca="false">SUMIFS($E$5:$E$1839,$B$5:$B$1839,H9)</f>
        <v>113</v>
      </c>
      <c r="L9" s="15" t="n">
        <f aca="false">SUMIFS($F$5:$F$1839,$B$5:$B$1839,H9)</f>
        <v>-143</v>
      </c>
      <c r="M9" s="17" t="n">
        <f aca="false">IFERROR(I9/J9,0)</f>
        <v>82.2068965517241</v>
      </c>
      <c r="N9" s="18" t="n">
        <f aca="false">IFERROR(I9/I8-1,"")</f>
        <v>-0.1840925425237</v>
      </c>
      <c r="P9" s="24" t="s">
        <v>63</v>
      </c>
      <c r="Q9" s="15" t="n">
        <f aca="false">SUMIFS($C$5:$C$1839,$B$5:$B$1839,$H$3,'Raw Orders'!$D$2:$D$1836,$P9)</f>
        <v>39.9</v>
      </c>
      <c r="R9" s="16" t="n">
        <f aca="false">SUMIFS($E$5:$E$1839,$B$5:$B$1839,$H$3,'Raw Orders'!$D$2:$D$1836,$P9)</f>
        <v>3</v>
      </c>
      <c r="T9" s="24" t="s">
        <v>160</v>
      </c>
      <c r="U9" s="15" t="n">
        <f aca="false">SUMIFS($C$5:$C$1839,$B$5:$B$1839,$H$3,'Raw Orders'!$H$2:$H$1836,$T9)</f>
        <v>271.9</v>
      </c>
    </row>
    <row r="10" customFormat="false" ht="15" hidden="false" customHeight="false" outlineLevel="0" collapsed="false">
      <c r="A10" s="36" t="n">
        <f aca="false">IF('Raw Orders'!B7="","",IF(MID('Raw Orders'!B7,5,1)="-",DATE(VALUE(LEFT('Raw Orders'!B7,4)),VALUE(MID('Raw Orders'!B7,6,2)),VALUE(MID('Raw Orders'!B7,9,2))),DATE(VALUE(MID('Raw Orders'!B7,7,4)),VALUE(MID('Raw Orders'!B7,4,2)),VALUE(LEFT('Raw Orders'!B7,2)))))</f>
        <v>46146</v>
      </c>
      <c r="B10" s="36" t="n">
        <f aca="false">IF(A10="","",A10-WEEKDAY(A10,3))</f>
        <v>46146</v>
      </c>
      <c r="C10" s="32" t="n">
        <f aca="false">IF(OR('Raw Orders'!C7&lt;&gt;"Product",'Raw Orders'!K7="Cancelled"),0,'Raw Orders'!G7)</f>
        <v>0</v>
      </c>
      <c r="D10" s="31" t="n">
        <f aca="false">IF(AND('Raw Orders'!C7="Product",'Raw Orders'!K7="Fulfilled",COUNTIFS('Raw Orders'!$A$2:$A7,'Raw Orders'!A7,'Raw Orders'!$C$2:$C7,"Product",'Raw Orders'!$K$2:$K7,"Fulfilled")=1),1,0)</f>
        <v>0</v>
      </c>
      <c r="E10" s="31" t="n">
        <f aca="false">IF(AND('Raw Orders'!C7="Product",'Raw Orders'!K7="Fulfilled"),'Raw Orders'!E7,0)</f>
        <v>0</v>
      </c>
      <c r="F10" s="32" t="n">
        <f aca="false">IF('Raw Orders'!K7="Refunded",'Raw Orders'!G7,0)</f>
        <v>0</v>
      </c>
      <c r="H10" s="19" t="n">
        <f aca="false">H9+7</f>
        <v>46181</v>
      </c>
      <c r="I10" s="20" t="n">
        <f aca="false">SUMIFS($C$5:$C$1839,$B$5:$B$1839,H10)</f>
        <v>4908.2</v>
      </c>
      <c r="J10" s="21" t="n">
        <f aca="false">SUMIFS($D$5:$D$1839,$B$5:$B$1839,H10)</f>
        <v>54</v>
      </c>
      <c r="K10" s="21" t="n">
        <f aca="false">SUMIFS($E$5:$E$1839,$B$5:$B$1839,H10)</f>
        <v>109</v>
      </c>
      <c r="L10" s="20" t="n">
        <f aca="false">SUMIFS($F$5:$F$1839,$B$5:$B$1839,H10)</f>
        <v>-112</v>
      </c>
      <c r="M10" s="22" t="n">
        <f aca="false">IFERROR(I10/J10,0)</f>
        <v>90.8925925925926</v>
      </c>
      <c r="N10" s="23" t="n">
        <f aca="false">IFERROR(I10/I9-1,"")</f>
        <v>0.0294043624161073</v>
      </c>
      <c r="P10" s="26" t="s">
        <v>78</v>
      </c>
      <c r="Q10" s="20" t="n">
        <f aca="false">SUMIFS($C$5:$C$1839,$B$5:$B$1839,$H$3,'Raw Orders'!$D$2:$D$1836,$P10)</f>
        <v>2006.95</v>
      </c>
      <c r="R10" s="21" t="n">
        <f aca="false">SUMIFS($E$5:$E$1839,$B$5:$B$1839,$H$3,'Raw Orders'!$D$2:$D$1836,$P10)</f>
        <v>24</v>
      </c>
    </row>
    <row r="11" customFormat="false" ht="15" hidden="false" customHeight="false" outlineLevel="0" collapsed="false">
      <c r="A11" s="36" t="n">
        <f aca="false">IF('Raw Orders'!B8="","",IF(MID('Raw Orders'!B8,5,1)="-",DATE(VALUE(LEFT('Raw Orders'!B8,4)),VALUE(MID('Raw Orders'!B8,6,2)),VALUE(MID('Raw Orders'!B8,9,2))),DATE(VALUE(MID('Raw Orders'!B8,7,4)),VALUE(MID('Raw Orders'!B8,4,2)),VALUE(LEFT('Raw Orders'!B8,2)))))</f>
        <v>46146</v>
      </c>
      <c r="B11" s="36" t="n">
        <f aca="false">IF(A11="","",A11-WEEKDAY(A11,3))</f>
        <v>46146</v>
      </c>
      <c r="C11" s="32" t="n">
        <f aca="false">IF(OR('Raw Orders'!C8&lt;&gt;"Product",'Raw Orders'!K8="Cancelled"),0,'Raw Orders'!G8)</f>
        <v>14</v>
      </c>
      <c r="D11" s="31" t="n">
        <f aca="false">IF(AND('Raw Orders'!C8="Product",'Raw Orders'!K8="Fulfilled",COUNTIFS('Raw Orders'!$A$2:$A8,'Raw Orders'!A8,'Raw Orders'!$C$2:$C8,"Product",'Raw Orders'!$K$2:$K8,"Fulfilled")=1),1,0)</f>
        <v>1</v>
      </c>
      <c r="E11" s="31" t="n">
        <f aca="false">IF(AND('Raw Orders'!C8="Product",'Raw Orders'!K8="Fulfilled"),'Raw Orders'!E8,0)</f>
        <v>1</v>
      </c>
      <c r="F11" s="32" t="n">
        <f aca="false">IF('Raw Orders'!K8="Refunded",'Raw Orders'!G8,0)</f>
        <v>0</v>
      </c>
      <c r="H11" s="14" t="n">
        <f aca="false">H10+7</f>
        <v>46188</v>
      </c>
      <c r="I11" s="15" t="n">
        <f aca="false">SUMIFS($C$5:$C$1839,$B$5:$B$1839,H11)</f>
        <v>5063</v>
      </c>
      <c r="J11" s="16" t="n">
        <f aca="false">SUMIFS($D$5:$D$1839,$B$5:$B$1839,H11)</f>
        <v>52</v>
      </c>
      <c r="K11" s="16" t="n">
        <f aca="false">SUMIFS($E$5:$E$1839,$B$5:$B$1839,H11)</f>
        <v>103</v>
      </c>
      <c r="L11" s="15" t="n">
        <f aca="false">SUMIFS($F$5:$F$1839,$B$5:$B$1839,H11)</f>
        <v>-127</v>
      </c>
      <c r="M11" s="17" t="n">
        <f aca="false">IFERROR(I11/J11,0)</f>
        <v>97.3653846153846</v>
      </c>
      <c r="N11" s="18" t="n">
        <f aca="false">IFERROR(I11/I10-1,"")</f>
        <v>0.0315390570881382</v>
      </c>
      <c r="P11" s="24" t="s">
        <v>140</v>
      </c>
      <c r="Q11" s="15" t="n">
        <f aca="false">SUMIFS($C$5:$C$1839,$B$5:$B$1839,$H$3,'Raw Orders'!$D$2:$D$1836,$P11)</f>
        <v>156</v>
      </c>
      <c r="R11" s="16" t="n">
        <f aca="false">SUMIFS($E$5:$E$1839,$B$5:$B$1839,$H$3,'Raw Orders'!$D$2:$D$1836,$P11)</f>
        <v>7</v>
      </c>
    </row>
    <row r="12" customFormat="false" ht="15" hidden="false" customHeight="false" outlineLevel="0" collapsed="false">
      <c r="A12" s="36" t="n">
        <f aca="false">IF('Raw Orders'!B9="","",IF(MID('Raw Orders'!B9,5,1)="-",DATE(VALUE(LEFT('Raw Orders'!B9,4)),VALUE(MID('Raw Orders'!B9,6,2)),VALUE(MID('Raw Orders'!B9,9,2))),DATE(VALUE(MID('Raw Orders'!B9,7,4)),VALUE(MID('Raw Orders'!B9,4,2)),VALUE(LEFT('Raw Orders'!B9,2)))))</f>
        <v>46146</v>
      </c>
      <c r="B12" s="36" t="n">
        <f aca="false">IF(A12="","",A12-WEEKDAY(A12,3))</f>
        <v>46146</v>
      </c>
      <c r="C12" s="32" t="n">
        <f aca="false">IF(OR('Raw Orders'!C9&lt;&gt;"Product",'Raw Orders'!K9="Cancelled"),0,'Raw Orders'!G9)</f>
        <v>0</v>
      </c>
      <c r="D12" s="31" t="n">
        <f aca="false">IF(AND('Raw Orders'!C9="Product",'Raw Orders'!K9="Fulfilled",COUNTIFS('Raw Orders'!$A$2:$A9,'Raw Orders'!A9,'Raw Orders'!$C$2:$C9,"Product",'Raw Orders'!$K$2:$K9,"Fulfilled")=1),1,0)</f>
        <v>0</v>
      </c>
      <c r="E12" s="31" t="n">
        <f aca="false">IF(AND('Raw Orders'!C9="Product",'Raw Orders'!K9="Fulfilled"),'Raw Orders'!E9,0)</f>
        <v>0</v>
      </c>
      <c r="F12" s="32" t="n">
        <f aca="false">IF('Raw Orders'!K9="Refunded",'Raw Orders'!G9,0)</f>
        <v>0</v>
      </c>
      <c r="H12" s="19" t="n">
        <f aca="false">H11+7</f>
        <v>46195</v>
      </c>
      <c r="I12" s="20" t="n">
        <f aca="false">SUMIFS($C$5:$C$1839,$B$5:$B$1839,H12)</f>
        <v>4877.55</v>
      </c>
      <c r="J12" s="21" t="n">
        <f aca="false">SUMIFS($D$5:$D$1839,$B$5:$B$1839,H12)</f>
        <v>50</v>
      </c>
      <c r="K12" s="21" t="n">
        <f aca="false">SUMIFS($E$5:$E$1839,$B$5:$B$1839,H12)</f>
        <v>105</v>
      </c>
      <c r="L12" s="20" t="n">
        <f aca="false">SUMIFS($F$5:$F$1839,$B$5:$B$1839,H12)</f>
        <v>-266</v>
      </c>
      <c r="M12" s="22" t="n">
        <f aca="false">IFERROR(I12/J12,0)</f>
        <v>97.551</v>
      </c>
      <c r="N12" s="23" t="n">
        <f aca="false">IFERROR(I12/I11-1,"")</f>
        <v>-0.0366284811376654</v>
      </c>
      <c r="P12" s="26" t="s">
        <v>87</v>
      </c>
      <c r="Q12" s="20" t="n">
        <f aca="false">SUMIFS($C$5:$C$1839,$B$5:$B$1839,$H$3,'Raw Orders'!$D$2:$D$1836,$P12)</f>
        <v>619.5</v>
      </c>
      <c r="R12" s="21" t="n">
        <f aca="false">SUMIFS($E$5:$E$1839,$B$5:$B$1839,$H$3,'Raw Orders'!$D$2:$D$1836,$P12)</f>
        <v>19</v>
      </c>
    </row>
    <row r="13" customFormat="false" ht="15" hidden="false" customHeight="false" outlineLevel="0" collapsed="false">
      <c r="A13" s="36" t="n">
        <f aca="false">IF('Raw Orders'!B10="","",IF(MID('Raw Orders'!B10,5,1)="-",DATE(VALUE(LEFT('Raw Orders'!B10,4)),VALUE(MID('Raw Orders'!B10,6,2)),VALUE(MID('Raw Orders'!B10,9,2))),DATE(VALUE(MID('Raw Orders'!B10,7,4)),VALUE(MID('Raw Orders'!B10,4,2)),VALUE(LEFT('Raw Orders'!B10,2)))))</f>
        <v>46146</v>
      </c>
      <c r="B13" s="36" t="n">
        <f aca="false">IF(A13="","",A13-WEEKDAY(A13,3))</f>
        <v>46146</v>
      </c>
      <c r="C13" s="32" t="n">
        <f aca="false">IF(OR('Raw Orders'!C10&lt;&gt;"Product",'Raw Orders'!K10="Cancelled"),0,'Raw Orders'!G10)</f>
        <v>96</v>
      </c>
      <c r="D13" s="31" t="n">
        <f aca="false">IF(AND('Raw Orders'!C10="Product",'Raw Orders'!K10="Fulfilled",COUNTIFS('Raw Orders'!$A$2:$A10,'Raw Orders'!A10,'Raw Orders'!$C$2:$C10,"Product",'Raw Orders'!$K$2:$K10,"Fulfilled")=1),1,0)</f>
        <v>1</v>
      </c>
      <c r="E13" s="31" t="n">
        <f aca="false">IF(AND('Raw Orders'!C10="Product",'Raw Orders'!K10="Fulfilled"),'Raw Orders'!E10,0)</f>
        <v>3</v>
      </c>
      <c r="F13" s="32" t="n">
        <f aca="false">IF('Raw Orders'!K10="Refunded",'Raw Orders'!G10,0)</f>
        <v>0</v>
      </c>
      <c r="H13" s="14" t="n">
        <f aca="false">H12+7</f>
        <v>46202</v>
      </c>
      <c r="I13" s="15" t="n">
        <f aca="false">SUMIFS($C$5:$C$1839,$B$5:$B$1839,H13)</f>
        <v>5541.3</v>
      </c>
      <c r="J13" s="16" t="n">
        <f aca="false">SUMIFS($D$5:$D$1839,$B$5:$B$1839,H13)</f>
        <v>55</v>
      </c>
      <c r="K13" s="16" t="n">
        <f aca="false">SUMIFS($E$5:$E$1839,$B$5:$B$1839,H13)</f>
        <v>118</v>
      </c>
      <c r="L13" s="15" t="n">
        <f aca="false">SUMIFS($F$5:$F$1839,$B$5:$B$1839,H13)</f>
        <v>-180.15</v>
      </c>
      <c r="M13" s="17" t="n">
        <f aca="false">IFERROR(I13/J13,0)</f>
        <v>100.750909090909</v>
      </c>
      <c r="N13" s="18" t="n">
        <f aca="false">IFERROR(I13/I12-1,"")</f>
        <v>0.13608266445244</v>
      </c>
      <c r="P13" s="24" t="s">
        <v>69</v>
      </c>
      <c r="Q13" s="15" t="n">
        <f aca="false">SUMIFS($C$5:$C$1839,$B$5:$B$1839,$H$3,'Raw Orders'!$D$2:$D$1836,$P13)</f>
        <v>261</v>
      </c>
      <c r="R13" s="16" t="n">
        <f aca="false">SUMIFS($E$5:$E$1839,$B$5:$B$1839,$H$3,'Raw Orders'!$D$2:$D$1836,$P13)</f>
        <v>9</v>
      </c>
    </row>
    <row r="14" customFormat="false" ht="15" hidden="false" customHeight="false" outlineLevel="0" collapsed="false">
      <c r="A14" s="36" t="n">
        <f aca="false">IF('Raw Orders'!B11="","",IF(MID('Raw Orders'!B11,5,1)="-",DATE(VALUE(LEFT('Raw Orders'!B11,4)),VALUE(MID('Raw Orders'!B11,6,2)),VALUE(MID('Raw Orders'!B11,9,2))),DATE(VALUE(MID('Raw Orders'!B11,7,4)),VALUE(MID('Raw Orders'!B11,4,2)),VALUE(LEFT('Raw Orders'!B11,2)))))</f>
        <v>46146</v>
      </c>
      <c r="B14" s="36" t="n">
        <f aca="false">IF(A14="","",A14-WEEKDAY(A14,3))</f>
        <v>46146</v>
      </c>
      <c r="C14" s="32" t="n">
        <f aca="false">IF(OR('Raw Orders'!C11&lt;&gt;"Product",'Raw Orders'!K11="Cancelled"),0,'Raw Orders'!G11)</f>
        <v>0</v>
      </c>
      <c r="D14" s="31" t="n">
        <f aca="false">IF(AND('Raw Orders'!C11="Product",'Raw Orders'!K11="Fulfilled",COUNTIFS('Raw Orders'!$A$2:$A11,'Raw Orders'!A11,'Raw Orders'!$C$2:$C11,"Product",'Raw Orders'!$K$2:$K11,"Fulfilled")=1),1,0)</f>
        <v>0</v>
      </c>
      <c r="E14" s="31" t="n">
        <f aca="false">IF(AND('Raw Orders'!C11="Product",'Raw Orders'!K11="Fulfilled"),'Raw Orders'!E11,0)</f>
        <v>0</v>
      </c>
      <c r="F14" s="32" t="n">
        <f aca="false">IF('Raw Orders'!K11="Refunded",'Raw Orders'!G11,0)</f>
        <v>0</v>
      </c>
      <c r="H14" s="19" t="n">
        <f aca="false">H13+7</f>
        <v>46209</v>
      </c>
      <c r="I14" s="20" t="n">
        <f aca="false">SUMIFS($C$5:$C$1839,$B$5:$B$1839,H14)</f>
        <v>5333.1</v>
      </c>
      <c r="J14" s="21" t="n">
        <f aca="false">SUMIFS($D$5:$D$1839,$B$5:$B$1839,H14)</f>
        <v>46</v>
      </c>
      <c r="K14" s="21" t="n">
        <f aca="false">SUMIFS($E$5:$E$1839,$B$5:$B$1839,H14)</f>
        <v>116</v>
      </c>
      <c r="L14" s="20" t="n">
        <f aca="false">SUMIFS($F$5:$F$1839,$B$5:$B$1839,H14)</f>
        <v>-64</v>
      </c>
      <c r="M14" s="22" t="n">
        <f aca="false">IFERROR(I14/J14,0)</f>
        <v>115.936956521739</v>
      </c>
      <c r="N14" s="23" t="n">
        <f aca="false">IFERROR(I14/I13-1,"")</f>
        <v>-0.0375724108061285</v>
      </c>
      <c r="P14" s="26" t="s">
        <v>66</v>
      </c>
      <c r="Q14" s="20" t="n">
        <f aca="false">SUMIFS($C$5:$C$1839,$B$5:$B$1839,$H$3,'Raw Orders'!$D$2:$D$1836,$P14)</f>
        <v>256</v>
      </c>
      <c r="R14" s="21" t="n">
        <f aca="false">SUMIFS($E$5:$E$1839,$B$5:$B$1839,$H$3,'Raw Orders'!$D$2:$D$1836,$P14)</f>
        <v>8</v>
      </c>
    </row>
    <row r="15" customFormat="false" ht="15" hidden="false" customHeight="false" outlineLevel="0" collapsed="false">
      <c r="A15" s="36" t="n">
        <f aca="false">IF('Raw Orders'!B12="","",IF(MID('Raw Orders'!B12,5,1)="-",DATE(VALUE(LEFT('Raw Orders'!B12,4)),VALUE(MID('Raw Orders'!B12,6,2)),VALUE(MID('Raw Orders'!B12,9,2))),DATE(VALUE(MID('Raw Orders'!B12,7,4)),VALUE(MID('Raw Orders'!B12,4,2)),VALUE(LEFT('Raw Orders'!B12,2)))))</f>
        <v>46146</v>
      </c>
      <c r="B15" s="36" t="n">
        <f aca="false">IF(A15="","",A15-WEEKDAY(A15,3))</f>
        <v>46146</v>
      </c>
      <c r="C15" s="32" t="n">
        <f aca="false">IF(OR('Raw Orders'!C12&lt;&gt;"Product",'Raw Orders'!K12="Cancelled"),0,'Raw Orders'!G12)</f>
        <v>29</v>
      </c>
      <c r="D15" s="31" t="n">
        <f aca="false">IF(AND('Raw Orders'!C12="Product",'Raw Orders'!K12="Fulfilled",COUNTIFS('Raw Orders'!$A$2:$A12,'Raw Orders'!A12,'Raw Orders'!$C$2:$C12,"Product",'Raw Orders'!$K$2:$K12,"Fulfilled")=1),1,0)</f>
        <v>0</v>
      </c>
      <c r="E15" s="31" t="n">
        <f aca="false">IF(AND('Raw Orders'!C12="Product",'Raw Orders'!K12="Fulfilled"),'Raw Orders'!E12,0)</f>
        <v>1</v>
      </c>
      <c r="F15" s="32" t="n">
        <f aca="false">IF('Raw Orders'!K12="Refunded",'Raw Orders'!G12,0)</f>
        <v>0</v>
      </c>
      <c r="H15" s="14" t="n">
        <f aca="false">H14+7</f>
        <v>46216</v>
      </c>
      <c r="I15" s="15" t="n">
        <f aca="false">SUMIFS($C$5:$C$1839,$B$5:$B$1839,H15)</f>
        <v>5796.8</v>
      </c>
      <c r="J15" s="16" t="n">
        <f aca="false">SUMIFS($D$5:$D$1839,$B$5:$B$1839,H15)</f>
        <v>54</v>
      </c>
      <c r="K15" s="16" t="n">
        <f aca="false">SUMIFS($E$5:$E$1839,$B$5:$B$1839,H15)</f>
        <v>113</v>
      </c>
      <c r="L15" s="15" t="n">
        <f aca="false">SUMIFS($F$5:$F$1839,$B$5:$B$1839,H15)</f>
        <v>-14</v>
      </c>
      <c r="M15" s="17" t="n">
        <f aca="false">IFERROR(I15/J15,0)</f>
        <v>107.348148148148</v>
      </c>
      <c r="N15" s="18" t="n">
        <f aca="false">IFERROR(I15/I14-1,"")</f>
        <v>0.0869475539554856</v>
      </c>
      <c r="P15" s="24" t="s">
        <v>73</v>
      </c>
      <c r="Q15" s="15" t="n">
        <f aca="false">SUMIFS($C$5:$C$1839,$B$5:$B$1839,$H$3,'Raw Orders'!$D$2:$D$1836,$P15)</f>
        <v>1587</v>
      </c>
      <c r="R15" s="16" t="n">
        <f aca="false">SUMIFS($E$5:$E$1839,$B$5:$B$1839,$H$3,'Raw Orders'!$D$2:$D$1836,$P15)</f>
        <v>24</v>
      </c>
    </row>
    <row r="16" customFormat="false" ht="15" hidden="false" customHeight="false" outlineLevel="0" collapsed="false">
      <c r="A16" s="36" t="n">
        <f aca="false">IF('Raw Orders'!B13="","",IF(MID('Raw Orders'!B13,5,1)="-",DATE(VALUE(LEFT('Raw Orders'!B13,4)),VALUE(MID('Raw Orders'!B13,6,2)),VALUE(MID('Raw Orders'!B13,9,2))),DATE(VALUE(MID('Raw Orders'!B13,7,4)),VALUE(MID('Raw Orders'!B13,4,2)),VALUE(LEFT('Raw Orders'!B13,2)))))</f>
        <v>46146</v>
      </c>
      <c r="B16" s="36" t="n">
        <f aca="false">IF(A16="","",A16-WEEKDAY(A16,3))</f>
        <v>46146</v>
      </c>
      <c r="C16" s="32" t="n">
        <f aca="false">IF(OR('Raw Orders'!C13&lt;&gt;"Product",'Raw Orders'!K13="Cancelled"),0,'Raw Orders'!G13)</f>
        <v>22</v>
      </c>
      <c r="D16" s="31" t="n">
        <f aca="false">IF(AND('Raw Orders'!C13="Product",'Raw Orders'!K13="Fulfilled",COUNTIFS('Raw Orders'!$A$2:$A13,'Raw Orders'!A13,'Raw Orders'!$C$2:$C13,"Product",'Raw Orders'!$K$2:$K13,"Fulfilled")=1),1,0)</f>
        <v>0</v>
      </c>
      <c r="E16" s="31" t="n">
        <f aca="false">IF(AND('Raw Orders'!C13="Product",'Raw Orders'!K13="Fulfilled"),'Raw Orders'!E13,0)</f>
        <v>1</v>
      </c>
      <c r="F16" s="32" t="n">
        <f aca="false">IF('Raw Orders'!K13="Refunded",'Raw Orders'!G13,0)</f>
        <v>0</v>
      </c>
      <c r="H16" s="19" t="n">
        <f aca="false">H15+7</f>
        <v>46223</v>
      </c>
      <c r="I16" s="20" t="n">
        <f aca="false">SUMIFS($C$5:$C$1839,$B$5:$B$1839,H16)</f>
        <v>3991.3</v>
      </c>
      <c r="J16" s="21" t="n">
        <f aca="false">SUMIFS($D$5:$D$1839,$B$5:$B$1839,H16)</f>
        <v>46</v>
      </c>
      <c r="K16" s="21" t="n">
        <f aca="false">SUMIFS($E$5:$E$1839,$B$5:$B$1839,H16)</f>
        <v>89</v>
      </c>
      <c r="L16" s="20" t="n">
        <f aca="false">SUMIFS($F$5:$F$1839,$B$5:$B$1839,H16)</f>
        <v>-203</v>
      </c>
      <c r="M16" s="22" t="n">
        <f aca="false">IFERROR(I16/J16,0)</f>
        <v>86.7673913043478</v>
      </c>
      <c r="N16" s="23" t="n">
        <f aca="false">IFERROR(I16/I15-1,"")</f>
        <v>-0.311464946177201</v>
      </c>
    </row>
    <row r="17" customFormat="false" ht="15" hidden="false" customHeight="false" outlineLevel="0" collapsed="false">
      <c r="A17" s="36" t="n">
        <f aca="false">IF('Raw Orders'!B14="","",IF(MID('Raw Orders'!B14,5,1)="-",DATE(VALUE(LEFT('Raw Orders'!B14,4)),VALUE(MID('Raw Orders'!B14,6,2)),VALUE(MID('Raw Orders'!B14,9,2))),DATE(VALUE(MID('Raw Orders'!B14,7,4)),VALUE(MID('Raw Orders'!B14,4,2)),VALUE(LEFT('Raw Orders'!B14,2)))))</f>
        <v>46146</v>
      </c>
      <c r="B17" s="36" t="n">
        <f aca="false">IF(A17="","",A17-WEEKDAY(A17,3))</f>
        <v>46146</v>
      </c>
      <c r="C17" s="32" t="n">
        <f aca="false">IF(OR('Raw Orders'!C14&lt;&gt;"Product",'Raw Orders'!K14="Cancelled"),0,'Raw Orders'!G14)</f>
        <v>22</v>
      </c>
      <c r="D17" s="31" t="n">
        <f aca="false">IF(AND('Raw Orders'!C14="Product",'Raw Orders'!K14="Fulfilled",COUNTIFS('Raw Orders'!$A$2:$A14,'Raw Orders'!A14,'Raw Orders'!$C$2:$C14,"Product",'Raw Orders'!$K$2:$K14,"Fulfilled")=1),1,0)</f>
        <v>1</v>
      </c>
      <c r="E17" s="31" t="n">
        <f aca="false">IF(AND('Raw Orders'!C14="Product",'Raw Orders'!K14="Fulfilled"),'Raw Orders'!E14,0)</f>
        <v>1</v>
      </c>
      <c r="F17" s="32" t="n">
        <f aca="false">IF('Raw Orders'!K14="Refunded",'Raw Orders'!G14,0)</f>
        <v>0</v>
      </c>
      <c r="H17" s="14" t="n">
        <f aca="false">H16+7</f>
        <v>46230</v>
      </c>
      <c r="I17" s="15" t="n">
        <f aca="false">SUMIFS($C$5:$C$1839,$B$5:$B$1839,H17)</f>
        <v>5212.1</v>
      </c>
      <c r="J17" s="16" t="n">
        <f aca="false">SUMIFS($D$5:$D$1839,$B$5:$B$1839,H17)</f>
        <v>48</v>
      </c>
      <c r="K17" s="16" t="n">
        <f aca="false">SUMIFS($E$5:$E$1839,$B$5:$B$1839,H17)</f>
        <v>111</v>
      </c>
      <c r="L17" s="15" t="n">
        <f aca="false">SUMIFS($F$5:$F$1839,$B$5:$B$1839,H17)</f>
        <v>-121</v>
      </c>
      <c r="M17" s="17" t="n">
        <f aca="false">IFERROR(I17/J17,0)</f>
        <v>108.585416666667</v>
      </c>
      <c r="N17" s="18" t="n">
        <f aca="false">IFERROR(I17/I16-1,"")</f>
        <v>0.305865256933831</v>
      </c>
    </row>
    <row r="18" customFormat="false" ht="15" hidden="false" customHeight="false" outlineLevel="0" collapsed="false">
      <c r="A18" s="36" t="n">
        <f aca="false">IF('Raw Orders'!B15="","",IF(MID('Raw Orders'!B15,5,1)="-",DATE(VALUE(LEFT('Raw Orders'!B15,4)),VALUE(MID('Raw Orders'!B15,6,2)),VALUE(MID('Raw Orders'!B15,9,2))),DATE(VALUE(MID('Raw Orders'!B15,7,4)),VALUE(MID('Raw Orders'!B15,4,2)),VALUE(LEFT('Raw Orders'!B15,2)))))</f>
        <v>46146</v>
      </c>
      <c r="B18" s="36" t="n">
        <f aca="false">IF(A18="","",A18-WEEKDAY(A18,3))</f>
        <v>46146</v>
      </c>
      <c r="C18" s="32" t="n">
        <f aca="false">IF(OR('Raw Orders'!C15&lt;&gt;"Product",'Raw Orders'!K15="Cancelled"),0,'Raw Orders'!G15)</f>
        <v>55.2</v>
      </c>
      <c r="D18" s="31" t="n">
        <f aca="false">IF(AND('Raw Orders'!C15="Product",'Raw Orders'!K15="Fulfilled",COUNTIFS('Raw Orders'!$A$2:$A15,'Raw Orders'!A15,'Raw Orders'!$C$2:$C15,"Product",'Raw Orders'!$K$2:$K15,"Fulfilled")=1),1,0)</f>
        <v>0</v>
      </c>
      <c r="E18" s="31" t="n">
        <f aca="false">IF(AND('Raw Orders'!C15="Product",'Raw Orders'!K15="Fulfilled"),'Raw Orders'!E15,0)</f>
        <v>1</v>
      </c>
      <c r="F18" s="32" t="n">
        <f aca="false">IF('Raw Orders'!K15="Refunded",'Raw Orders'!G15,0)</f>
        <v>0</v>
      </c>
      <c r="H18" s="19" t="n">
        <f aca="false">H17+7</f>
        <v>46237</v>
      </c>
      <c r="I18" s="20" t="n">
        <f aca="false">SUMIFS($C$5:$C$1839,$B$5:$B$1839,H18)</f>
        <v>6840.05</v>
      </c>
      <c r="J18" s="21" t="n">
        <f aca="false">SUMIFS($D$5:$D$1839,$B$5:$B$1839,H18)</f>
        <v>63</v>
      </c>
      <c r="K18" s="21" t="n">
        <f aca="false">SUMIFS($E$5:$E$1839,$B$5:$B$1839,H18)</f>
        <v>149</v>
      </c>
      <c r="L18" s="20" t="n">
        <f aca="false">SUMIFS($F$5:$F$1839,$B$5:$B$1839,H18)</f>
        <v>-386</v>
      </c>
      <c r="M18" s="22" t="n">
        <f aca="false">IFERROR(I18/J18,0)</f>
        <v>108.572222222222</v>
      </c>
      <c r="N18" s="23" t="n">
        <f aca="false">IFERROR(I18/I17-1,"")</f>
        <v>0.312340515339307</v>
      </c>
    </row>
    <row r="19" customFormat="false" ht="15" hidden="false" customHeight="false" outlineLevel="0" collapsed="false">
      <c r="A19" s="36" t="n">
        <f aca="false">IF('Raw Orders'!B16="","",IF(MID('Raw Orders'!B16,5,1)="-",DATE(VALUE(LEFT('Raw Orders'!B16,4)),VALUE(MID('Raw Orders'!B16,6,2)),VALUE(MID('Raw Orders'!B16,9,2))),DATE(VALUE(MID('Raw Orders'!B16,7,4)),VALUE(MID('Raw Orders'!B16,4,2)),VALUE(LEFT('Raw Orders'!B16,2)))))</f>
        <v>46146</v>
      </c>
      <c r="B19" s="36" t="n">
        <f aca="false">IF(A19="","",A19-WEEKDAY(A19,3))</f>
        <v>46146</v>
      </c>
      <c r="C19" s="32" t="n">
        <f aca="false">IF(OR('Raw Orders'!C16&lt;&gt;"Product",'Raw Orders'!K16="Cancelled"),0,'Raw Orders'!G16)</f>
        <v>0</v>
      </c>
      <c r="D19" s="31" t="n">
        <f aca="false">IF(AND('Raw Orders'!C16="Product",'Raw Orders'!K16="Fulfilled",COUNTIFS('Raw Orders'!$A$2:$A16,'Raw Orders'!A16,'Raw Orders'!$C$2:$C16,"Product",'Raw Orders'!$K$2:$K16,"Fulfilled")=1),1,0)</f>
        <v>0</v>
      </c>
      <c r="E19" s="31" t="n">
        <f aca="false">IF(AND('Raw Orders'!C16="Product",'Raw Orders'!K16="Fulfilled"),'Raw Orders'!E16,0)</f>
        <v>0</v>
      </c>
      <c r="F19" s="32" t="n">
        <f aca="false">IF('Raw Orders'!K16="Refunded",'Raw Orders'!G16,0)</f>
        <v>0</v>
      </c>
      <c r="H19" s="14" t="n">
        <f aca="false">H18+7</f>
        <v>46244</v>
      </c>
      <c r="I19" s="15" t="n">
        <f aca="false">SUMIFS($C$5:$C$1839,$B$5:$B$1839,H19)</f>
        <v>-22</v>
      </c>
      <c r="J19" s="16" t="n">
        <f aca="false">SUMIFS($D$5:$D$1839,$B$5:$B$1839,H19)</f>
        <v>0</v>
      </c>
      <c r="K19" s="16" t="n">
        <f aca="false">SUMIFS($E$5:$E$1839,$B$5:$B$1839,H19)</f>
        <v>0</v>
      </c>
      <c r="L19" s="15" t="n">
        <f aca="false">SUMIFS($F$5:$F$1839,$B$5:$B$1839,H19)</f>
        <v>-22</v>
      </c>
      <c r="M19" s="17" t="n">
        <f aca="false">IFERROR(I19/J19,0)</f>
        <v>0</v>
      </c>
      <c r="N19" s="18" t="n">
        <f aca="false">IFERROR(I19/I18-1,"")</f>
        <v>-1.00321635075767</v>
      </c>
    </row>
    <row r="20" customFormat="false" ht="15" hidden="false" customHeight="false" outlineLevel="0" collapsed="false">
      <c r="A20" s="36" t="n">
        <f aca="false">IF('Raw Orders'!B17="","",IF(MID('Raw Orders'!B17,5,1)="-",DATE(VALUE(LEFT('Raw Orders'!B17,4)),VALUE(MID('Raw Orders'!B17,6,2)),VALUE(MID('Raw Orders'!B17,9,2))),DATE(VALUE(MID('Raw Orders'!B17,7,4)),VALUE(MID('Raw Orders'!B17,4,2)),VALUE(LEFT('Raw Orders'!B17,2)))))</f>
        <v>46146</v>
      </c>
      <c r="B20" s="36" t="n">
        <f aca="false">IF(A20="","",A20-WEEKDAY(A20,3))</f>
        <v>46146</v>
      </c>
      <c r="C20" s="32" t="n">
        <f aca="false">IF(OR('Raw Orders'!C17&lt;&gt;"Product",'Raw Orders'!K17="Cancelled"),0,'Raw Orders'!G17)</f>
        <v>39</v>
      </c>
      <c r="D20" s="31" t="n">
        <f aca="false">IF(AND('Raw Orders'!C17="Product",'Raw Orders'!K17="Fulfilled",COUNTIFS('Raw Orders'!$A$2:$A17,'Raw Orders'!A17,'Raw Orders'!$C$2:$C17,"Product",'Raw Orders'!$K$2:$K17,"Fulfilled")=1),1,0)</f>
        <v>0</v>
      </c>
      <c r="E20" s="31" t="n">
        <f aca="false">IF(AND('Raw Orders'!C17="Product",'Raw Orders'!K17="Fulfilled"),'Raw Orders'!E17,0)</f>
        <v>1</v>
      </c>
      <c r="F20" s="32" t="n">
        <f aca="false">IF('Raw Orders'!K17="Refunded",'Raw Orders'!G17,0)</f>
        <v>0</v>
      </c>
      <c r="H20" s="19" t="n">
        <f aca="false">H19+7</f>
        <v>46251</v>
      </c>
      <c r="I20" s="20" t="n">
        <f aca="false">SUMIFS($C$5:$C$1839,$B$5:$B$1839,H20)</f>
        <v>0</v>
      </c>
      <c r="J20" s="21" t="n">
        <f aca="false">SUMIFS($D$5:$D$1839,$B$5:$B$1839,H20)</f>
        <v>0</v>
      </c>
      <c r="K20" s="21" t="n">
        <f aca="false">SUMIFS($E$5:$E$1839,$B$5:$B$1839,H20)</f>
        <v>0</v>
      </c>
      <c r="L20" s="20" t="n">
        <f aca="false">SUMIFS($F$5:$F$1839,$B$5:$B$1839,H20)</f>
        <v>0</v>
      </c>
      <c r="M20" s="22" t="n">
        <f aca="false">IFERROR(I20/J20,0)</f>
        <v>0</v>
      </c>
      <c r="N20" s="23" t="n">
        <f aca="false">IFERROR(I20/I19-1,"")</f>
        <v>-1</v>
      </c>
    </row>
    <row r="21" customFormat="false" ht="15" hidden="false" customHeight="false" outlineLevel="0" collapsed="false">
      <c r="A21" s="36" t="n">
        <f aca="false">IF('Raw Orders'!B18="","",IF(MID('Raw Orders'!B18,5,1)="-",DATE(VALUE(LEFT('Raw Orders'!B18,4)),VALUE(MID('Raw Orders'!B18,6,2)),VALUE(MID('Raw Orders'!B18,9,2))),DATE(VALUE(MID('Raw Orders'!B18,7,4)),VALUE(MID('Raw Orders'!B18,4,2)),VALUE(LEFT('Raw Orders'!B18,2)))))</f>
        <v>46146</v>
      </c>
      <c r="B21" s="36" t="n">
        <f aca="false">IF(A21="","",A21-WEEKDAY(A21,3))</f>
        <v>46146</v>
      </c>
      <c r="C21" s="32" t="n">
        <f aca="false">IF(OR('Raw Orders'!C18&lt;&gt;"Product",'Raw Orders'!K18="Cancelled"),0,'Raw Orders'!G18)</f>
        <v>0</v>
      </c>
      <c r="D21" s="31" t="n">
        <f aca="false">IF(AND('Raw Orders'!C18="Product",'Raw Orders'!K18="Fulfilled",COUNTIFS('Raw Orders'!$A$2:$A18,'Raw Orders'!A18,'Raw Orders'!$C$2:$C18,"Product",'Raw Orders'!$K$2:$K18,"Fulfilled")=1),1,0)</f>
        <v>0</v>
      </c>
      <c r="E21" s="31" t="n">
        <f aca="false">IF(AND('Raw Orders'!C18="Product",'Raw Orders'!K18="Fulfilled"),'Raw Orders'!E18,0)</f>
        <v>0</v>
      </c>
      <c r="F21" s="32" t="n">
        <f aca="false">IF('Raw Orders'!K18="Refunded",'Raw Orders'!G18,0)</f>
        <v>0</v>
      </c>
    </row>
    <row r="22" customFormat="false" ht="15" hidden="false" customHeight="false" outlineLevel="0" collapsed="false">
      <c r="A22" s="36" t="n">
        <f aca="false">IF('Raw Orders'!B19="","",IF(MID('Raw Orders'!B19,5,1)="-",DATE(VALUE(LEFT('Raw Orders'!B19,4)),VALUE(MID('Raw Orders'!B19,6,2)),VALUE(MID('Raw Orders'!B19,9,2))),DATE(VALUE(MID('Raw Orders'!B19,7,4)),VALUE(MID('Raw Orders'!B19,4,2)),VALUE(LEFT('Raw Orders'!B19,2)))))</f>
        <v>46146</v>
      </c>
      <c r="B22" s="36" t="n">
        <f aca="false">IF(A22="","",A22-WEEKDAY(A22,3))</f>
        <v>46146</v>
      </c>
      <c r="C22" s="32" t="n">
        <f aca="false">IF(OR('Raw Orders'!C19&lt;&gt;"Product",'Raw Orders'!K19="Cancelled"),0,'Raw Orders'!G19)</f>
        <v>89</v>
      </c>
      <c r="D22" s="31" t="n">
        <f aca="false">IF(AND('Raw Orders'!C19="Product",'Raw Orders'!K19="Fulfilled",COUNTIFS('Raw Orders'!$A$2:$A19,'Raw Orders'!A19,'Raw Orders'!$C$2:$C19,"Product",'Raw Orders'!$K$2:$K19,"Fulfilled")=1),1,0)</f>
        <v>1</v>
      </c>
      <c r="E22" s="31" t="n">
        <f aca="false">IF(AND('Raw Orders'!C19="Product",'Raw Orders'!K19="Fulfilled"),'Raw Orders'!E19,0)</f>
        <v>1</v>
      </c>
      <c r="F22" s="32" t="n">
        <f aca="false">IF('Raw Orders'!K19="Refunded",'Raw Orders'!G19,0)</f>
        <v>0</v>
      </c>
    </row>
    <row r="23" customFormat="false" ht="15" hidden="false" customHeight="false" outlineLevel="0" collapsed="false">
      <c r="A23" s="36" t="n">
        <f aca="false">IF('Raw Orders'!B20="","",IF(MID('Raw Orders'!B20,5,1)="-",DATE(VALUE(LEFT('Raw Orders'!B20,4)),VALUE(MID('Raw Orders'!B20,6,2)),VALUE(MID('Raw Orders'!B20,9,2))),DATE(VALUE(MID('Raw Orders'!B20,7,4)),VALUE(MID('Raw Orders'!B20,4,2)),VALUE(LEFT('Raw Orders'!B20,2)))))</f>
        <v>46146</v>
      </c>
      <c r="B23" s="36" t="n">
        <f aca="false">IF(A23="","",A23-WEEKDAY(A23,3))</f>
        <v>46146</v>
      </c>
      <c r="C23" s="32" t="n">
        <f aca="false">IF(OR('Raw Orders'!C20&lt;&gt;"Product",'Raw Orders'!K20="Cancelled"),0,'Raw Orders'!G20)</f>
        <v>89</v>
      </c>
      <c r="D23" s="31" t="n">
        <f aca="false">IF(AND('Raw Orders'!C20="Product",'Raw Orders'!K20="Fulfilled",COUNTIFS('Raw Orders'!$A$2:$A20,'Raw Orders'!A20,'Raw Orders'!$C$2:$C20,"Product",'Raw Orders'!$K$2:$K20,"Fulfilled")=1),1,0)</f>
        <v>1</v>
      </c>
      <c r="E23" s="31" t="n">
        <f aca="false">IF(AND('Raw Orders'!C20="Product",'Raw Orders'!K20="Fulfilled"),'Raw Orders'!E20,0)</f>
        <v>1</v>
      </c>
      <c r="F23" s="32" t="n">
        <f aca="false">IF('Raw Orders'!K20="Refunded",'Raw Orders'!G20,0)</f>
        <v>0</v>
      </c>
    </row>
    <row r="24" customFormat="false" ht="15" hidden="false" customHeight="false" outlineLevel="0" collapsed="false">
      <c r="A24" s="36" t="n">
        <f aca="false">IF('Raw Orders'!B21="","",IF(MID('Raw Orders'!B21,5,1)="-",DATE(VALUE(LEFT('Raw Orders'!B21,4)),VALUE(MID('Raw Orders'!B21,6,2)),VALUE(MID('Raw Orders'!B21,9,2))),DATE(VALUE(MID('Raw Orders'!B21,7,4)),VALUE(MID('Raw Orders'!B21,4,2)),VALUE(LEFT('Raw Orders'!B21,2)))))</f>
        <v>46146</v>
      </c>
      <c r="B24" s="36" t="n">
        <f aca="false">IF(A24="","",A24-WEEKDAY(A24,3))</f>
        <v>46146</v>
      </c>
      <c r="C24" s="32" t="n">
        <f aca="false">IF(OR('Raw Orders'!C21&lt;&gt;"Product",'Raw Orders'!K21="Cancelled"),0,'Raw Orders'!G21)</f>
        <v>0</v>
      </c>
      <c r="D24" s="31" t="n">
        <f aca="false">IF(AND('Raw Orders'!C21="Product",'Raw Orders'!K21="Fulfilled",COUNTIFS('Raw Orders'!$A$2:$A21,'Raw Orders'!A21,'Raw Orders'!$C$2:$C21,"Product",'Raw Orders'!$K$2:$K21,"Fulfilled")=1),1,0)</f>
        <v>0</v>
      </c>
      <c r="E24" s="31" t="n">
        <f aca="false">IF(AND('Raw Orders'!C21="Product",'Raw Orders'!K21="Fulfilled"),'Raw Orders'!E21,0)</f>
        <v>0</v>
      </c>
      <c r="F24" s="32" t="n">
        <f aca="false">IF('Raw Orders'!K21="Refunded",'Raw Orders'!G21,0)</f>
        <v>0</v>
      </c>
    </row>
    <row r="25" customFormat="false" ht="15" hidden="false" customHeight="false" outlineLevel="0" collapsed="false">
      <c r="A25" s="36" t="n">
        <f aca="false">IF('Raw Orders'!B22="","",IF(MID('Raw Orders'!B22,5,1)="-",DATE(VALUE(LEFT('Raw Orders'!B22,4)),VALUE(MID('Raw Orders'!B22,6,2)),VALUE(MID('Raw Orders'!B22,9,2))),DATE(VALUE(MID('Raw Orders'!B22,7,4)),VALUE(MID('Raw Orders'!B22,4,2)),VALUE(LEFT('Raw Orders'!B22,2)))))</f>
        <v>46146</v>
      </c>
      <c r="B25" s="36" t="n">
        <f aca="false">IF(A25="","",A25-WEEKDAY(A25,3))</f>
        <v>46146</v>
      </c>
      <c r="C25" s="32" t="n">
        <f aca="false">IF(OR('Raw Orders'!C22&lt;&gt;"Product",'Raw Orders'!K22="Cancelled"),0,'Raw Orders'!G22)</f>
        <v>89</v>
      </c>
      <c r="D25" s="31" t="n">
        <f aca="false">IF(AND('Raw Orders'!C22="Product",'Raw Orders'!K22="Fulfilled",COUNTIFS('Raw Orders'!$A$2:$A22,'Raw Orders'!A22,'Raw Orders'!$C$2:$C22,"Product",'Raw Orders'!$K$2:$K22,"Fulfilled")=1),1,0)</f>
        <v>1</v>
      </c>
      <c r="E25" s="31" t="n">
        <f aca="false">IF(AND('Raw Orders'!C22="Product",'Raw Orders'!K22="Fulfilled"),'Raw Orders'!E22,0)</f>
        <v>1</v>
      </c>
      <c r="F25" s="32" t="n">
        <f aca="false">IF('Raw Orders'!K22="Refunded",'Raw Orders'!G22,0)</f>
        <v>0</v>
      </c>
    </row>
    <row r="26" customFormat="false" ht="15" hidden="false" customHeight="false" outlineLevel="0" collapsed="false">
      <c r="A26" s="36" t="n">
        <f aca="false">IF('Raw Orders'!B23="","",IF(MID('Raw Orders'!B23,5,1)="-",DATE(VALUE(LEFT('Raw Orders'!B23,4)),VALUE(MID('Raw Orders'!B23,6,2)),VALUE(MID('Raw Orders'!B23,9,2))),DATE(VALUE(MID('Raw Orders'!B23,7,4)),VALUE(MID('Raw Orders'!B23,4,2)),VALUE(LEFT('Raw Orders'!B23,2)))))</f>
        <v>46146</v>
      </c>
      <c r="B26" s="36" t="n">
        <f aca="false">IF(A26="","",A26-WEEKDAY(A26,3))</f>
        <v>46146</v>
      </c>
      <c r="C26" s="32" t="n">
        <f aca="false">IF(OR('Raw Orders'!C23&lt;&gt;"Product",'Raw Orders'!K23="Cancelled"),0,'Raw Orders'!G23)</f>
        <v>35</v>
      </c>
      <c r="D26" s="31" t="n">
        <f aca="false">IF(AND('Raw Orders'!C23="Product",'Raw Orders'!K23="Fulfilled",COUNTIFS('Raw Orders'!$A$2:$A23,'Raw Orders'!A23,'Raw Orders'!$C$2:$C23,"Product",'Raw Orders'!$K$2:$K23,"Fulfilled")=1),1,0)</f>
        <v>0</v>
      </c>
      <c r="E26" s="31" t="n">
        <f aca="false">IF(AND('Raw Orders'!C23="Product",'Raw Orders'!K23="Fulfilled"),'Raw Orders'!E23,0)</f>
        <v>1</v>
      </c>
      <c r="F26" s="32" t="n">
        <f aca="false">IF('Raw Orders'!K23="Refunded",'Raw Orders'!G23,0)</f>
        <v>0</v>
      </c>
    </row>
    <row r="27" customFormat="false" ht="15" hidden="false" customHeight="false" outlineLevel="0" collapsed="false">
      <c r="A27" s="36" t="n">
        <f aca="false">IF('Raw Orders'!B24="","",IF(MID('Raw Orders'!B24,5,1)="-",DATE(VALUE(LEFT('Raw Orders'!B24,4)),VALUE(MID('Raw Orders'!B24,6,2)),VALUE(MID('Raw Orders'!B24,9,2))),DATE(VALUE(MID('Raw Orders'!B24,7,4)),VALUE(MID('Raw Orders'!B24,4,2)),VALUE(LEFT('Raw Orders'!B24,2)))))</f>
        <v>46146</v>
      </c>
      <c r="B27" s="36" t="n">
        <f aca="false">IF(A27="","",A27-WEEKDAY(A27,3))</f>
        <v>46146</v>
      </c>
      <c r="C27" s="32" t="n">
        <f aca="false">IF(OR('Raw Orders'!C24&lt;&gt;"Product",'Raw Orders'!K24="Cancelled"),0,'Raw Orders'!G24)</f>
        <v>0</v>
      </c>
      <c r="D27" s="31" t="n">
        <f aca="false">IF(AND('Raw Orders'!C24="Product",'Raw Orders'!K24="Fulfilled",COUNTIFS('Raw Orders'!$A$2:$A24,'Raw Orders'!A24,'Raw Orders'!$C$2:$C24,"Product",'Raw Orders'!$K$2:$K24,"Fulfilled")=1),1,0)</f>
        <v>0</v>
      </c>
      <c r="E27" s="31" t="n">
        <f aca="false">IF(AND('Raw Orders'!C24="Product",'Raw Orders'!K24="Fulfilled"),'Raw Orders'!E24,0)</f>
        <v>0</v>
      </c>
      <c r="F27" s="32" t="n">
        <f aca="false">IF('Raw Orders'!K24="Refunded",'Raw Orders'!G24,0)</f>
        <v>0</v>
      </c>
    </row>
    <row r="28" customFormat="false" ht="15" hidden="false" customHeight="false" outlineLevel="0" collapsed="false">
      <c r="A28" s="36" t="n">
        <f aca="false">IF('Raw Orders'!B25="","",IF(MID('Raw Orders'!B25,5,1)="-",DATE(VALUE(LEFT('Raw Orders'!B25,4)),VALUE(MID('Raw Orders'!B25,6,2)),VALUE(MID('Raw Orders'!B25,9,2))),DATE(VALUE(MID('Raw Orders'!B25,7,4)),VALUE(MID('Raw Orders'!B25,4,2)),VALUE(LEFT('Raw Orders'!B25,2)))))</f>
        <v>46147</v>
      </c>
      <c r="B28" s="36" t="n">
        <f aca="false">IF(A28="","",A28-WEEKDAY(A28,3))</f>
        <v>46146</v>
      </c>
      <c r="C28" s="32" t="n">
        <f aca="false">IF(OR('Raw Orders'!C25&lt;&gt;"Product",'Raw Orders'!K25="Cancelled"),0,'Raw Orders'!G25)</f>
        <v>0</v>
      </c>
      <c r="D28" s="31" t="n">
        <f aca="false">IF(AND('Raw Orders'!C25="Product",'Raw Orders'!K25="Fulfilled",COUNTIFS('Raw Orders'!$A$2:$A25,'Raw Orders'!A25,'Raw Orders'!$C$2:$C25,"Product",'Raw Orders'!$K$2:$K25,"Fulfilled")=1),1,0)</f>
        <v>0</v>
      </c>
      <c r="E28" s="31" t="n">
        <f aca="false">IF(AND('Raw Orders'!C25="Product",'Raw Orders'!K25="Fulfilled"),'Raw Orders'!E25,0)</f>
        <v>0</v>
      </c>
      <c r="F28" s="32" t="n">
        <f aca="false">IF('Raw Orders'!K25="Refunded",'Raw Orders'!G25,0)</f>
        <v>0</v>
      </c>
    </row>
    <row r="29" customFormat="false" ht="15" hidden="false" customHeight="false" outlineLevel="0" collapsed="false">
      <c r="A29" s="36" t="n">
        <f aca="false">IF('Raw Orders'!B26="","",IF(MID('Raw Orders'!B26,5,1)="-",DATE(VALUE(LEFT('Raw Orders'!B26,4)),VALUE(MID('Raw Orders'!B26,6,2)),VALUE(MID('Raw Orders'!B26,9,2))),DATE(VALUE(MID('Raw Orders'!B26,7,4)),VALUE(MID('Raw Orders'!B26,4,2)),VALUE(LEFT('Raw Orders'!B26,2)))))</f>
        <v>46147</v>
      </c>
      <c r="B29" s="36" t="n">
        <f aca="false">IF(A29="","",A29-WEEKDAY(A29,3))</f>
        <v>46146</v>
      </c>
      <c r="C29" s="32" t="n">
        <f aca="false">IF(OR('Raw Orders'!C26&lt;&gt;"Product",'Raw Orders'!K26="Cancelled"),0,'Raw Orders'!G26)</f>
        <v>70</v>
      </c>
      <c r="D29" s="31" t="n">
        <f aca="false">IF(AND('Raw Orders'!C26="Product",'Raw Orders'!K26="Fulfilled",COUNTIFS('Raw Orders'!$A$2:$A26,'Raw Orders'!A26,'Raw Orders'!$C$2:$C26,"Product",'Raw Orders'!$K$2:$K26,"Fulfilled")=1),1,0)</f>
        <v>1</v>
      </c>
      <c r="E29" s="31" t="n">
        <f aca="false">IF(AND('Raw Orders'!C26="Product",'Raw Orders'!K26="Fulfilled"),'Raw Orders'!E26,0)</f>
        <v>2</v>
      </c>
      <c r="F29" s="32" t="n">
        <f aca="false">IF('Raw Orders'!K26="Refunded",'Raw Orders'!G26,0)</f>
        <v>0</v>
      </c>
    </row>
    <row r="30" customFormat="false" ht="15" hidden="false" customHeight="false" outlineLevel="0" collapsed="false">
      <c r="A30" s="36" t="n">
        <f aca="false">IF('Raw Orders'!B27="","",IF(MID('Raw Orders'!B27,5,1)="-",DATE(VALUE(LEFT('Raw Orders'!B27,4)),VALUE(MID('Raw Orders'!B27,6,2)),VALUE(MID('Raw Orders'!B27,9,2))),DATE(VALUE(MID('Raw Orders'!B27,7,4)),VALUE(MID('Raw Orders'!B27,4,2)),VALUE(LEFT('Raw Orders'!B27,2)))))</f>
        <v>46147</v>
      </c>
      <c r="B30" s="36" t="n">
        <f aca="false">IF(A30="","",A30-WEEKDAY(A30,3))</f>
        <v>46146</v>
      </c>
      <c r="C30" s="32" t="n">
        <f aca="false">IF(OR('Raw Orders'!C27&lt;&gt;"Product",'Raw Orders'!K27="Cancelled"),0,'Raw Orders'!G27)</f>
        <v>70</v>
      </c>
      <c r="D30" s="31" t="n">
        <f aca="false">IF(AND('Raw Orders'!C27="Product",'Raw Orders'!K27="Fulfilled",COUNTIFS('Raw Orders'!$A$2:$A27,'Raw Orders'!A27,'Raw Orders'!$C$2:$C27,"Product",'Raw Orders'!$K$2:$K27,"Fulfilled")=1),1,0)</f>
        <v>0</v>
      </c>
      <c r="E30" s="31" t="n">
        <f aca="false">IF(AND('Raw Orders'!C27="Product",'Raw Orders'!K27="Fulfilled"),'Raw Orders'!E27,0)</f>
        <v>2</v>
      </c>
      <c r="F30" s="32" t="n">
        <f aca="false">IF('Raw Orders'!K27="Refunded",'Raw Orders'!G27,0)</f>
        <v>0</v>
      </c>
    </row>
    <row r="31" customFormat="false" ht="15" hidden="false" customHeight="false" outlineLevel="0" collapsed="false">
      <c r="A31" s="36" t="n">
        <f aca="false">IF('Raw Orders'!B28="","",IF(MID('Raw Orders'!B28,5,1)="-",DATE(VALUE(LEFT('Raw Orders'!B28,4)),VALUE(MID('Raw Orders'!B28,6,2)),VALUE(MID('Raw Orders'!B28,9,2))),DATE(VALUE(MID('Raw Orders'!B28,7,4)),VALUE(MID('Raw Orders'!B28,4,2)),VALUE(LEFT('Raw Orders'!B28,2)))))</f>
        <v>46147</v>
      </c>
      <c r="B31" s="36" t="n">
        <f aca="false">IF(A31="","",A31-WEEKDAY(A31,3))</f>
        <v>46146</v>
      </c>
      <c r="C31" s="32" t="n">
        <f aca="false">IF(OR('Raw Orders'!C28&lt;&gt;"Product",'Raw Orders'!K28="Cancelled"),0,'Raw Orders'!G28)</f>
        <v>0</v>
      </c>
      <c r="D31" s="31" t="n">
        <f aca="false">IF(AND('Raw Orders'!C28="Product",'Raw Orders'!K28="Fulfilled",COUNTIFS('Raw Orders'!$A$2:$A28,'Raw Orders'!A28,'Raw Orders'!$C$2:$C28,"Product",'Raw Orders'!$K$2:$K28,"Fulfilled")=1),1,0)</f>
        <v>0</v>
      </c>
      <c r="E31" s="31" t="n">
        <f aca="false">IF(AND('Raw Orders'!C28="Product",'Raw Orders'!K28="Fulfilled"),'Raw Orders'!E28,0)</f>
        <v>0</v>
      </c>
      <c r="F31" s="32" t="n">
        <f aca="false">IF('Raw Orders'!K28="Refunded",'Raw Orders'!G28,0)</f>
        <v>0</v>
      </c>
    </row>
    <row r="32" customFormat="false" ht="15" hidden="false" customHeight="false" outlineLevel="0" collapsed="false">
      <c r="A32" s="36" t="n">
        <f aca="false">IF('Raw Orders'!B29="","",IF(MID('Raw Orders'!B29,5,1)="-",DATE(VALUE(LEFT('Raw Orders'!B29,4)),VALUE(MID('Raw Orders'!B29,6,2)),VALUE(MID('Raw Orders'!B29,9,2))),DATE(VALUE(MID('Raw Orders'!B29,7,4)),VALUE(MID('Raw Orders'!B29,4,2)),VALUE(LEFT('Raw Orders'!B29,2)))))</f>
        <v>46147</v>
      </c>
      <c r="B32" s="36" t="n">
        <f aca="false">IF(A32="","",A32-WEEKDAY(A32,3))</f>
        <v>46146</v>
      </c>
      <c r="C32" s="32" t="n">
        <f aca="false">IF(OR('Raw Orders'!C29&lt;&gt;"Product",'Raw Orders'!K29="Cancelled"),0,'Raw Orders'!G29)</f>
        <v>105</v>
      </c>
      <c r="D32" s="31" t="n">
        <f aca="false">IF(AND('Raw Orders'!C29="Product",'Raw Orders'!K29="Fulfilled",COUNTIFS('Raw Orders'!$A$2:$A29,'Raw Orders'!A29,'Raw Orders'!$C$2:$C29,"Product",'Raw Orders'!$K$2:$K29,"Fulfilled")=1),1,0)</f>
        <v>1</v>
      </c>
      <c r="E32" s="31" t="n">
        <f aca="false">IF(AND('Raw Orders'!C29="Product",'Raw Orders'!K29="Fulfilled"),'Raw Orders'!E29,0)</f>
        <v>3</v>
      </c>
      <c r="F32" s="32" t="n">
        <f aca="false">IF('Raw Orders'!K29="Refunded",'Raw Orders'!G29,0)</f>
        <v>0</v>
      </c>
    </row>
    <row r="33" customFormat="false" ht="15" hidden="false" customHeight="false" outlineLevel="0" collapsed="false">
      <c r="A33" s="36" t="n">
        <f aca="false">IF('Raw Orders'!B30="","",IF(MID('Raw Orders'!B30,5,1)="-",DATE(VALUE(LEFT('Raw Orders'!B30,4)),VALUE(MID('Raw Orders'!B30,6,2)),VALUE(MID('Raw Orders'!B30,9,2))),DATE(VALUE(MID('Raw Orders'!B30,7,4)),VALUE(MID('Raw Orders'!B30,4,2)),VALUE(LEFT('Raw Orders'!B30,2)))))</f>
        <v>46147</v>
      </c>
      <c r="B33" s="36" t="n">
        <f aca="false">IF(A33="","",A33-WEEKDAY(A33,3))</f>
        <v>46146</v>
      </c>
      <c r="C33" s="32" t="n">
        <f aca="false">IF(OR('Raw Orders'!C30&lt;&gt;"Product",'Raw Orders'!K30="Cancelled"),0,'Raw Orders'!G30)</f>
        <v>89</v>
      </c>
      <c r="D33" s="31" t="n">
        <f aca="false">IF(AND('Raw Orders'!C30="Product",'Raw Orders'!K30="Fulfilled",COUNTIFS('Raw Orders'!$A$2:$A30,'Raw Orders'!A30,'Raw Orders'!$C$2:$C30,"Product",'Raw Orders'!$K$2:$K30,"Fulfilled")=1),1,0)</f>
        <v>0</v>
      </c>
      <c r="E33" s="31" t="n">
        <f aca="false">IF(AND('Raw Orders'!C30="Product",'Raw Orders'!K30="Fulfilled"),'Raw Orders'!E30,0)</f>
        <v>1</v>
      </c>
      <c r="F33" s="32" t="n">
        <f aca="false">IF('Raw Orders'!K30="Refunded",'Raw Orders'!G30,0)</f>
        <v>0</v>
      </c>
    </row>
    <row r="34" customFormat="false" ht="15" hidden="false" customHeight="false" outlineLevel="0" collapsed="false">
      <c r="A34" s="36" t="n">
        <f aca="false">IF('Raw Orders'!B31="","",IF(MID('Raw Orders'!B31,5,1)="-",DATE(VALUE(LEFT('Raw Orders'!B31,4)),VALUE(MID('Raw Orders'!B31,6,2)),VALUE(MID('Raw Orders'!B31,9,2))),DATE(VALUE(MID('Raw Orders'!B31,7,4)),VALUE(MID('Raw Orders'!B31,4,2)),VALUE(LEFT('Raw Orders'!B31,2)))))</f>
        <v>46147</v>
      </c>
      <c r="B34" s="36" t="n">
        <f aca="false">IF(A34="","",A34-WEEKDAY(A34,3))</f>
        <v>46146</v>
      </c>
      <c r="C34" s="32" t="n">
        <f aca="false">IF(OR('Raw Orders'!C31&lt;&gt;"Product",'Raw Orders'!K31="Cancelled"),0,'Raw Orders'!G31)</f>
        <v>29</v>
      </c>
      <c r="D34" s="31" t="n">
        <f aca="false">IF(AND('Raw Orders'!C31="Product",'Raw Orders'!K31="Fulfilled",COUNTIFS('Raw Orders'!$A$2:$A31,'Raw Orders'!A31,'Raw Orders'!$C$2:$C31,"Product",'Raw Orders'!$K$2:$K31,"Fulfilled")=1),1,0)</f>
        <v>1</v>
      </c>
      <c r="E34" s="31" t="n">
        <f aca="false">IF(AND('Raw Orders'!C31="Product",'Raw Orders'!K31="Fulfilled"),'Raw Orders'!E31,0)</f>
        <v>1</v>
      </c>
      <c r="F34" s="32" t="n">
        <f aca="false">IF('Raw Orders'!K31="Refunded",'Raw Orders'!G31,0)</f>
        <v>0</v>
      </c>
    </row>
    <row r="35" customFormat="false" ht="15" hidden="false" customHeight="false" outlineLevel="0" collapsed="false">
      <c r="A35" s="36" t="n">
        <f aca="false">IF('Raw Orders'!B32="","",IF(MID('Raw Orders'!B32,5,1)="-",DATE(VALUE(LEFT('Raw Orders'!B32,4)),VALUE(MID('Raw Orders'!B32,6,2)),VALUE(MID('Raw Orders'!B32,9,2))),DATE(VALUE(MID('Raw Orders'!B32,7,4)),VALUE(MID('Raw Orders'!B32,4,2)),VALUE(LEFT('Raw Orders'!B32,2)))))</f>
        <v>46147</v>
      </c>
      <c r="B35" s="36" t="n">
        <f aca="false">IF(A35="","",A35-WEEKDAY(A35,3))</f>
        <v>46146</v>
      </c>
      <c r="C35" s="32" t="n">
        <f aca="false">IF(OR('Raw Orders'!C32&lt;&gt;"Product",'Raw Orders'!K32="Cancelled"),0,'Raw Orders'!G32)</f>
        <v>0</v>
      </c>
      <c r="D35" s="31" t="n">
        <f aca="false">IF(AND('Raw Orders'!C32="Product",'Raw Orders'!K32="Fulfilled",COUNTIFS('Raw Orders'!$A$2:$A32,'Raw Orders'!A32,'Raw Orders'!$C$2:$C32,"Product",'Raw Orders'!$K$2:$K32,"Fulfilled")=1),1,0)</f>
        <v>0</v>
      </c>
      <c r="E35" s="31" t="n">
        <f aca="false">IF(AND('Raw Orders'!C32="Product",'Raw Orders'!K32="Fulfilled"),'Raw Orders'!E32,0)</f>
        <v>0</v>
      </c>
      <c r="F35" s="32" t="n">
        <f aca="false">IF('Raw Orders'!K32="Refunded",'Raw Orders'!G32,0)</f>
        <v>0</v>
      </c>
    </row>
    <row r="36" customFormat="false" ht="15" hidden="false" customHeight="false" outlineLevel="0" collapsed="false">
      <c r="A36" s="36" t="n">
        <f aca="false">IF('Raw Orders'!B33="","",IF(MID('Raw Orders'!B33,5,1)="-",DATE(VALUE(LEFT('Raw Orders'!B33,4)),VALUE(MID('Raw Orders'!B33,6,2)),VALUE(MID('Raw Orders'!B33,9,2))),DATE(VALUE(MID('Raw Orders'!B33,7,4)),VALUE(MID('Raw Orders'!B33,4,2)),VALUE(LEFT('Raw Orders'!B33,2)))))</f>
        <v>46147</v>
      </c>
      <c r="B36" s="36" t="n">
        <f aca="false">IF(A36="","",A36-WEEKDAY(A36,3))</f>
        <v>46146</v>
      </c>
      <c r="C36" s="32" t="n">
        <f aca="false">IF(OR('Raw Orders'!C33&lt;&gt;"Product",'Raw Orders'!K33="Cancelled"),0,'Raw Orders'!G33)</f>
        <v>78</v>
      </c>
      <c r="D36" s="31" t="n">
        <f aca="false">IF(AND('Raw Orders'!C33="Product",'Raw Orders'!K33="Fulfilled",COUNTIFS('Raw Orders'!$A$2:$A33,'Raw Orders'!A33,'Raw Orders'!$C$2:$C33,"Product",'Raw Orders'!$K$2:$K33,"Fulfilled")=1),1,0)</f>
        <v>1</v>
      </c>
      <c r="E36" s="31" t="n">
        <f aca="false">IF(AND('Raw Orders'!C33="Product",'Raw Orders'!K33="Fulfilled"),'Raw Orders'!E33,0)</f>
        <v>2</v>
      </c>
      <c r="F36" s="32" t="n">
        <f aca="false">IF('Raw Orders'!K33="Refunded",'Raw Orders'!G33,0)</f>
        <v>0</v>
      </c>
    </row>
    <row r="37" customFormat="false" ht="15" hidden="false" customHeight="false" outlineLevel="0" collapsed="false">
      <c r="A37" s="36" t="n">
        <f aca="false">IF('Raw Orders'!B34="","",IF(MID('Raw Orders'!B34,5,1)="-",DATE(VALUE(LEFT('Raw Orders'!B34,4)),VALUE(MID('Raw Orders'!B34,6,2)),VALUE(MID('Raw Orders'!B34,9,2))),DATE(VALUE(MID('Raw Orders'!B34,7,4)),VALUE(MID('Raw Orders'!B34,4,2)),VALUE(LEFT('Raw Orders'!B34,2)))))</f>
        <v>46147</v>
      </c>
      <c r="B37" s="36" t="n">
        <f aca="false">IF(A37="","",A37-WEEKDAY(A37,3))</f>
        <v>46146</v>
      </c>
      <c r="C37" s="32" t="n">
        <f aca="false">IF(OR('Raw Orders'!C34&lt;&gt;"Product",'Raw Orders'!K34="Cancelled"),0,'Raw Orders'!G34)</f>
        <v>138</v>
      </c>
      <c r="D37" s="31" t="n">
        <f aca="false">IF(AND('Raw Orders'!C34="Product",'Raw Orders'!K34="Fulfilled",COUNTIFS('Raw Orders'!$A$2:$A34,'Raw Orders'!A34,'Raw Orders'!$C$2:$C34,"Product",'Raw Orders'!$K$2:$K34,"Fulfilled")=1),1,0)</f>
        <v>0</v>
      </c>
      <c r="E37" s="31" t="n">
        <f aca="false">IF(AND('Raw Orders'!C34="Product",'Raw Orders'!K34="Fulfilled"),'Raw Orders'!E34,0)</f>
        <v>2</v>
      </c>
      <c r="F37" s="32" t="n">
        <f aca="false">IF('Raw Orders'!K34="Refunded",'Raw Orders'!G34,0)</f>
        <v>0</v>
      </c>
    </row>
    <row r="38" customFormat="false" ht="15" hidden="false" customHeight="false" outlineLevel="0" collapsed="false">
      <c r="A38" s="36" t="n">
        <f aca="false">IF('Raw Orders'!B35="","",IF(MID('Raw Orders'!B35,5,1)="-",DATE(VALUE(LEFT('Raw Orders'!B35,4)),VALUE(MID('Raw Orders'!B35,6,2)),VALUE(MID('Raw Orders'!B35,9,2))),DATE(VALUE(MID('Raw Orders'!B35,7,4)),VALUE(MID('Raw Orders'!B35,4,2)),VALUE(LEFT('Raw Orders'!B35,2)))))</f>
        <v>46147</v>
      </c>
      <c r="B38" s="36" t="n">
        <f aca="false">IF(A38="","",A38-WEEKDAY(A38,3))</f>
        <v>46146</v>
      </c>
      <c r="C38" s="32" t="n">
        <f aca="false">IF(OR('Raw Orders'!C35&lt;&gt;"Product",'Raw Orders'!K35="Cancelled"),0,'Raw Orders'!G35)</f>
        <v>0</v>
      </c>
      <c r="D38" s="31" t="n">
        <f aca="false">IF(AND('Raw Orders'!C35="Product",'Raw Orders'!K35="Fulfilled",COUNTIFS('Raw Orders'!$A$2:$A35,'Raw Orders'!A35,'Raw Orders'!$C$2:$C35,"Product",'Raw Orders'!$K$2:$K35,"Fulfilled")=1),1,0)</f>
        <v>0</v>
      </c>
      <c r="E38" s="31" t="n">
        <f aca="false">IF(AND('Raw Orders'!C35="Product",'Raw Orders'!K35="Fulfilled"),'Raw Orders'!E35,0)</f>
        <v>0</v>
      </c>
      <c r="F38" s="32" t="n">
        <f aca="false">IF('Raw Orders'!K35="Refunded",'Raw Orders'!G35,0)</f>
        <v>0</v>
      </c>
    </row>
    <row r="39" customFormat="false" ht="15" hidden="false" customHeight="false" outlineLevel="0" collapsed="false">
      <c r="A39" s="36" t="n">
        <f aca="false">IF('Raw Orders'!B36="","",IF(MID('Raw Orders'!B36,5,1)="-",DATE(VALUE(LEFT('Raw Orders'!B36,4)),VALUE(MID('Raw Orders'!B36,6,2)),VALUE(MID('Raw Orders'!B36,9,2))),DATE(VALUE(MID('Raw Orders'!B36,7,4)),VALUE(MID('Raw Orders'!B36,4,2)),VALUE(LEFT('Raw Orders'!B36,2)))))</f>
        <v>46147</v>
      </c>
      <c r="B39" s="36" t="n">
        <f aca="false">IF(A39="","",A39-WEEKDAY(A39,3))</f>
        <v>46146</v>
      </c>
      <c r="C39" s="32" t="n">
        <f aca="false">IF(OR('Raw Orders'!C36&lt;&gt;"Product",'Raw Orders'!K36="Cancelled"),0,'Raw Orders'!G36)</f>
        <v>89</v>
      </c>
      <c r="D39" s="31" t="n">
        <f aca="false">IF(AND('Raw Orders'!C36="Product",'Raw Orders'!K36="Fulfilled",COUNTIFS('Raw Orders'!$A$2:$A36,'Raw Orders'!A36,'Raw Orders'!$C$2:$C36,"Product",'Raw Orders'!$K$2:$K36,"Fulfilled")=1),1,0)</f>
        <v>1</v>
      </c>
      <c r="E39" s="31" t="n">
        <f aca="false">IF(AND('Raw Orders'!C36="Product",'Raw Orders'!K36="Fulfilled"),'Raw Orders'!E36,0)</f>
        <v>1</v>
      </c>
      <c r="F39" s="32" t="n">
        <f aca="false">IF('Raw Orders'!K36="Refunded",'Raw Orders'!G36,0)</f>
        <v>0</v>
      </c>
    </row>
    <row r="40" customFormat="false" ht="15" hidden="false" customHeight="false" outlineLevel="0" collapsed="false">
      <c r="A40" s="36" t="n">
        <f aca="false">IF('Raw Orders'!B37="","",IF(MID('Raw Orders'!B37,5,1)="-",DATE(VALUE(LEFT('Raw Orders'!B37,4)),VALUE(MID('Raw Orders'!B37,6,2)),VALUE(MID('Raw Orders'!B37,9,2))),DATE(VALUE(MID('Raw Orders'!B37,7,4)),VALUE(MID('Raw Orders'!B37,4,2)),VALUE(LEFT('Raw Orders'!B37,2)))))</f>
        <v>46147</v>
      </c>
      <c r="B40" s="36" t="n">
        <f aca="false">IF(A40="","",A40-WEEKDAY(A40,3))</f>
        <v>46146</v>
      </c>
      <c r="C40" s="32" t="n">
        <f aca="false">IF(OR('Raw Orders'!C37&lt;&gt;"Product",'Raw Orders'!K37="Cancelled"),0,'Raw Orders'!G37)</f>
        <v>0</v>
      </c>
      <c r="D40" s="31" t="n">
        <f aca="false">IF(AND('Raw Orders'!C37="Product",'Raw Orders'!K37="Fulfilled",COUNTIFS('Raw Orders'!$A$2:$A37,'Raw Orders'!A37,'Raw Orders'!$C$2:$C37,"Product",'Raw Orders'!$K$2:$K37,"Fulfilled")=1),1,0)</f>
        <v>0</v>
      </c>
      <c r="E40" s="31" t="n">
        <f aca="false">IF(AND('Raw Orders'!C37="Product",'Raw Orders'!K37="Fulfilled"),'Raw Orders'!E37,0)</f>
        <v>0</v>
      </c>
      <c r="F40" s="32" t="n">
        <f aca="false">IF('Raw Orders'!K37="Refunded",'Raw Orders'!G37,0)</f>
        <v>0</v>
      </c>
    </row>
    <row r="41" customFormat="false" ht="15" hidden="false" customHeight="false" outlineLevel="0" collapsed="false">
      <c r="A41" s="36" t="n">
        <f aca="false">IF('Raw Orders'!B38="","",IF(MID('Raw Orders'!B38,5,1)="-",DATE(VALUE(LEFT('Raw Orders'!B38,4)),VALUE(MID('Raw Orders'!B38,6,2)),VALUE(MID('Raw Orders'!B38,9,2))),DATE(VALUE(MID('Raw Orders'!B38,7,4)),VALUE(MID('Raw Orders'!B38,4,2)),VALUE(LEFT('Raw Orders'!B38,2)))))</f>
        <v>46147</v>
      </c>
      <c r="B41" s="36" t="n">
        <f aca="false">IF(A41="","",A41-WEEKDAY(A41,3))</f>
        <v>46146</v>
      </c>
      <c r="C41" s="32" t="n">
        <f aca="false">IF(OR('Raw Orders'!C38&lt;&gt;"Product",'Raw Orders'!K38="Cancelled"),0,'Raw Orders'!G38)</f>
        <v>96</v>
      </c>
      <c r="D41" s="31" t="n">
        <f aca="false">IF(AND('Raw Orders'!C38="Product",'Raw Orders'!K38="Fulfilled",COUNTIFS('Raw Orders'!$A$2:$A38,'Raw Orders'!A38,'Raw Orders'!$C$2:$C38,"Product",'Raw Orders'!$K$2:$K38,"Fulfilled")=1),1,0)</f>
        <v>0</v>
      </c>
      <c r="E41" s="31" t="n">
        <f aca="false">IF(AND('Raw Orders'!C38="Product",'Raw Orders'!K38="Fulfilled"),'Raw Orders'!E38,0)</f>
        <v>3</v>
      </c>
      <c r="F41" s="32" t="n">
        <f aca="false">IF('Raw Orders'!K38="Refunded",'Raw Orders'!G38,0)</f>
        <v>0</v>
      </c>
    </row>
    <row r="42" customFormat="false" ht="15" hidden="false" customHeight="false" outlineLevel="0" collapsed="false">
      <c r="A42" s="36" t="n">
        <f aca="false">IF('Raw Orders'!B39="","",IF(MID('Raw Orders'!B39,5,1)="-",DATE(VALUE(LEFT('Raw Orders'!B39,4)),VALUE(MID('Raw Orders'!B39,6,2)),VALUE(MID('Raw Orders'!B39,9,2))),DATE(VALUE(MID('Raw Orders'!B39,7,4)),VALUE(MID('Raw Orders'!B39,4,2)),VALUE(LEFT('Raw Orders'!B39,2)))))</f>
        <v>46147</v>
      </c>
      <c r="B42" s="36" t="n">
        <f aca="false">IF(A42="","",A42-WEEKDAY(A42,3))</f>
        <v>46146</v>
      </c>
      <c r="C42" s="32" t="n">
        <f aca="false">IF(OR('Raw Orders'!C39&lt;&gt;"Product",'Raw Orders'!K39="Cancelled"),0,'Raw Orders'!G39)</f>
        <v>45</v>
      </c>
      <c r="D42" s="31" t="n">
        <f aca="false">IF(AND('Raw Orders'!C39="Product",'Raw Orders'!K39="Fulfilled",COUNTIFS('Raw Orders'!$A$2:$A39,'Raw Orders'!A39,'Raw Orders'!$C$2:$C39,"Product",'Raw Orders'!$K$2:$K39,"Fulfilled")=1),1,0)</f>
        <v>0</v>
      </c>
      <c r="E42" s="31" t="n">
        <f aca="false">IF(AND('Raw Orders'!C39="Product",'Raw Orders'!K39="Fulfilled"),'Raw Orders'!E39,0)</f>
        <v>1</v>
      </c>
      <c r="F42" s="32" t="n">
        <f aca="false">IF('Raw Orders'!K39="Refunded",'Raw Orders'!G39,0)</f>
        <v>0</v>
      </c>
    </row>
    <row r="43" customFormat="false" ht="15" hidden="false" customHeight="false" outlineLevel="0" collapsed="false">
      <c r="A43" s="36" t="n">
        <f aca="false">IF('Raw Orders'!B40="","",IF(MID('Raw Orders'!B40,5,1)="-",DATE(VALUE(LEFT('Raw Orders'!B40,4)),VALUE(MID('Raw Orders'!B40,6,2)),VALUE(MID('Raw Orders'!B40,9,2))),DATE(VALUE(MID('Raw Orders'!B40,7,4)),VALUE(MID('Raw Orders'!B40,4,2)),VALUE(LEFT('Raw Orders'!B40,2)))))</f>
        <v>46147</v>
      </c>
      <c r="B43" s="36" t="n">
        <f aca="false">IF(A43="","",A43-WEEKDAY(A43,3))</f>
        <v>46146</v>
      </c>
      <c r="C43" s="32" t="n">
        <f aca="false">IF(OR('Raw Orders'!C40&lt;&gt;"Product",'Raw Orders'!K40="Cancelled"),0,'Raw Orders'!G40)</f>
        <v>35</v>
      </c>
      <c r="D43" s="31" t="n">
        <f aca="false">IF(AND('Raw Orders'!C40="Product",'Raw Orders'!K40="Fulfilled",COUNTIFS('Raw Orders'!$A$2:$A40,'Raw Orders'!A40,'Raw Orders'!$C$2:$C40,"Product",'Raw Orders'!$K$2:$K40,"Fulfilled")=1),1,0)</f>
        <v>1</v>
      </c>
      <c r="E43" s="31" t="n">
        <f aca="false">IF(AND('Raw Orders'!C40="Product",'Raw Orders'!K40="Fulfilled"),'Raw Orders'!E40,0)</f>
        <v>1</v>
      </c>
      <c r="F43" s="32" t="n">
        <f aca="false">IF('Raw Orders'!K40="Refunded",'Raw Orders'!G40,0)</f>
        <v>0</v>
      </c>
    </row>
    <row r="44" customFormat="false" ht="15" hidden="false" customHeight="false" outlineLevel="0" collapsed="false">
      <c r="A44" s="36" t="n">
        <f aca="false">IF('Raw Orders'!B41="","",IF(MID('Raw Orders'!B41,5,1)="-",DATE(VALUE(LEFT('Raw Orders'!B41,4)),VALUE(MID('Raw Orders'!B41,6,2)),VALUE(MID('Raw Orders'!B41,9,2))),DATE(VALUE(MID('Raw Orders'!B41,7,4)),VALUE(MID('Raw Orders'!B41,4,2)),VALUE(LEFT('Raw Orders'!B41,2)))))</f>
        <v>46147</v>
      </c>
      <c r="B44" s="36" t="n">
        <f aca="false">IF(A44="","",A44-WEEKDAY(A44,3))</f>
        <v>46146</v>
      </c>
      <c r="C44" s="32" t="n">
        <f aca="false">IF(OR('Raw Orders'!C41&lt;&gt;"Product",'Raw Orders'!K41="Cancelled"),0,'Raw Orders'!G41)</f>
        <v>0</v>
      </c>
      <c r="D44" s="31" t="n">
        <f aca="false">IF(AND('Raw Orders'!C41="Product",'Raw Orders'!K41="Fulfilled",COUNTIFS('Raw Orders'!$A$2:$A41,'Raw Orders'!A41,'Raw Orders'!$C$2:$C41,"Product",'Raw Orders'!$K$2:$K41,"Fulfilled")=1),1,0)</f>
        <v>0</v>
      </c>
      <c r="E44" s="31" t="n">
        <f aca="false">IF(AND('Raw Orders'!C41="Product",'Raw Orders'!K41="Fulfilled"),'Raw Orders'!E41,0)</f>
        <v>0</v>
      </c>
      <c r="F44" s="32" t="n">
        <f aca="false">IF('Raw Orders'!K41="Refunded",'Raw Orders'!G41,0)</f>
        <v>0</v>
      </c>
    </row>
    <row r="45" customFormat="false" ht="15" hidden="false" customHeight="false" outlineLevel="0" collapsed="false">
      <c r="A45" s="36" t="n">
        <f aca="false">IF('Raw Orders'!B42="","",IF(MID('Raw Orders'!B42,5,1)="-",DATE(VALUE(LEFT('Raw Orders'!B42,4)),VALUE(MID('Raw Orders'!B42,6,2)),VALUE(MID('Raw Orders'!B42,9,2))),DATE(VALUE(MID('Raw Orders'!B42,7,4)),VALUE(MID('Raw Orders'!B42,4,2)),VALUE(LEFT('Raw Orders'!B42,2)))))</f>
        <v>46148</v>
      </c>
      <c r="B45" s="36" t="n">
        <f aca="false">IF(A45="","",A45-WEEKDAY(A45,3))</f>
        <v>46146</v>
      </c>
      <c r="C45" s="32" t="n">
        <f aca="false">IF(OR('Raw Orders'!C42&lt;&gt;"Product",'Raw Orders'!K42="Cancelled"),0,'Raw Orders'!G42)</f>
        <v>45</v>
      </c>
      <c r="D45" s="31" t="n">
        <f aca="false">IF(AND('Raw Orders'!C42="Product",'Raw Orders'!K42="Fulfilled",COUNTIFS('Raw Orders'!$A$2:$A42,'Raw Orders'!A42,'Raw Orders'!$C$2:$C42,"Product",'Raw Orders'!$K$2:$K42,"Fulfilled")=1),1,0)</f>
        <v>1</v>
      </c>
      <c r="E45" s="31" t="n">
        <f aca="false">IF(AND('Raw Orders'!C42="Product",'Raw Orders'!K42="Fulfilled"),'Raw Orders'!E42,0)</f>
        <v>1</v>
      </c>
      <c r="F45" s="32" t="n">
        <f aca="false">IF('Raw Orders'!K42="Refunded",'Raw Orders'!G42,0)</f>
        <v>0</v>
      </c>
    </row>
    <row r="46" customFormat="false" ht="15" hidden="false" customHeight="false" outlineLevel="0" collapsed="false">
      <c r="A46" s="36" t="n">
        <f aca="false">IF('Raw Orders'!B43="","",IF(MID('Raw Orders'!B43,5,1)="-",DATE(VALUE(LEFT('Raw Orders'!B43,4)),VALUE(MID('Raw Orders'!B43,6,2)),VALUE(MID('Raw Orders'!B43,9,2))),DATE(VALUE(MID('Raw Orders'!B43,7,4)),VALUE(MID('Raw Orders'!B43,4,2)),VALUE(LEFT('Raw Orders'!B43,2)))))</f>
        <v>46148</v>
      </c>
      <c r="B46" s="36" t="n">
        <f aca="false">IF(A46="","",A46-WEEKDAY(A46,3))</f>
        <v>46146</v>
      </c>
      <c r="C46" s="32" t="n">
        <f aca="false">IF(OR('Raw Orders'!C43&lt;&gt;"Product",'Raw Orders'!K43="Cancelled"),0,'Raw Orders'!G43)</f>
        <v>0</v>
      </c>
      <c r="D46" s="31" t="n">
        <f aca="false">IF(AND('Raw Orders'!C43="Product",'Raw Orders'!K43="Fulfilled",COUNTIFS('Raw Orders'!$A$2:$A43,'Raw Orders'!A43,'Raw Orders'!$C$2:$C43,"Product",'Raw Orders'!$K$2:$K43,"Fulfilled")=1),1,0)</f>
        <v>0</v>
      </c>
      <c r="E46" s="31" t="n">
        <f aca="false">IF(AND('Raw Orders'!C43="Product",'Raw Orders'!K43="Fulfilled"),'Raw Orders'!E43,0)</f>
        <v>0</v>
      </c>
      <c r="F46" s="32" t="n">
        <f aca="false">IF('Raw Orders'!K43="Refunded",'Raw Orders'!G43,0)</f>
        <v>0</v>
      </c>
    </row>
    <row r="47" customFormat="false" ht="15" hidden="false" customHeight="false" outlineLevel="0" collapsed="false">
      <c r="A47" s="36" t="n">
        <f aca="false">IF('Raw Orders'!B44="","",IF(MID('Raw Orders'!B44,5,1)="-",DATE(VALUE(LEFT('Raw Orders'!B44,4)),VALUE(MID('Raw Orders'!B44,6,2)),VALUE(MID('Raw Orders'!B44,9,2))),DATE(VALUE(MID('Raw Orders'!B44,7,4)),VALUE(MID('Raw Orders'!B44,4,2)),VALUE(LEFT('Raw Orders'!B44,2)))))</f>
        <v>46148</v>
      </c>
      <c r="B47" s="36" t="n">
        <f aca="false">IF(A47="","",A47-WEEKDAY(A47,3))</f>
        <v>46146</v>
      </c>
      <c r="C47" s="32" t="n">
        <f aca="false">IF(OR('Raw Orders'!C44&lt;&gt;"Product",'Raw Orders'!K44="Cancelled"),0,'Raw Orders'!G44)</f>
        <v>0</v>
      </c>
      <c r="D47" s="31" t="n">
        <f aca="false">IF(AND('Raw Orders'!C44="Product",'Raw Orders'!K44="Fulfilled",COUNTIFS('Raw Orders'!$A$2:$A44,'Raw Orders'!A44,'Raw Orders'!$C$2:$C44,"Product",'Raw Orders'!$K$2:$K44,"Fulfilled")=1),1,0)</f>
        <v>0</v>
      </c>
      <c r="E47" s="31" t="n">
        <f aca="false">IF(AND('Raw Orders'!C44="Product",'Raw Orders'!K44="Fulfilled"),'Raw Orders'!E44,0)</f>
        <v>0</v>
      </c>
      <c r="F47" s="32" t="n">
        <f aca="false">IF('Raw Orders'!K44="Refunded",'Raw Orders'!G44,0)</f>
        <v>0</v>
      </c>
    </row>
    <row r="48" customFormat="false" ht="15" hidden="false" customHeight="false" outlineLevel="0" collapsed="false">
      <c r="A48" s="36" t="n">
        <f aca="false">IF('Raw Orders'!B45="","",IF(MID('Raw Orders'!B45,5,1)="-",DATE(VALUE(LEFT('Raw Orders'!B45,4)),VALUE(MID('Raw Orders'!B45,6,2)),VALUE(MID('Raw Orders'!B45,9,2))),DATE(VALUE(MID('Raw Orders'!B45,7,4)),VALUE(MID('Raw Orders'!B45,4,2)),VALUE(LEFT('Raw Orders'!B45,2)))))</f>
        <v>46148</v>
      </c>
      <c r="B48" s="36" t="n">
        <f aca="false">IF(A48="","",A48-WEEKDAY(A48,3))</f>
        <v>46146</v>
      </c>
      <c r="C48" s="32" t="n">
        <f aca="false">IF(OR('Raw Orders'!C45&lt;&gt;"Product",'Raw Orders'!K45="Cancelled"),0,'Raw Orders'!G45)</f>
        <v>0</v>
      </c>
      <c r="D48" s="31" t="n">
        <f aca="false">IF(AND('Raw Orders'!C45="Product",'Raw Orders'!K45="Fulfilled",COUNTIFS('Raw Orders'!$A$2:$A45,'Raw Orders'!A45,'Raw Orders'!$C$2:$C45,"Product",'Raw Orders'!$K$2:$K45,"Fulfilled")=1),1,0)</f>
        <v>0</v>
      </c>
      <c r="E48" s="31" t="n">
        <f aca="false">IF(AND('Raw Orders'!C45="Product",'Raw Orders'!K45="Fulfilled"),'Raw Orders'!E45,0)</f>
        <v>0</v>
      </c>
      <c r="F48" s="32" t="n">
        <f aca="false">IF('Raw Orders'!K45="Refunded",'Raw Orders'!G45,0)</f>
        <v>0</v>
      </c>
    </row>
    <row r="49" customFormat="false" ht="15" hidden="false" customHeight="false" outlineLevel="0" collapsed="false">
      <c r="A49" s="36" t="n">
        <f aca="false">IF('Raw Orders'!B46="","",IF(MID('Raw Orders'!B46,5,1)="-",DATE(VALUE(LEFT('Raw Orders'!B46,4)),VALUE(MID('Raw Orders'!B46,6,2)),VALUE(MID('Raw Orders'!B46,9,2))),DATE(VALUE(MID('Raw Orders'!B46,7,4)),VALUE(MID('Raw Orders'!B46,4,2)),VALUE(LEFT('Raw Orders'!B46,2)))))</f>
        <v>46148</v>
      </c>
      <c r="B49" s="36" t="n">
        <f aca="false">IF(A49="","",A49-WEEKDAY(A49,3))</f>
        <v>46146</v>
      </c>
      <c r="C49" s="32" t="n">
        <f aca="false">IF(OR('Raw Orders'!C46&lt;&gt;"Product",'Raw Orders'!K46="Cancelled"),0,'Raw Orders'!G46)</f>
        <v>32</v>
      </c>
      <c r="D49" s="31" t="n">
        <f aca="false">IF(AND('Raw Orders'!C46="Product",'Raw Orders'!K46="Fulfilled",COUNTIFS('Raw Orders'!$A$2:$A46,'Raw Orders'!A46,'Raw Orders'!$C$2:$C46,"Product",'Raw Orders'!$K$2:$K46,"Fulfilled")=1),1,0)</f>
        <v>1</v>
      </c>
      <c r="E49" s="31" t="n">
        <f aca="false">IF(AND('Raw Orders'!C46="Product",'Raw Orders'!K46="Fulfilled"),'Raw Orders'!E46,0)</f>
        <v>1</v>
      </c>
      <c r="F49" s="32" t="n">
        <f aca="false">IF('Raw Orders'!K46="Refunded",'Raw Orders'!G46,0)</f>
        <v>0</v>
      </c>
    </row>
    <row r="50" customFormat="false" ht="15" hidden="false" customHeight="false" outlineLevel="0" collapsed="false">
      <c r="A50" s="36" t="n">
        <f aca="false">IF('Raw Orders'!B47="","",IF(MID('Raw Orders'!B47,5,1)="-",DATE(VALUE(LEFT('Raw Orders'!B47,4)),VALUE(MID('Raw Orders'!B47,6,2)),VALUE(MID('Raw Orders'!B47,9,2))),DATE(VALUE(MID('Raw Orders'!B47,7,4)),VALUE(MID('Raw Orders'!B47,4,2)),VALUE(LEFT('Raw Orders'!B47,2)))))</f>
        <v>46148</v>
      </c>
      <c r="B50" s="36" t="n">
        <f aca="false">IF(A50="","",A50-WEEKDAY(A50,3))</f>
        <v>46146</v>
      </c>
      <c r="C50" s="32" t="n">
        <f aca="false">IF(OR('Raw Orders'!C47&lt;&gt;"Product",'Raw Orders'!K47="Cancelled"),0,'Raw Orders'!G47)</f>
        <v>29</v>
      </c>
      <c r="D50" s="31" t="n">
        <f aca="false">IF(AND('Raw Orders'!C47="Product",'Raw Orders'!K47="Fulfilled",COUNTIFS('Raw Orders'!$A$2:$A47,'Raw Orders'!A47,'Raw Orders'!$C$2:$C47,"Product",'Raw Orders'!$K$2:$K47,"Fulfilled")=1),1,0)</f>
        <v>0</v>
      </c>
      <c r="E50" s="31" t="n">
        <f aca="false">IF(AND('Raw Orders'!C47="Product",'Raw Orders'!K47="Fulfilled"),'Raw Orders'!E47,0)</f>
        <v>1</v>
      </c>
      <c r="F50" s="32" t="n">
        <f aca="false">IF('Raw Orders'!K47="Refunded",'Raw Orders'!G47,0)</f>
        <v>0</v>
      </c>
    </row>
    <row r="51" customFormat="false" ht="15" hidden="false" customHeight="false" outlineLevel="0" collapsed="false">
      <c r="A51" s="36" t="n">
        <f aca="false">IF('Raw Orders'!B48="","",IF(MID('Raw Orders'!B48,5,1)="-",DATE(VALUE(LEFT('Raw Orders'!B48,4)),VALUE(MID('Raw Orders'!B48,6,2)),VALUE(MID('Raw Orders'!B48,9,2))),DATE(VALUE(MID('Raw Orders'!B48,7,4)),VALUE(MID('Raw Orders'!B48,4,2)),VALUE(LEFT('Raw Orders'!B48,2)))))</f>
        <v>46148</v>
      </c>
      <c r="B51" s="36" t="n">
        <f aca="false">IF(A51="","",A51-WEEKDAY(A51,3))</f>
        <v>46146</v>
      </c>
      <c r="C51" s="32" t="n">
        <f aca="false">IF(OR('Raw Orders'!C48&lt;&gt;"Product",'Raw Orders'!K48="Cancelled"),0,'Raw Orders'!G48)</f>
        <v>28</v>
      </c>
      <c r="D51" s="31" t="n">
        <f aca="false">IF(AND('Raw Orders'!C48="Product",'Raw Orders'!K48="Fulfilled",COUNTIFS('Raw Orders'!$A$2:$A48,'Raw Orders'!A48,'Raw Orders'!$C$2:$C48,"Product",'Raw Orders'!$K$2:$K48,"Fulfilled")=1),1,0)</f>
        <v>1</v>
      </c>
      <c r="E51" s="31" t="n">
        <f aca="false">IF(AND('Raw Orders'!C48="Product",'Raw Orders'!K48="Fulfilled"),'Raw Orders'!E48,0)</f>
        <v>2</v>
      </c>
      <c r="F51" s="32" t="n">
        <f aca="false">IF('Raw Orders'!K48="Refunded",'Raw Orders'!G48,0)</f>
        <v>0</v>
      </c>
    </row>
    <row r="52" customFormat="false" ht="15" hidden="false" customHeight="false" outlineLevel="0" collapsed="false">
      <c r="A52" s="36" t="n">
        <f aca="false">IF('Raw Orders'!B49="","",IF(MID('Raw Orders'!B49,5,1)="-",DATE(VALUE(LEFT('Raw Orders'!B49,4)),VALUE(MID('Raw Orders'!B49,6,2)),VALUE(MID('Raw Orders'!B49,9,2))),DATE(VALUE(MID('Raw Orders'!B49,7,4)),VALUE(MID('Raw Orders'!B49,4,2)),VALUE(LEFT('Raw Orders'!B49,2)))))</f>
        <v>46148</v>
      </c>
      <c r="B52" s="36" t="n">
        <f aca="false">IF(A52="","",A52-WEEKDAY(A52,3))</f>
        <v>46146</v>
      </c>
      <c r="C52" s="32" t="n">
        <f aca="false">IF(OR('Raw Orders'!C49&lt;&gt;"Product",'Raw Orders'!K49="Cancelled"),0,'Raw Orders'!G49)</f>
        <v>35</v>
      </c>
      <c r="D52" s="31" t="n">
        <f aca="false">IF(AND('Raw Orders'!C49="Product",'Raw Orders'!K49="Fulfilled",COUNTIFS('Raw Orders'!$A$2:$A49,'Raw Orders'!A49,'Raw Orders'!$C$2:$C49,"Product",'Raw Orders'!$K$2:$K49,"Fulfilled")=1),1,0)</f>
        <v>1</v>
      </c>
      <c r="E52" s="31" t="n">
        <f aca="false">IF(AND('Raw Orders'!C49="Product",'Raw Orders'!K49="Fulfilled"),'Raw Orders'!E49,0)</f>
        <v>1</v>
      </c>
      <c r="F52" s="32" t="n">
        <f aca="false">IF('Raw Orders'!K49="Refunded",'Raw Orders'!G49,0)</f>
        <v>0</v>
      </c>
    </row>
    <row r="53" customFormat="false" ht="15" hidden="false" customHeight="false" outlineLevel="0" collapsed="false">
      <c r="A53" s="36" t="n">
        <f aca="false">IF('Raw Orders'!B50="","",IF(MID('Raw Orders'!B50,5,1)="-",DATE(VALUE(LEFT('Raw Orders'!B50,4)),VALUE(MID('Raw Orders'!B50,6,2)),VALUE(MID('Raw Orders'!B50,9,2))),DATE(VALUE(MID('Raw Orders'!B50,7,4)),VALUE(MID('Raw Orders'!B50,4,2)),VALUE(LEFT('Raw Orders'!B50,2)))))</f>
        <v>46148</v>
      </c>
      <c r="B53" s="36" t="n">
        <f aca="false">IF(A53="","",A53-WEEKDAY(A53,3))</f>
        <v>46146</v>
      </c>
      <c r="C53" s="32" t="n">
        <f aca="false">IF(OR('Raw Orders'!C50&lt;&gt;"Product",'Raw Orders'!K50="Cancelled"),0,'Raw Orders'!G50)</f>
        <v>202.5</v>
      </c>
      <c r="D53" s="31" t="n">
        <f aca="false">IF(AND('Raw Orders'!C50="Product",'Raw Orders'!K50="Fulfilled",COUNTIFS('Raw Orders'!$A$2:$A50,'Raw Orders'!A50,'Raw Orders'!$C$2:$C50,"Product",'Raw Orders'!$K$2:$K50,"Fulfilled")=1),1,0)</f>
        <v>0</v>
      </c>
      <c r="E53" s="31" t="n">
        <f aca="false">IF(AND('Raw Orders'!C50="Product",'Raw Orders'!K50="Fulfilled"),'Raw Orders'!E50,0)</f>
        <v>3</v>
      </c>
      <c r="F53" s="32" t="n">
        <f aca="false">IF('Raw Orders'!K50="Refunded",'Raw Orders'!G50,0)</f>
        <v>0</v>
      </c>
    </row>
    <row r="54" customFormat="false" ht="15" hidden="false" customHeight="false" outlineLevel="0" collapsed="false">
      <c r="A54" s="36" t="n">
        <f aca="false">IF('Raw Orders'!B51="","",IF(MID('Raw Orders'!B51,5,1)="-",DATE(VALUE(LEFT('Raw Orders'!B51,4)),VALUE(MID('Raw Orders'!B51,6,2)),VALUE(MID('Raw Orders'!B51,9,2))),DATE(VALUE(MID('Raw Orders'!B51,7,4)),VALUE(MID('Raw Orders'!B51,4,2)),VALUE(LEFT('Raw Orders'!B51,2)))))</f>
        <v>46148</v>
      </c>
      <c r="B54" s="36" t="n">
        <f aca="false">IF(A54="","",A54-WEEKDAY(A54,3))</f>
        <v>46146</v>
      </c>
      <c r="C54" s="32" t="n">
        <f aca="false">IF(OR('Raw Orders'!C51&lt;&gt;"Product",'Raw Orders'!K51="Cancelled"),0,'Raw Orders'!G51)</f>
        <v>0</v>
      </c>
      <c r="D54" s="31" t="n">
        <f aca="false">IF(AND('Raw Orders'!C51="Product",'Raw Orders'!K51="Fulfilled",COUNTIFS('Raw Orders'!$A$2:$A51,'Raw Orders'!A51,'Raw Orders'!$C$2:$C51,"Product",'Raw Orders'!$K$2:$K51,"Fulfilled")=1),1,0)</f>
        <v>0</v>
      </c>
      <c r="E54" s="31" t="n">
        <f aca="false">IF(AND('Raw Orders'!C51="Product",'Raw Orders'!K51="Fulfilled"),'Raw Orders'!E51,0)</f>
        <v>0</v>
      </c>
      <c r="F54" s="32" t="n">
        <f aca="false">IF('Raw Orders'!K51="Refunded",'Raw Orders'!G51,0)</f>
        <v>0</v>
      </c>
    </row>
    <row r="55" customFormat="false" ht="15" hidden="false" customHeight="false" outlineLevel="0" collapsed="false">
      <c r="A55" s="36" t="n">
        <f aca="false">IF('Raw Orders'!B52="","",IF(MID('Raw Orders'!B52,5,1)="-",DATE(VALUE(LEFT('Raw Orders'!B52,4)),VALUE(MID('Raw Orders'!B52,6,2)),VALUE(MID('Raw Orders'!B52,9,2))),DATE(VALUE(MID('Raw Orders'!B52,7,4)),VALUE(MID('Raw Orders'!B52,4,2)),VALUE(LEFT('Raw Orders'!B52,2)))))</f>
        <v>46148</v>
      </c>
      <c r="B55" s="36" t="n">
        <f aca="false">IF(A55="","",A55-WEEKDAY(A55,3))</f>
        <v>46146</v>
      </c>
      <c r="C55" s="32" t="n">
        <f aca="false">IF(OR('Raw Orders'!C52&lt;&gt;"Product",'Raw Orders'!K52="Cancelled"),0,'Raw Orders'!G52)</f>
        <v>0</v>
      </c>
      <c r="D55" s="31" t="n">
        <f aca="false">IF(AND('Raw Orders'!C52="Product",'Raw Orders'!K52="Fulfilled",COUNTIFS('Raw Orders'!$A$2:$A52,'Raw Orders'!A52,'Raw Orders'!$C$2:$C52,"Product",'Raw Orders'!$K$2:$K52,"Fulfilled")=1),1,0)</f>
        <v>0</v>
      </c>
      <c r="E55" s="31" t="n">
        <f aca="false">IF(AND('Raw Orders'!C52="Product",'Raw Orders'!K52="Fulfilled"),'Raw Orders'!E52,0)</f>
        <v>0</v>
      </c>
      <c r="F55" s="32" t="n">
        <f aca="false">IF('Raw Orders'!K52="Refunded",'Raw Orders'!G52,0)</f>
        <v>0</v>
      </c>
    </row>
    <row r="56" customFormat="false" ht="15" hidden="false" customHeight="false" outlineLevel="0" collapsed="false">
      <c r="A56" s="36" t="n">
        <f aca="false">IF('Raw Orders'!B53="","",IF(MID('Raw Orders'!B53,5,1)="-",DATE(VALUE(LEFT('Raw Orders'!B53,4)),VALUE(MID('Raw Orders'!B53,6,2)),VALUE(MID('Raw Orders'!B53,9,2))),DATE(VALUE(MID('Raw Orders'!B53,7,4)),VALUE(MID('Raw Orders'!B53,4,2)),VALUE(LEFT('Raw Orders'!B53,2)))))</f>
        <v>46148</v>
      </c>
      <c r="B56" s="36" t="n">
        <f aca="false">IF(A56="","",A56-WEEKDAY(A56,3))</f>
        <v>46146</v>
      </c>
      <c r="C56" s="32" t="n">
        <f aca="false">IF(OR('Raw Orders'!C53&lt;&gt;"Product",'Raw Orders'!K53="Cancelled"),0,'Raw Orders'!G53)</f>
        <v>45</v>
      </c>
      <c r="D56" s="31" t="n">
        <f aca="false">IF(AND('Raw Orders'!C53="Product",'Raw Orders'!K53="Fulfilled",COUNTIFS('Raw Orders'!$A$2:$A53,'Raw Orders'!A53,'Raw Orders'!$C$2:$C53,"Product",'Raw Orders'!$K$2:$K53,"Fulfilled")=1),1,0)</f>
        <v>1</v>
      </c>
      <c r="E56" s="31" t="n">
        <f aca="false">IF(AND('Raw Orders'!C53="Product",'Raw Orders'!K53="Fulfilled"),'Raw Orders'!E53,0)</f>
        <v>1</v>
      </c>
      <c r="F56" s="32" t="n">
        <f aca="false">IF('Raw Orders'!K53="Refunded",'Raw Orders'!G53,0)</f>
        <v>0</v>
      </c>
    </row>
    <row r="57" customFormat="false" ht="15" hidden="false" customHeight="false" outlineLevel="0" collapsed="false">
      <c r="A57" s="36" t="n">
        <f aca="false">IF('Raw Orders'!B54="","",IF(MID('Raw Orders'!B54,5,1)="-",DATE(VALUE(LEFT('Raw Orders'!B54,4)),VALUE(MID('Raw Orders'!B54,6,2)),VALUE(MID('Raw Orders'!B54,9,2))),DATE(VALUE(MID('Raw Orders'!B54,7,4)),VALUE(MID('Raw Orders'!B54,4,2)),VALUE(LEFT('Raw Orders'!B54,2)))))</f>
        <v>46148</v>
      </c>
      <c r="B57" s="36" t="n">
        <f aca="false">IF(A57="","",A57-WEEKDAY(A57,3))</f>
        <v>46146</v>
      </c>
      <c r="C57" s="32" t="n">
        <f aca="false">IF(OR('Raw Orders'!C54&lt;&gt;"Product",'Raw Orders'!K54="Cancelled"),0,'Raw Orders'!G54)</f>
        <v>0</v>
      </c>
      <c r="D57" s="31" t="n">
        <f aca="false">IF(AND('Raw Orders'!C54="Product",'Raw Orders'!K54="Fulfilled",COUNTIFS('Raw Orders'!$A$2:$A54,'Raw Orders'!A54,'Raw Orders'!$C$2:$C54,"Product",'Raw Orders'!$K$2:$K54,"Fulfilled")=1),1,0)</f>
        <v>0</v>
      </c>
      <c r="E57" s="31" t="n">
        <f aca="false">IF(AND('Raw Orders'!C54="Product",'Raw Orders'!K54="Fulfilled"),'Raw Orders'!E54,0)</f>
        <v>0</v>
      </c>
      <c r="F57" s="32" t="n">
        <f aca="false">IF('Raw Orders'!K54="Refunded",'Raw Orders'!G54,0)</f>
        <v>0</v>
      </c>
    </row>
    <row r="58" customFormat="false" ht="15" hidden="false" customHeight="false" outlineLevel="0" collapsed="false">
      <c r="A58" s="36" t="n">
        <f aca="false">IF('Raw Orders'!B55="","",IF(MID('Raw Orders'!B55,5,1)="-",DATE(VALUE(LEFT('Raw Orders'!B55,4)),VALUE(MID('Raw Orders'!B55,6,2)),VALUE(MID('Raw Orders'!B55,9,2))),DATE(VALUE(MID('Raw Orders'!B55,7,4)),VALUE(MID('Raw Orders'!B55,4,2)),VALUE(LEFT('Raw Orders'!B55,2)))))</f>
        <v>46148</v>
      </c>
      <c r="B58" s="36" t="n">
        <f aca="false">IF(A58="","",A58-WEEKDAY(A58,3))</f>
        <v>46146</v>
      </c>
      <c r="C58" s="32" t="n">
        <f aca="false">IF(OR('Raw Orders'!C55&lt;&gt;"Product",'Raw Orders'!K55="Cancelled"),0,'Raw Orders'!G55)</f>
        <v>0</v>
      </c>
      <c r="D58" s="31" t="n">
        <f aca="false">IF(AND('Raw Orders'!C55="Product",'Raw Orders'!K55="Fulfilled",COUNTIFS('Raw Orders'!$A$2:$A55,'Raw Orders'!A55,'Raw Orders'!$C$2:$C55,"Product",'Raw Orders'!$K$2:$K55,"Fulfilled")=1),1,0)</f>
        <v>0</v>
      </c>
      <c r="E58" s="31" t="n">
        <f aca="false">IF(AND('Raw Orders'!C55="Product",'Raw Orders'!K55="Fulfilled"),'Raw Orders'!E55,0)</f>
        <v>0</v>
      </c>
      <c r="F58" s="32" t="n">
        <f aca="false">IF('Raw Orders'!K55="Refunded",'Raw Orders'!G55,0)</f>
        <v>0</v>
      </c>
    </row>
    <row r="59" customFormat="false" ht="15" hidden="false" customHeight="false" outlineLevel="0" collapsed="false">
      <c r="A59" s="36" t="n">
        <f aca="false">IF('Raw Orders'!B56="","",IF(MID('Raw Orders'!B56,5,1)="-",DATE(VALUE(LEFT('Raw Orders'!B56,4)),VALUE(MID('Raw Orders'!B56,6,2)),VALUE(MID('Raw Orders'!B56,9,2))),DATE(VALUE(MID('Raw Orders'!B56,7,4)),VALUE(MID('Raw Orders'!B56,4,2)),VALUE(LEFT('Raw Orders'!B56,2)))))</f>
        <v>46148</v>
      </c>
      <c r="B59" s="36" t="n">
        <f aca="false">IF(A59="","",A59-WEEKDAY(A59,3))</f>
        <v>46146</v>
      </c>
      <c r="C59" s="32" t="n">
        <f aca="false">IF(OR('Raw Orders'!C56&lt;&gt;"Product",'Raw Orders'!K56="Cancelled"),0,'Raw Orders'!G56)</f>
        <v>151.3</v>
      </c>
      <c r="D59" s="31" t="n">
        <f aca="false">IF(AND('Raw Orders'!C56="Product",'Raw Orders'!K56="Fulfilled",COUNTIFS('Raw Orders'!$A$2:$A56,'Raw Orders'!A56,'Raw Orders'!$C$2:$C56,"Product",'Raw Orders'!$K$2:$K56,"Fulfilled")=1),1,0)</f>
        <v>0</v>
      </c>
      <c r="E59" s="31" t="n">
        <f aca="false">IF(AND('Raw Orders'!C56="Product",'Raw Orders'!K56="Fulfilled"),'Raw Orders'!E56,0)</f>
        <v>2</v>
      </c>
      <c r="F59" s="32" t="n">
        <f aca="false">IF('Raw Orders'!K56="Refunded",'Raw Orders'!G56,0)</f>
        <v>0</v>
      </c>
    </row>
    <row r="60" customFormat="false" ht="15" hidden="false" customHeight="false" outlineLevel="0" collapsed="false">
      <c r="A60" s="36" t="n">
        <f aca="false">IF('Raw Orders'!B57="","",IF(MID('Raw Orders'!B57,5,1)="-",DATE(VALUE(LEFT('Raw Orders'!B57,4)),VALUE(MID('Raw Orders'!B57,6,2)),VALUE(MID('Raw Orders'!B57,9,2))),DATE(VALUE(MID('Raw Orders'!B57,7,4)),VALUE(MID('Raw Orders'!B57,4,2)),VALUE(LEFT('Raw Orders'!B57,2)))))</f>
        <v>46148</v>
      </c>
      <c r="B60" s="36" t="n">
        <f aca="false">IF(A60="","",A60-WEEKDAY(A60,3))</f>
        <v>46146</v>
      </c>
      <c r="C60" s="32" t="n">
        <f aca="false">IF(OR('Raw Orders'!C57&lt;&gt;"Product",'Raw Orders'!K57="Cancelled"),0,'Raw Orders'!G57)</f>
        <v>35</v>
      </c>
      <c r="D60" s="31" t="n">
        <f aca="false">IF(AND('Raw Orders'!C57="Product",'Raw Orders'!K57="Fulfilled",COUNTIFS('Raw Orders'!$A$2:$A57,'Raw Orders'!A57,'Raw Orders'!$C$2:$C57,"Product",'Raw Orders'!$K$2:$K57,"Fulfilled")=1),1,0)</f>
        <v>1</v>
      </c>
      <c r="E60" s="31" t="n">
        <f aca="false">IF(AND('Raw Orders'!C57="Product",'Raw Orders'!K57="Fulfilled"),'Raw Orders'!E57,0)</f>
        <v>1</v>
      </c>
      <c r="F60" s="32" t="n">
        <f aca="false">IF('Raw Orders'!K57="Refunded",'Raw Orders'!G57,0)</f>
        <v>0</v>
      </c>
    </row>
    <row r="61" customFormat="false" ht="15" hidden="false" customHeight="false" outlineLevel="0" collapsed="false">
      <c r="A61" s="36" t="n">
        <f aca="false">IF('Raw Orders'!B58="","",IF(MID('Raw Orders'!B58,5,1)="-",DATE(VALUE(LEFT('Raw Orders'!B58,4)),VALUE(MID('Raw Orders'!B58,6,2)),VALUE(MID('Raw Orders'!B58,9,2))),DATE(VALUE(MID('Raw Orders'!B58,7,4)),VALUE(MID('Raw Orders'!B58,4,2)),VALUE(LEFT('Raw Orders'!B58,2)))))</f>
        <v>46148</v>
      </c>
      <c r="B61" s="36" t="n">
        <f aca="false">IF(A61="","",A61-WEEKDAY(A61,3))</f>
        <v>46146</v>
      </c>
      <c r="C61" s="32" t="n">
        <f aca="false">IF(OR('Raw Orders'!C58&lt;&gt;"Product",'Raw Orders'!K58="Cancelled"),0,'Raw Orders'!G58)</f>
        <v>29</v>
      </c>
      <c r="D61" s="31" t="n">
        <f aca="false">IF(AND('Raw Orders'!C58="Product",'Raw Orders'!K58="Fulfilled",COUNTIFS('Raw Orders'!$A$2:$A58,'Raw Orders'!A58,'Raw Orders'!$C$2:$C58,"Product",'Raw Orders'!$K$2:$K58,"Fulfilled")=1),1,0)</f>
        <v>0</v>
      </c>
      <c r="E61" s="31" t="n">
        <f aca="false">IF(AND('Raw Orders'!C58="Product",'Raw Orders'!K58="Fulfilled"),'Raw Orders'!E58,0)</f>
        <v>1</v>
      </c>
      <c r="F61" s="32" t="n">
        <f aca="false">IF('Raw Orders'!K58="Refunded",'Raw Orders'!G58,0)</f>
        <v>0</v>
      </c>
    </row>
    <row r="62" customFormat="false" ht="15" hidden="false" customHeight="false" outlineLevel="0" collapsed="false">
      <c r="A62" s="36" t="n">
        <f aca="false">IF('Raw Orders'!B59="","",IF(MID('Raw Orders'!B59,5,1)="-",DATE(VALUE(LEFT('Raw Orders'!B59,4)),VALUE(MID('Raw Orders'!B59,6,2)),VALUE(MID('Raw Orders'!B59,9,2))),DATE(VALUE(MID('Raw Orders'!B59,7,4)),VALUE(MID('Raw Orders'!B59,4,2)),VALUE(LEFT('Raw Orders'!B59,2)))))</f>
        <v>46148</v>
      </c>
      <c r="B62" s="36" t="n">
        <f aca="false">IF(A62="","",A62-WEEKDAY(A62,3))</f>
        <v>46146</v>
      </c>
      <c r="C62" s="32" t="n">
        <f aca="false">IF(OR('Raw Orders'!C59&lt;&gt;"Product",'Raw Orders'!K59="Cancelled"),0,'Raw Orders'!G59)</f>
        <v>22</v>
      </c>
      <c r="D62" s="31" t="n">
        <f aca="false">IF(AND('Raw Orders'!C59="Product",'Raw Orders'!K59="Fulfilled",COUNTIFS('Raw Orders'!$A$2:$A59,'Raw Orders'!A59,'Raw Orders'!$C$2:$C59,"Product",'Raw Orders'!$K$2:$K59,"Fulfilled")=1),1,0)</f>
        <v>0</v>
      </c>
      <c r="E62" s="31" t="n">
        <f aca="false">IF(AND('Raw Orders'!C59="Product",'Raw Orders'!K59="Fulfilled"),'Raw Orders'!E59,0)</f>
        <v>1</v>
      </c>
      <c r="F62" s="32" t="n">
        <f aca="false">IF('Raw Orders'!K59="Refunded",'Raw Orders'!G59,0)</f>
        <v>0</v>
      </c>
    </row>
    <row r="63" customFormat="false" ht="15" hidden="false" customHeight="false" outlineLevel="0" collapsed="false">
      <c r="A63" s="36" t="n">
        <f aca="false">IF('Raw Orders'!B60="","",IF(MID('Raw Orders'!B60,5,1)="-",DATE(VALUE(LEFT('Raw Orders'!B60,4)),VALUE(MID('Raw Orders'!B60,6,2)),VALUE(MID('Raw Orders'!B60,9,2))),DATE(VALUE(MID('Raw Orders'!B60,7,4)),VALUE(MID('Raw Orders'!B60,4,2)),VALUE(LEFT('Raw Orders'!B60,2)))))</f>
        <v>46148</v>
      </c>
      <c r="B63" s="36" t="n">
        <f aca="false">IF(A63="","",A63-WEEKDAY(A63,3))</f>
        <v>46146</v>
      </c>
      <c r="C63" s="32" t="n">
        <f aca="false">IF(OR('Raw Orders'!C60&lt;&gt;"Product",'Raw Orders'!K60="Cancelled"),0,'Raw Orders'!G60)</f>
        <v>0</v>
      </c>
      <c r="D63" s="31" t="n">
        <f aca="false">IF(AND('Raw Orders'!C60="Product",'Raw Orders'!K60="Fulfilled",COUNTIFS('Raw Orders'!$A$2:$A60,'Raw Orders'!A60,'Raw Orders'!$C$2:$C60,"Product",'Raw Orders'!$K$2:$K60,"Fulfilled")=1),1,0)</f>
        <v>0</v>
      </c>
      <c r="E63" s="31" t="n">
        <f aca="false">IF(AND('Raw Orders'!C60="Product",'Raw Orders'!K60="Fulfilled"),'Raw Orders'!E60,0)</f>
        <v>0</v>
      </c>
      <c r="F63" s="32" t="n">
        <f aca="false">IF('Raw Orders'!K60="Refunded",'Raw Orders'!G60,0)</f>
        <v>0</v>
      </c>
    </row>
    <row r="64" customFormat="false" ht="15" hidden="false" customHeight="false" outlineLevel="0" collapsed="false">
      <c r="A64" s="36" t="n">
        <f aca="false">IF('Raw Orders'!B61="","",IF(MID('Raw Orders'!B61,5,1)="-",DATE(VALUE(LEFT('Raw Orders'!B61,4)),VALUE(MID('Raw Orders'!B61,6,2)),VALUE(MID('Raw Orders'!B61,9,2))),DATE(VALUE(MID('Raw Orders'!B61,7,4)),VALUE(MID('Raw Orders'!B61,4,2)),VALUE(LEFT('Raw Orders'!B61,2)))))</f>
        <v>46148</v>
      </c>
      <c r="B64" s="36" t="n">
        <f aca="false">IF(A64="","",A64-WEEKDAY(A64,3))</f>
        <v>46146</v>
      </c>
      <c r="C64" s="32" t="n">
        <f aca="false">IF(OR('Raw Orders'!C61&lt;&gt;"Product",'Raw Orders'!K61="Cancelled"),0,'Raw Orders'!G61)</f>
        <v>78</v>
      </c>
      <c r="D64" s="31" t="n">
        <f aca="false">IF(AND('Raw Orders'!C61="Product",'Raw Orders'!K61="Fulfilled",COUNTIFS('Raw Orders'!$A$2:$A61,'Raw Orders'!A61,'Raw Orders'!$C$2:$C61,"Product",'Raw Orders'!$K$2:$K61,"Fulfilled")=1),1,0)</f>
        <v>1</v>
      </c>
      <c r="E64" s="31" t="n">
        <f aca="false">IF(AND('Raw Orders'!C61="Product",'Raw Orders'!K61="Fulfilled"),'Raw Orders'!E61,0)</f>
        <v>2</v>
      </c>
      <c r="F64" s="32" t="n">
        <f aca="false">IF('Raw Orders'!K61="Refunded",'Raw Orders'!G61,0)</f>
        <v>0</v>
      </c>
    </row>
    <row r="65" customFormat="false" ht="15" hidden="false" customHeight="false" outlineLevel="0" collapsed="false">
      <c r="A65" s="36" t="n">
        <f aca="false">IF('Raw Orders'!B62="","",IF(MID('Raw Orders'!B62,5,1)="-",DATE(VALUE(LEFT('Raw Orders'!B62,4)),VALUE(MID('Raw Orders'!B62,6,2)),VALUE(MID('Raw Orders'!B62,9,2))),DATE(VALUE(MID('Raw Orders'!B62,7,4)),VALUE(MID('Raw Orders'!B62,4,2)),VALUE(LEFT('Raw Orders'!B62,2)))))</f>
        <v>46148</v>
      </c>
      <c r="B65" s="36" t="n">
        <f aca="false">IF(A65="","",A65-WEEKDAY(A65,3))</f>
        <v>46146</v>
      </c>
      <c r="C65" s="32" t="n">
        <f aca="false">IF(OR('Raw Orders'!C62&lt;&gt;"Product",'Raw Orders'!K62="Cancelled"),0,'Raw Orders'!G62)</f>
        <v>29</v>
      </c>
      <c r="D65" s="31" t="n">
        <f aca="false">IF(AND('Raw Orders'!C62="Product",'Raw Orders'!K62="Fulfilled",COUNTIFS('Raw Orders'!$A$2:$A62,'Raw Orders'!A62,'Raw Orders'!$C$2:$C62,"Product",'Raw Orders'!$K$2:$K62,"Fulfilled")=1),1,0)</f>
        <v>0</v>
      </c>
      <c r="E65" s="31" t="n">
        <f aca="false">IF(AND('Raw Orders'!C62="Product",'Raw Orders'!K62="Fulfilled"),'Raw Orders'!E62,0)</f>
        <v>1</v>
      </c>
      <c r="F65" s="32" t="n">
        <f aca="false">IF('Raw Orders'!K62="Refunded",'Raw Orders'!G62,0)</f>
        <v>0</v>
      </c>
    </row>
    <row r="66" customFormat="false" ht="15" hidden="false" customHeight="false" outlineLevel="0" collapsed="false">
      <c r="A66" s="36" t="n">
        <f aca="false">IF('Raw Orders'!B63="","",IF(MID('Raw Orders'!B63,5,1)="-",DATE(VALUE(LEFT('Raw Orders'!B63,4)),VALUE(MID('Raw Orders'!B63,6,2)),VALUE(MID('Raw Orders'!B63,9,2))),DATE(VALUE(MID('Raw Orders'!B63,7,4)),VALUE(MID('Raw Orders'!B63,4,2)),VALUE(LEFT('Raw Orders'!B63,2)))))</f>
        <v>46148</v>
      </c>
      <c r="B66" s="36" t="n">
        <f aca="false">IF(A66="","",A66-WEEKDAY(A66,3))</f>
        <v>46146</v>
      </c>
      <c r="C66" s="32" t="n">
        <f aca="false">IF(OR('Raw Orders'!C63&lt;&gt;"Product",'Raw Orders'!K63="Cancelled"),0,'Raw Orders'!G63)</f>
        <v>0</v>
      </c>
      <c r="D66" s="31" t="n">
        <f aca="false">IF(AND('Raw Orders'!C63="Product",'Raw Orders'!K63="Fulfilled",COUNTIFS('Raw Orders'!$A$2:$A63,'Raw Orders'!A63,'Raw Orders'!$C$2:$C63,"Product",'Raw Orders'!$K$2:$K63,"Fulfilled")=1),1,0)</f>
        <v>0</v>
      </c>
      <c r="E66" s="31" t="n">
        <f aca="false">IF(AND('Raw Orders'!C63="Product",'Raw Orders'!K63="Fulfilled"),'Raw Orders'!E63,0)</f>
        <v>0</v>
      </c>
      <c r="F66" s="32" t="n">
        <f aca="false">IF('Raw Orders'!K63="Refunded",'Raw Orders'!G63,0)</f>
        <v>0</v>
      </c>
    </row>
    <row r="67" customFormat="false" ht="15" hidden="false" customHeight="false" outlineLevel="0" collapsed="false">
      <c r="A67" s="36" t="n">
        <f aca="false">IF('Raw Orders'!B64="","",IF(MID('Raw Orders'!B64,5,1)="-",DATE(VALUE(LEFT('Raw Orders'!B64,4)),VALUE(MID('Raw Orders'!B64,6,2)),VALUE(MID('Raw Orders'!B64,9,2))),DATE(VALUE(MID('Raw Orders'!B64,7,4)),VALUE(MID('Raw Orders'!B64,4,2)),VALUE(LEFT('Raw Orders'!B64,2)))))</f>
        <v>46148</v>
      </c>
      <c r="B67" s="36" t="n">
        <f aca="false">IF(A67="","",A67-WEEKDAY(A67,3))</f>
        <v>46146</v>
      </c>
      <c r="C67" s="32" t="n">
        <f aca="false">IF(OR('Raw Orders'!C64&lt;&gt;"Product",'Raw Orders'!K64="Cancelled"),0,'Raw Orders'!G64)</f>
        <v>39</v>
      </c>
      <c r="D67" s="31" t="n">
        <f aca="false">IF(AND('Raw Orders'!C64="Product",'Raw Orders'!K64="Fulfilled",COUNTIFS('Raw Orders'!$A$2:$A64,'Raw Orders'!A64,'Raw Orders'!$C$2:$C64,"Product",'Raw Orders'!$K$2:$K64,"Fulfilled")=1),1,0)</f>
        <v>1</v>
      </c>
      <c r="E67" s="31" t="n">
        <f aca="false">IF(AND('Raw Orders'!C64="Product",'Raw Orders'!K64="Fulfilled"),'Raw Orders'!E64,0)</f>
        <v>1</v>
      </c>
      <c r="F67" s="32" t="n">
        <f aca="false">IF('Raw Orders'!K64="Refunded",'Raw Orders'!G64,0)</f>
        <v>0</v>
      </c>
    </row>
    <row r="68" customFormat="false" ht="15" hidden="false" customHeight="false" outlineLevel="0" collapsed="false">
      <c r="A68" s="36" t="n">
        <f aca="false">IF('Raw Orders'!B65="","",IF(MID('Raw Orders'!B65,5,1)="-",DATE(VALUE(LEFT('Raw Orders'!B65,4)),VALUE(MID('Raw Orders'!B65,6,2)),VALUE(MID('Raw Orders'!B65,9,2))),DATE(VALUE(MID('Raw Orders'!B65,7,4)),VALUE(MID('Raw Orders'!B65,4,2)),VALUE(LEFT('Raw Orders'!B65,2)))))</f>
        <v>46148</v>
      </c>
      <c r="B68" s="36" t="n">
        <f aca="false">IF(A68="","",A68-WEEKDAY(A68,3))</f>
        <v>46146</v>
      </c>
      <c r="C68" s="32" t="n">
        <f aca="false">IF(OR('Raw Orders'!C65&lt;&gt;"Product",'Raw Orders'!K65="Cancelled"),0,'Raw Orders'!G65)</f>
        <v>89</v>
      </c>
      <c r="D68" s="31" t="n">
        <f aca="false">IF(AND('Raw Orders'!C65="Product",'Raw Orders'!K65="Fulfilled",COUNTIFS('Raw Orders'!$A$2:$A65,'Raw Orders'!A65,'Raw Orders'!$C$2:$C65,"Product",'Raw Orders'!$K$2:$K65,"Fulfilled")=1),1,0)</f>
        <v>0</v>
      </c>
      <c r="E68" s="31" t="n">
        <f aca="false">IF(AND('Raw Orders'!C65="Product",'Raw Orders'!K65="Fulfilled"),'Raw Orders'!E65,0)</f>
        <v>1</v>
      </c>
      <c r="F68" s="32" t="n">
        <f aca="false">IF('Raw Orders'!K65="Refunded",'Raw Orders'!G65,0)</f>
        <v>0</v>
      </c>
    </row>
    <row r="69" customFormat="false" ht="15" hidden="false" customHeight="false" outlineLevel="0" collapsed="false">
      <c r="A69" s="36" t="n">
        <f aca="false">IF('Raw Orders'!B66="","",IF(MID('Raw Orders'!B66,5,1)="-",DATE(VALUE(LEFT('Raw Orders'!B66,4)),VALUE(MID('Raw Orders'!B66,6,2)),VALUE(MID('Raw Orders'!B66,9,2))),DATE(VALUE(MID('Raw Orders'!B66,7,4)),VALUE(MID('Raw Orders'!B66,4,2)),VALUE(LEFT('Raw Orders'!B66,2)))))</f>
        <v>46148</v>
      </c>
      <c r="B69" s="36" t="n">
        <f aca="false">IF(A69="","",A69-WEEKDAY(A69,3))</f>
        <v>46146</v>
      </c>
      <c r="C69" s="32" t="n">
        <f aca="false">IF(OR('Raw Orders'!C66&lt;&gt;"Product",'Raw Orders'!K66="Cancelled"),0,'Raw Orders'!G66)</f>
        <v>52</v>
      </c>
      <c r="D69" s="31" t="n">
        <f aca="false">IF(AND('Raw Orders'!C66="Product",'Raw Orders'!K66="Fulfilled",COUNTIFS('Raw Orders'!$A$2:$A66,'Raw Orders'!A66,'Raw Orders'!$C$2:$C66,"Product",'Raw Orders'!$K$2:$K66,"Fulfilled")=1),1,0)</f>
        <v>1</v>
      </c>
      <c r="E69" s="31" t="n">
        <f aca="false">IF(AND('Raw Orders'!C66="Product",'Raw Orders'!K66="Fulfilled"),'Raw Orders'!E66,0)</f>
        <v>2</v>
      </c>
      <c r="F69" s="32" t="n">
        <f aca="false">IF('Raw Orders'!K66="Refunded",'Raw Orders'!G66,0)</f>
        <v>0</v>
      </c>
    </row>
    <row r="70" customFormat="false" ht="15" hidden="false" customHeight="false" outlineLevel="0" collapsed="false">
      <c r="A70" s="36" t="n">
        <f aca="false">IF('Raw Orders'!B67="","",IF(MID('Raw Orders'!B67,5,1)="-",DATE(VALUE(LEFT('Raw Orders'!B67,4)),VALUE(MID('Raw Orders'!B67,6,2)),VALUE(MID('Raw Orders'!B67,9,2))),DATE(VALUE(MID('Raw Orders'!B67,7,4)),VALUE(MID('Raw Orders'!B67,4,2)),VALUE(LEFT('Raw Orders'!B67,2)))))</f>
        <v>46148</v>
      </c>
      <c r="B70" s="36" t="n">
        <f aca="false">IF(A70="","",A70-WEEKDAY(A70,3))</f>
        <v>46146</v>
      </c>
      <c r="C70" s="32" t="n">
        <f aca="false">IF(OR('Raw Orders'!C67&lt;&gt;"Product",'Raw Orders'!K67="Cancelled"),0,'Raw Orders'!G67)</f>
        <v>0</v>
      </c>
      <c r="D70" s="31" t="n">
        <f aca="false">IF(AND('Raw Orders'!C67="Product",'Raw Orders'!K67="Fulfilled",COUNTIFS('Raw Orders'!$A$2:$A67,'Raw Orders'!A67,'Raw Orders'!$C$2:$C67,"Product",'Raw Orders'!$K$2:$K67,"Fulfilled")=1),1,0)</f>
        <v>0</v>
      </c>
      <c r="E70" s="31" t="n">
        <f aca="false">IF(AND('Raw Orders'!C67="Product",'Raw Orders'!K67="Fulfilled"),'Raw Orders'!E67,0)</f>
        <v>0</v>
      </c>
      <c r="F70" s="32" t="n">
        <f aca="false">IF('Raw Orders'!K67="Refunded",'Raw Orders'!G67,0)</f>
        <v>0</v>
      </c>
    </row>
    <row r="71" customFormat="false" ht="15" hidden="false" customHeight="false" outlineLevel="0" collapsed="false">
      <c r="A71" s="36" t="n">
        <f aca="false">IF('Raw Orders'!B68="","",IF(MID('Raw Orders'!B68,5,1)="-",DATE(VALUE(LEFT('Raw Orders'!B68,4)),VALUE(MID('Raw Orders'!B68,6,2)),VALUE(MID('Raw Orders'!B68,9,2))),DATE(VALUE(MID('Raw Orders'!B68,7,4)),VALUE(MID('Raw Orders'!B68,4,2)),VALUE(LEFT('Raw Orders'!B68,2)))))</f>
        <v>46148</v>
      </c>
      <c r="B71" s="36" t="n">
        <f aca="false">IF(A71="","",A71-WEEKDAY(A71,3))</f>
        <v>46146</v>
      </c>
      <c r="C71" s="32" t="n">
        <f aca="false">IF(OR('Raw Orders'!C68&lt;&gt;"Product",'Raw Orders'!K68="Cancelled"),0,'Raw Orders'!G68)</f>
        <v>45</v>
      </c>
      <c r="D71" s="31" t="n">
        <f aca="false">IF(AND('Raw Orders'!C68="Product",'Raw Orders'!K68="Fulfilled",COUNTIFS('Raw Orders'!$A$2:$A68,'Raw Orders'!A68,'Raw Orders'!$C$2:$C68,"Product",'Raw Orders'!$K$2:$K68,"Fulfilled")=1),1,0)</f>
        <v>1</v>
      </c>
      <c r="E71" s="31" t="n">
        <f aca="false">IF(AND('Raw Orders'!C68="Product",'Raw Orders'!K68="Fulfilled"),'Raw Orders'!E68,0)</f>
        <v>1</v>
      </c>
      <c r="F71" s="32" t="n">
        <f aca="false">IF('Raw Orders'!K68="Refunded",'Raw Orders'!G68,0)</f>
        <v>0</v>
      </c>
    </row>
    <row r="72" customFormat="false" ht="15" hidden="false" customHeight="false" outlineLevel="0" collapsed="false">
      <c r="A72" s="36" t="n">
        <f aca="false">IF('Raw Orders'!B69="","",IF(MID('Raw Orders'!B69,5,1)="-",DATE(VALUE(LEFT('Raw Orders'!B69,4)),VALUE(MID('Raw Orders'!B69,6,2)),VALUE(MID('Raw Orders'!B69,9,2))),DATE(VALUE(MID('Raw Orders'!B69,7,4)),VALUE(MID('Raw Orders'!B69,4,2)),VALUE(LEFT('Raw Orders'!B69,2)))))</f>
        <v>46148</v>
      </c>
      <c r="B72" s="36" t="n">
        <f aca="false">IF(A72="","",A72-WEEKDAY(A72,3))</f>
        <v>46146</v>
      </c>
      <c r="C72" s="32" t="n">
        <f aca="false">IF(OR('Raw Orders'!C69&lt;&gt;"Product",'Raw Orders'!K69="Cancelled"),0,'Raw Orders'!G69)</f>
        <v>178</v>
      </c>
      <c r="D72" s="31" t="n">
        <f aca="false">IF(AND('Raw Orders'!C69="Product",'Raw Orders'!K69="Fulfilled",COUNTIFS('Raw Orders'!$A$2:$A69,'Raw Orders'!A69,'Raw Orders'!$C$2:$C69,"Product",'Raw Orders'!$K$2:$K69,"Fulfilled")=1),1,0)</f>
        <v>0</v>
      </c>
      <c r="E72" s="31" t="n">
        <f aca="false">IF(AND('Raw Orders'!C69="Product",'Raw Orders'!K69="Fulfilled"),'Raw Orders'!E69,0)</f>
        <v>2</v>
      </c>
      <c r="F72" s="32" t="n">
        <f aca="false">IF('Raw Orders'!K69="Refunded",'Raw Orders'!G69,0)</f>
        <v>0</v>
      </c>
    </row>
    <row r="73" customFormat="false" ht="15" hidden="false" customHeight="false" outlineLevel="0" collapsed="false">
      <c r="A73" s="36" t="n">
        <f aca="false">IF('Raw Orders'!B70="","",IF(MID('Raw Orders'!B70,5,1)="-",DATE(VALUE(LEFT('Raw Orders'!B70,4)),VALUE(MID('Raw Orders'!B70,6,2)),VALUE(MID('Raw Orders'!B70,9,2))),DATE(VALUE(MID('Raw Orders'!B70,7,4)),VALUE(MID('Raw Orders'!B70,4,2)),VALUE(LEFT('Raw Orders'!B70,2)))))</f>
        <v>46148</v>
      </c>
      <c r="B73" s="36" t="n">
        <f aca="false">IF(A73="","",A73-WEEKDAY(A73,3))</f>
        <v>46146</v>
      </c>
      <c r="C73" s="32" t="n">
        <f aca="false">IF(OR('Raw Orders'!C70&lt;&gt;"Product",'Raw Orders'!K70="Cancelled"),0,'Raw Orders'!G70)</f>
        <v>0</v>
      </c>
      <c r="D73" s="31" t="n">
        <f aca="false">IF(AND('Raw Orders'!C70="Product",'Raw Orders'!K70="Fulfilled",COUNTIFS('Raw Orders'!$A$2:$A70,'Raw Orders'!A70,'Raw Orders'!$C$2:$C70,"Product",'Raw Orders'!$K$2:$K70,"Fulfilled")=1),1,0)</f>
        <v>0</v>
      </c>
      <c r="E73" s="31" t="n">
        <f aca="false">IF(AND('Raw Orders'!C70="Product",'Raw Orders'!K70="Fulfilled"),'Raw Orders'!E70,0)</f>
        <v>0</v>
      </c>
      <c r="F73" s="32" t="n">
        <f aca="false">IF('Raw Orders'!K70="Refunded",'Raw Orders'!G70,0)</f>
        <v>0</v>
      </c>
    </row>
    <row r="74" customFormat="false" ht="15" hidden="false" customHeight="false" outlineLevel="0" collapsed="false">
      <c r="A74" s="36" t="n">
        <f aca="false">IF('Raw Orders'!B71="","",IF(MID('Raw Orders'!B71,5,1)="-",DATE(VALUE(LEFT('Raw Orders'!B71,4)),VALUE(MID('Raw Orders'!B71,6,2)),VALUE(MID('Raw Orders'!B71,9,2))),DATE(VALUE(MID('Raw Orders'!B71,7,4)),VALUE(MID('Raw Orders'!B71,4,2)),VALUE(LEFT('Raw Orders'!B71,2)))))</f>
        <v>46148</v>
      </c>
      <c r="B74" s="36" t="n">
        <f aca="false">IF(A74="","",A74-WEEKDAY(A74,3))</f>
        <v>46146</v>
      </c>
      <c r="C74" s="32" t="n">
        <f aca="false">IF(OR('Raw Orders'!C71&lt;&gt;"Product",'Raw Orders'!K71="Cancelled"),0,'Raw Orders'!G71)</f>
        <v>0</v>
      </c>
      <c r="D74" s="31" t="n">
        <f aca="false">IF(AND('Raw Orders'!C71="Product",'Raw Orders'!K71="Fulfilled",COUNTIFS('Raw Orders'!$A$2:$A71,'Raw Orders'!A71,'Raw Orders'!$C$2:$C71,"Product",'Raw Orders'!$K$2:$K71,"Fulfilled")=1),1,0)</f>
        <v>0</v>
      </c>
      <c r="E74" s="31" t="n">
        <f aca="false">IF(AND('Raw Orders'!C71="Product",'Raw Orders'!K71="Fulfilled"),'Raw Orders'!E71,0)</f>
        <v>0</v>
      </c>
      <c r="F74" s="32" t="n">
        <f aca="false">IF('Raw Orders'!K71="Refunded",'Raw Orders'!G71,0)</f>
        <v>0</v>
      </c>
    </row>
    <row r="75" customFormat="false" ht="15" hidden="false" customHeight="false" outlineLevel="0" collapsed="false">
      <c r="A75" s="36" t="n">
        <f aca="false">IF('Raw Orders'!B72="","",IF(MID('Raw Orders'!B72,5,1)="-",DATE(VALUE(LEFT('Raw Orders'!B72,4)),VALUE(MID('Raw Orders'!B72,6,2)),VALUE(MID('Raw Orders'!B72,9,2))),DATE(VALUE(MID('Raw Orders'!B72,7,4)),VALUE(MID('Raw Orders'!B72,4,2)),VALUE(LEFT('Raw Orders'!B72,2)))))</f>
        <v>46148</v>
      </c>
      <c r="B75" s="36" t="n">
        <f aca="false">IF(A75="","",A75-WEEKDAY(A75,3))</f>
        <v>46146</v>
      </c>
      <c r="C75" s="32" t="n">
        <f aca="false">IF(OR('Raw Orders'!C72&lt;&gt;"Product",'Raw Orders'!K72="Cancelled"),0,'Raw Orders'!G72)</f>
        <v>26</v>
      </c>
      <c r="D75" s="31" t="n">
        <f aca="false">IF(AND('Raw Orders'!C72="Product",'Raw Orders'!K72="Fulfilled",COUNTIFS('Raw Orders'!$A$2:$A72,'Raw Orders'!A72,'Raw Orders'!$C$2:$C72,"Product",'Raw Orders'!$K$2:$K72,"Fulfilled")=1),1,0)</f>
        <v>1</v>
      </c>
      <c r="E75" s="31" t="n">
        <f aca="false">IF(AND('Raw Orders'!C72="Product",'Raw Orders'!K72="Fulfilled"),'Raw Orders'!E72,0)</f>
        <v>1</v>
      </c>
      <c r="F75" s="32" t="n">
        <f aca="false">IF('Raw Orders'!K72="Refunded",'Raw Orders'!G72,0)</f>
        <v>0</v>
      </c>
    </row>
    <row r="76" customFormat="false" ht="15" hidden="false" customHeight="false" outlineLevel="0" collapsed="false">
      <c r="A76" s="36" t="n">
        <f aca="false">IF('Raw Orders'!B73="","",IF(MID('Raw Orders'!B73,5,1)="-",DATE(VALUE(LEFT('Raw Orders'!B73,4)),VALUE(MID('Raw Orders'!B73,6,2)),VALUE(MID('Raw Orders'!B73,9,2))),DATE(VALUE(MID('Raw Orders'!B73,7,4)),VALUE(MID('Raw Orders'!B73,4,2)),VALUE(LEFT('Raw Orders'!B73,2)))))</f>
        <v>46148</v>
      </c>
      <c r="B76" s="36" t="n">
        <f aca="false">IF(A76="","",A76-WEEKDAY(A76,3))</f>
        <v>46146</v>
      </c>
      <c r="C76" s="32" t="n">
        <f aca="false">IF(OR('Raw Orders'!C73&lt;&gt;"Product",'Raw Orders'!K73="Cancelled"),0,'Raw Orders'!G73)</f>
        <v>31.5</v>
      </c>
      <c r="D76" s="31" t="n">
        <f aca="false">IF(AND('Raw Orders'!C73="Product",'Raw Orders'!K73="Fulfilled",COUNTIFS('Raw Orders'!$A$2:$A73,'Raw Orders'!A73,'Raw Orders'!$C$2:$C73,"Product",'Raw Orders'!$K$2:$K73,"Fulfilled")=1),1,0)</f>
        <v>0</v>
      </c>
      <c r="E76" s="31" t="n">
        <f aca="false">IF(AND('Raw Orders'!C73="Product",'Raw Orders'!K73="Fulfilled"),'Raw Orders'!E73,0)</f>
        <v>1</v>
      </c>
      <c r="F76" s="32" t="n">
        <f aca="false">IF('Raw Orders'!K73="Refunded",'Raw Orders'!G73,0)</f>
        <v>0</v>
      </c>
    </row>
    <row r="77" customFormat="false" ht="15" hidden="false" customHeight="false" outlineLevel="0" collapsed="false">
      <c r="A77" s="36" t="n">
        <f aca="false">IF('Raw Orders'!B74="","",IF(MID('Raw Orders'!B74,5,1)="-",DATE(VALUE(LEFT('Raw Orders'!B74,4)),VALUE(MID('Raw Orders'!B74,6,2)),VALUE(MID('Raw Orders'!B74,9,2))),DATE(VALUE(MID('Raw Orders'!B74,7,4)),VALUE(MID('Raw Orders'!B74,4,2)),VALUE(LEFT('Raw Orders'!B74,2)))))</f>
        <v>46148</v>
      </c>
      <c r="B77" s="36" t="n">
        <f aca="false">IF(A77="","",A77-WEEKDAY(A77,3))</f>
        <v>46146</v>
      </c>
      <c r="C77" s="32" t="n">
        <f aca="false">IF(OR('Raw Orders'!C74&lt;&gt;"Product",'Raw Orders'!K74="Cancelled"),0,'Raw Orders'!G74)</f>
        <v>45</v>
      </c>
      <c r="D77" s="31" t="n">
        <f aca="false">IF(AND('Raw Orders'!C74="Product",'Raw Orders'!K74="Fulfilled",COUNTIFS('Raw Orders'!$A$2:$A74,'Raw Orders'!A74,'Raw Orders'!$C$2:$C74,"Product",'Raw Orders'!$K$2:$K74,"Fulfilled")=1),1,0)</f>
        <v>1</v>
      </c>
      <c r="E77" s="31" t="n">
        <f aca="false">IF(AND('Raw Orders'!C74="Product",'Raw Orders'!K74="Fulfilled"),'Raw Orders'!E74,0)</f>
        <v>1</v>
      </c>
      <c r="F77" s="32" t="n">
        <f aca="false">IF('Raw Orders'!K74="Refunded",'Raw Orders'!G74,0)</f>
        <v>0</v>
      </c>
    </row>
    <row r="78" customFormat="false" ht="15" hidden="false" customHeight="false" outlineLevel="0" collapsed="false">
      <c r="A78" s="36" t="n">
        <f aca="false">IF('Raw Orders'!B75="","",IF(MID('Raw Orders'!B75,5,1)="-",DATE(VALUE(LEFT('Raw Orders'!B75,4)),VALUE(MID('Raw Orders'!B75,6,2)),VALUE(MID('Raw Orders'!B75,9,2))),DATE(VALUE(MID('Raw Orders'!B75,7,4)),VALUE(MID('Raw Orders'!B75,4,2)),VALUE(LEFT('Raw Orders'!B75,2)))))</f>
        <v>46148</v>
      </c>
      <c r="B78" s="36" t="n">
        <f aca="false">IF(A78="","",A78-WEEKDAY(A78,3))</f>
        <v>46146</v>
      </c>
      <c r="C78" s="32" t="n">
        <f aca="false">IF(OR('Raw Orders'!C75&lt;&gt;"Product",'Raw Orders'!K75="Cancelled"),0,'Raw Orders'!G75)</f>
        <v>0</v>
      </c>
      <c r="D78" s="31" t="n">
        <f aca="false">IF(AND('Raw Orders'!C75="Product",'Raw Orders'!K75="Fulfilled",COUNTIFS('Raw Orders'!$A$2:$A75,'Raw Orders'!A75,'Raw Orders'!$C$2:$C75,"Product",'Raw Orders'!$K$2:$K75,"Fulfilled")=1),1,0)</f>
        <v>0</v>
      </c>
      <c r="E78" s="31" t="n">
        <f aca="false">IF(AND('Raw Orders'!C75="Product",'Raw Orders'!K75="Fulfilled"),'Raw Orders'!E75,0)</f>
        <v>0</v>
      </c>
      <c r="F78" s="32" t="n">
        <f aca="false">IF('Raw Orders'!K75="Refunded",'Raw Orders'!G75,0)</f>
        <v>0</v>
      </c>
    </row>
    <row r="79" customFormat="false" ht="15" hidden="false" customHeight="false" outlineLevel="0" collapsed="false">
      <c r="A79" s="36" t="n">
        <f aca="false">IF('Raw Orders'!B76="","",IF(MID('Raw Orders'!B76,5,1)="-",DATE(VALUE(LEFT('Raw Orders'!B76,4)),VALUE(MID('Raw Orders'!B76,6,2)),VALUE(MID('Raw Orders'!B76,9,2))),DATE(VALUE(MID('Raw Orders'!B76,7,4)),VALUE(MID('Raw Orders'!B76,4,2)),VALUE(LEFT('Raw Orders'!B76,2)))))</f>
        <v>46149</v>
      </c>
      <c r="B79" s="36" t="n">
        <f aca="false">IF(A79="","",A79-WEEKDAY(A79,3))</f>
        <v>46146</v>
      </c>
      <c r="C79" s="32" t="n">
        <f aca="false">IF(OR('Raw Orders'!C76&lt;&gt;"Product",'Raw Orders'!K76="Cancelled"),0,'Raw Orders'!G76)</f>
        <v>0</v>
      </c>
      <c r="D79" s="31" t="n">
        <f aca="false">IF(AND('Raw Orders'!C76="Product",'Raw Orders'!K76="Fulfilled",COUNTIFS('Raw Orders'!$A$2:$A76,'Raw Orders'!A76,'Raw Orders'!$C$2:$C76,"Product",'Raw Orders'!$K$2:$K76,"Fulfilled")=1),1,0)</f>
        <v>0</v>
      </c>
      <c r="E79" s="31" t="n">
        <f aca="false">IF(AND('Raw Orders'!C76="Product",'Raw Orders'!K76="Fulfilled"),'Raw Orders'!E76,0)</f>
        <v>0</v>
      </c>
      <c r="F79" s="32" t="n">
        <f aca="false">IF('Raw Orders'!K76="Refunded",'Raw Orders'!G76,0)</f>
        <v>0</v>
      </c>
    </row>
    <row r="80" customFormat="false" ht="15" hidden="false" customHeight="false" outlineLevel="0" collapsed="false">
      <c r="A80" s="36" t="n">
        <f aca="false">IF('Raw Orders'!B77="","",IF(MID('Raw Orders'!B77,5,1)="-",DATE(VALUE(LEFT('Raw Orders'!B77,4)),VALUE(MID('Raw Orders'!B77,6,2)),VALUE(MID('Raw Orders'!B77,9,2))),DATE(VALUE(MID('Raw Orders'!B77,7,4)),VALUE(MID('Raw Orders'!B77,4,2)),VALUE(LEFT('Raw Orders'!B77,2)))))</f>
        <v>46149</v>
      </c>
      <c r="B80" s="36" t="n">
        <f aca="false">IF(A80="","",A80-WEEKDAY(A80,3))</f>
        <v>46146</v>
      </c>
      <c r="C80" s="32" t="n">
        <f aca="false">IF(OR('Raw Orders'!C77&lt;&gt;"Product",'Raw Orders'!K77="Cancelled"),0,'Raw Orders'!G77)</f>
        <v>26</v>
      </c>
      <c r="D80" s="31" t="n">
        <f aca="false">IF(AND('Raw Orders'!C77="Product",'Raw Orders'!K77="Fulfilled",COUNTIFS('Raw Orders'!$A$2:$A77,'Raw Orders'!A77,'Raw Orders'!$C$2:$C77,"Product",'Raw Orders'!$K$2:$K77,"Fulfilled")=1),1,0)</f>
        <v>1</v>
      </c>
      <c r="E80" s="31" t="n">
        <f aca="false">IF(AND('Raw Orders'!C77="Product",'Raw Orders'!K77="Fulfilled"),'Raw Orders'!E77,0)</f>
        <v>1</v>
      </c>
      <c r="F80" s="32" t="n">
        <f aca="false">IF('Raw Orders'!K77="Refunded",'Raw Orders'!G77,0)</f>
        <v>0</v>
      </c>
    </row>
    <row r="81" customFormat="false" ht="15" hidden="false" customHeight="false" outlineLevel="0" collapsed="false">
      <c r="A81" s="36" t="n">
        <f aca="false">IF('Raw Orders'!B78="","",IF(MID('Raw Orders'!B78,5,1)="-",DATE(VALUE(LEFT('Raw Orders'!B78,4)),VALUE(MID('Raw Orders'!B78,6,2)),VALUE(MID('Raw Orders'!B78,9,2))),DATE(VALUE(MID('Raw Orders'!B78,7,4)),VALUE(MID('Raw Orders'!B78,4,2)),VALUE(LEFT('Raw Orders'!B78,2)))))</f>
        <v>46149</v>
      </c>
      <c r="B81" s="36" t="n">
        <f aca="false">IF(A81="","",A81-WEEKDAY(A81,3))</f>
        <v>46146</v>
      </c>
      <c r="C81" s="32" t="n">
        <f aca="false">IF(OR('Raw Orders'!C78&lt;&gt;"Product",'Raw Orders'!K78="Cancelled"),0,'Raw Orders'!G78)</f>
        <v>69</v>
      </c>
      <c r="D81" s="31" t="n">
        <f aca="false">IF(AND('Raw Orders'!C78="Product",'Raw Orders'!K78="Fulfilled",COUNTIFS('Raw Orders'!$A$2:$A78,'Raw Orders'!A78,'Raw Orders'!$C$2:$C78,"Product",'Raw Orders'!$K$2:$K78,"Fulfilled")=1),1,0)</f>
        <v>0</v>
      </c>
      <c r="E81" s="31" t="n">
        <f aca="false">IF(AND('Raw Orders'!C78="Product",'Raw Orders'!K78="Fulfilled"),'Raw Orders'!E78,0)</f>
        <v>1</v>
      </c>
      <c r="F81" s="32" t="n">
        <f aca="false">IF('Raw Orders'!K78="Refunded",'Raw Orders'!G78,0)</f>
        <v>0</v>
      </c>
    </row>
    <row r="82" customFormat="false" ht="15" hidden="false" customHeight="false" outlineLevel="0" collapsed="false">
      <c r="A82" s="36" t="n">
        <f aca="false">IF('Raw Orders'!B79="","",IF(MID('Raw Orders'!B79,5,1)="-",DATE(VALUE(LEFT('Raw Orders'!B79,4)),VALUE(MID('Raw Orders'!B79,6,2)),VALUE(MID('Raw Orders'!B79,9,2))),DATE(VALUE(MID('Raw Orders'!B79,7,4)),VALUE(MID('Raw Orders'!B79,4,2)),VALUE(LEFT('Raw Orders'!B79,2)))))</f>
        <v>46149</v>
      </c>
      <c r="B82" s="36" t="n">
        <f aca="false">IF(A82="","",A82-WEEKDAY(A82,3))</f>
        <v>46146</v>
      </c>
      <c r="C82" s="32" t="n">
        <f aca="false">IF(OR('Raw Orders'!C79&lt;&gt;"Product",'Raw Orders'!K79="Cancelled"),0,'Raw Orders'!G79)</f>
        <v>44</v>
      </c>
      <c r="D82" s="31" t="n">
        <f aca="false">IF(AND('Raw Orders'!C79="Product",'Raw Orders'!K79="Fulfilled",COUNTIFS('Raw Orders'!$A$2:$A79,'Raw Orders'!A79,'Raw Orders'!$C$2:$C79,"Product",'Raw Orders'!$K$2:$K79,"Fulfilled")=1),1,0)</f>
        <v>0</v>
      </c>
      <c r="E82" s="31" t="n">
        <f aca="false">IF(AND('Raw Orders'!C79="Product",'Raw Orders'!K79="Fulfilled"),'Raw Orders'!E79,0)</f>
        <v>2</v>
      </c>
      <c r="F82" s="32" t="n">
        <f aca="false">IF('Raw Orders'!K79="Refunded",'Raw Orders'!G79,0)</f>
        <v>0</v>
      </c>
    </row>
    <row r="83" customFormat="false" ht="15" hidden="false" customHeight="false" outlineLevel="0" collapsed="false">
      <c r="A83" s="36" t="n">
        <f aca="false">IF('Raw Orders'!B80="","",IF(MID('Raw Orders'!B80,5,1)="-",DATE(VALUE(LEFT('Raw Orders'!B80,4)),VALUE(MID('Raw Orders'!B80,6,2)),VALUE(MID('Raw Orders'!B80,9,2))),DATE(VALUE(MID('Raw Orders'!B80,7,4)),VALUE(MID('Raw Orders'!B80,4,2)),VALUE(LEFT('Raw Orders'!B80,2)))))</f>
        <v>46149</v>
      </c>
      <c r="B83" s="36" t="n">
        <f aca="false">IF(A83="","",A83-WEEKDAY(A83,3))</f>
        <v>46146</v>
      </c>
      <c r="C83" s="32" t="n">
        <f aca="false">IF(OR('Raw Orders'!C80&lt;&gt;"Product",'Raw Orders'!K80="Cancelled"),0,'Raw Orders'!G80)</f>
        <v>44</v>
      </c>
      <c r="D83" s="31" t="n">
        <f aca="false">IF(AND('Raw Orders'!C80="Product",'Raw Orders'!K80="Fulfilled",COUNTIFS('Raw Orders'!$A$2:$A80,'Raw Orders'!A80,'Raw Orders'!$C$2:$C80,"Product",'Raw Orders'!$K$2:$K80,"Fulfilled")=1),1,0)</f>
        <v>1</v>
      </c>
      <c r="E83" s="31" t="n">
        <f aca="false">IF(AND('Raw Orders'!C80="Product",'Raw Orders'!K80="Fulfilled"),'Raw Orders'!E80,0)</f>
        <v>2</v>
      </c>
      <c r="F83" s="32" t="n">
        <f aca="false">IF('Raw Orders'!K80="Refunded",'Raw Orders'!G80,0)</f>
        <v>0</v>
      </c>
    </row>
    <row r="84" customFormat="false" ht="15" hidden="false" customHeight="false" outlineLevel="0" collapsed="false">
      <c r="A84" s="36" t="n">
        <f aca="false">IF('Raw Orders'!B81="","",IF(MID('Raw Orders'!B81,5,1)="-",DATE(VALUE(LEFT('Raw Orders'!B81,4)),VALUE(MID('Raw Orders'!B81,6,2)),VALUE(MID('Raw Orders'!B81,9,2))),DATE(VALUE(MID('Raw Orders'!B81,7,4)),VALUE(MID('Raw Orders'!B81,4,2)),VALUE(LEFT('Raw Orders'!B81,2)))))</f>
        <v>46149</v>
      </c>
      <c r="B84" s="36" t="n">
        <f aca="false">IF(A84="","",A84-WEEKDAY(A84,3))</f>
        <v>46146</v>
      </c>
      <c r="C84" s="32" t="n">
        <f aca="false">IF(OR('Raw Orders'!C81&lt;&gt;"Product",'Raw Orders'!K81="Cancelled"),0,'Raw Orders'!G81)</f>
        <v>0</v>
      </c>
      <c r="D84" s="31" t="n">
        <f aca="false">IF(AND('Raw Orders'!C81="Product",'Raw Orders'!K81="Fulfilled",COUNTIFS('Raw Orders'!$A$2:$A81,'Raw Orders'!A81,'Raw Orders'!$C$2:$C81,"Product",'Raw Orders'!$K$2:$K81,"Fulfilled")=1),1,0)</f>
        <v>0</v>
      </c>
      <c r="E84" s="31" t="n">
        <f aca="false">IF(AND('Raw Orders'!C81="Product",'Raw Orders'!K81="Fulfilled"),'Raw Orders'!E81,0)</f>
        <v>0</v>
      </c>
      <c r="F84" s="32" t="n">
        <f aca="false">IF('Raw Orders'!K81="Refunded",'Raw Orders'!G81,0)</f>
        <v>0</v>
      </c>
    </row>
    <row r="85" customFormat="false" ht="15" hidden="false" customHeight="false" outlineLevel="0" collapsed="false">
      <c r="A85" s="36" t="n">
        <f aca="false">IF('Raw Orders'!B82="","",IF(MID('Raw Orders'!B82,5,1)="-",DATE(VALUE(LEFT('Raw Orders'!B82,4)),VALUE(MID('Raw Orders'!B82,6,2)),VALUE(MID('Raw Orders'!B82,9,2))),DATE(VALUE(MID('Raw Orders'!B82,7,4)),VALUE(MID('Raw Orders'!B82,4,2)),VALUE(LEFT('Raw Orders'!B82,2)))))</f>
        <v>46149</v>
      </c>
      <c r="B85" s="36" t="n">
        <f aca="false">IF(A85="","",A85-WEEKDAY(A85,3))</f>
        <v>46146</v>
      </c>
      <c r="C85" s="32" t="n">
        <f aca="false">IF(OR('Raw Orders'!C82&lt;&gt;"Product",'Raw Orders'!K82="Cancelled"),0,'Raw Orders'!G82)</f>
        <v>0</v>
      </c>
      <c r="D85" s="31" t="n">
        <f aca="false">IF(AND('Raw Orders'!C82="Product",'Raw Orders'!K82="Fulfilled",COUNTIFS('Raw Orders'!$A$2:$A82,'Raw Orders'!A82,'Raw Orders'!$C$2:$C82,"Product",'Raw Orders'!$K$2:$K82,"Fulfilled")=1),1,0)</f>
        <v>0</v>
      </c>
      <c r="E85" s="31" t="n">
        <f aca="false">IF(AND('Raw Orders'!C82="Product",'Raw Orders'!K82="Fulfilled"),'Raw Orders'!E82,0)</f>
        <v>0</v>
      </c>
      <c r="F85" s="32" t="n">
        <f aca="false">IF('Raw Orders'!K82="Refunded",'Raw Orders'!G82,0)</f>
        <v>0</v>
      </c>
    </row>
    <row r="86" customFormat="false" ht="15" hidden="false" customHeight="false" outlineLevel="0" collapsed="false">
      <c r="A86" s="36" t="n">
        <f aca="false">IF('Raw Orders'!B83="","",IF(MID('Raw Orders'!B83,5,1)="-",DATE(VALUE(LEFT('Raw Orders'!B83,4)),VALUE(MID('Raw Orders'!B83,6,2)),VALUE(MID('Raw Orders'!B83,9,2))),DATE(VALUE(MID('Raw Orders'!B83,7,4)),VALUE(MID('Raw Orders'!B83,4,2)),VALUE(LEFT('Raw Orders'!B83,2)))))</f>
        <v>46149</v>
      </c>
      <c r="B86" s="36" t="n">
        <f aca="false">IF(A86="","",A86-WEEKDAY(A86,3))</f>
        <v>46146</v>
      </c>
      <c r="C86" s="32" t="n">
        <f aca="false">IF(OR('Raw Orders'!C83&lt;&gt;"Product",'Raw Orders'!K83="Cancelled"),0,'Raw Orders'!G83)</f>
        <v>75</v>
      </c>
      <c r="D86" s="31" t="n">
        <f aca="false">IF(AND('Raw Orders'!C83="Product",'Raw Orders'!K83="Fulfilled",COUNTIFS('Raw Orders'!$A$2:$A83,'Raw Orders'!A83,'Raw Orders'!$C$2:$C83,"Product",'Raw Orders'!$K$2:$K83,"Fulfilled")=1),1,0)</f>
        <v>1</v>
      </c>
      <c r="E86" s="31" t="n">
        <f aca="false">IF(AND('Raw Orders'!C83="Product",'Raw Orders'!K83="Fulfilled"),'Raw Orders'!E83,0)</f>
        <v>1</v>
      </c>
      <c r="F86" s="32" t="n">
        <f aca="false">IF('Raw Orders'!K83="Refunded",'Raw Orders'!G83,0)</f>
        <v>0</v>
      </c>
    </row>
    <row r="87" customFormat="false" ht="15" hidden="false" customHeight="false" outlineLevel="0" collapsed="false">
      <c r="A87" s="36" t="n">
        <f aca="false">IF('Raw Orders'!B84="","",IF(MID('Raw Orders'!B84,5,1)="-",DATE(VALUE(LEFT('Raw Orders'!B84,4)),VALUE(MID('Raw Orders'!B84,6,2)),VALUE(MID('Raw Orders'!B84,9,2))),DATE(VALUE(MID('Raw Orders'!B84,7,4)),VALUE(MID('Raw Orders'!B84,4,2)),VALUE(LEFT('Raw Orders'!B84,2)))))</f>
        <v>46149</v>
      </c>
      <c r="B87" s="36" t="n">
        <f aca="false">IF(A87="","",A87-WEEKDAY(A87,3))</f>
        <v>46146</v>
      </c>
      <c r="C87" s="32" t="n">
        <f aca="false">IF(OR('Raw Orders'!C84&lt;&gt;"Product",'Raw Orders'!K84="Cancelled"),0,'Raw Orders'!G84)</f>
        <v>0</v>
      </c>
      <c r="D87" s="31" t="n">
        <f aca="false">IF(AND('Raw Orders'!C84="Product",'Raw Orders'!K84="Fulfilled",COUNTIFS('Raw Orders'!$A$2:$A84,'Raw Orders'!A84,'Raw Orders'!$C$2:$C84,"Product",'Raw Orders'!$K$2:$K84,"Fulfilled")=1),1,0)</f>
        <v>0</v>
      </c>
      <c r="E87" s="31" t="n">
        <f aca="false">IF(AND('Raw Orders'!C84="Product",'Raw Orders'!K84="Fulfilled"),'Raw Orders'!E84,0)</f>
        <v>0</v>
      </c>
      <c r="F87" s="32" t="n">
        <f aca="false">IF('Raw Orders'!K84="Refunded",'Raw Orders'!G84,0)</f>
        <v>0</v>
      </c>
    </row>
    <row r="88" customFormat="false" ht="15" hidden="false" customHeight="false" outlineLevel="0" collapsed="false">
      <c r="A88" s="36" t="n">
        <f aca="false">IF('Raw Orders'!B85="","",IF(MID('Raw Orders'!B85,5,1)="-",DATE(VALUE(LEFT('Raw Orders'!B85,4)),VALUE(MID('Raw Orders'!B85,6,2)),VALUE(MID('Raw Orders'!B85,9,2))),DATE(VALUE(MID('Raw Orders'!B85,7,4)),VALUE(MID('Raw Orders'!B85,4,2)),VALUE(LEFT('Raw Orders'!B85,2)))))</f>
        <v>46149</v>
      </c>
      <c r="B88" s="36" t="n">
        <f aca="false">IF(A88="","",A88-WEEKDAY(A88,3))</f>
        <v>46146</v>
      </c>
      <c r="C88" s="32" t="n">
        <f aca="false">IF(OR('Raw Orders'!C85&lt;&gt;"Product",'Raw Orders'!K85="Cancelled"),0,'Raw Orders'!G85)</f>
        <v>56</v>
      </c>
      <c r="D88" s="31" t="n">
        <f aca="false">IF(AND('Raw Orders'!C85="Product",'Raw Orders'!K85="Fulfilled",COUNTIFS('Raw Orders'!$A$2:$A85,'Raw Orders'!A85,'Raw Orders'!$C$2:$C85,"Product",'Raw Orders'!$K$2:$K85,"Fulfilled")=1),1,0)</f>
        <v>1</v>
      </c>
      <c r="E88" s="31" t="n">
        <f aca="false">IF(AND('Raw Orders'!C85="Product",'Raw Orders'!K85="Fulfilled"),'Raw Orders'!E85,0)</f>
        <v>2</v>
      </c>
      <c r="F88" s="32" t="n">
        <f aca="false">IF('Raw Orders'!K85="Refunded",'Raw Orders'!G85,0)</f>
        <v>0</v>
      </c>
    </row>
    <row r="89" customFormat="false" ht="15" hidden="false" customHeight="false" outlineLevel="0" collapsed="false">
      <c r="A89" s="36" t="n">
        <f aca="false">IF('Raw Orders'!B86="","",IF(MID('Raw Orders'!B86,5,1)="-",DATE(VALUE(LEFT('Raw Orders'!B86,4)),VALUE(MID('Raw Orders'!B86,6,2)),VALUE(MID('Raw Orders'!B86,9,2))),DATE(VALUE(MID('Raw Orders'!B86,7,4)),VALUE(MID('Raw Orders'!B86,4,2)),VALUE(LEFT('Raw Orders'!B86,2)))))</f>
        <v>46149</v>
      </c>
      <c r="B89" s="36" t="n">
        <f aca="false">IF(A89="","",A89-WEEKDAY(A89,3))</f>
        <v>46146</v>
      </c>
      <c r="C89" s="32" t="n">
        <f aca="false">IF(OR('Raw Orders'!C86&lt;&gt;"Product",'Raw Orders'!K86="Cancelled"),0,'Raw Orders'!G86)</f>
        <v>87</v>
      </c>
      <c r="D89" s="31" t="n">
        <f aca="false">IF(AND('Raw Orders'!C86="Product",'Raw Orders'!K86="Fulfilled",COUNTIFS('Raw Orders'!$A$2:$A86,'Raw Orders'!A86,'Raw Orders'!$C$2:$C86,"Product",'Raw Orders'!$K$2:$K86,"Fulfilled")=1),1,0)</f>
        <v>0</v>
      </c>
      <c r="E89" s="31" t="n">
        <f aca="false">IF(AND('Raw Orders'!C86="Product",'Raw Orders'!K86="Fulfilled"),'Raw Orders'!E86,0)</f>
        <v>3</v>
      </c>
      <c r="F89" s="32" t="n">
        <f aca="false">IF('Raw Orders'!K86="Refunded",'Raw Orders'!G86,0)</f>
        <v>0</v>
      </c>
    </row>
    <row r="90" customFormat="false" ht="15" hidden="false" customHeight="false" outlineLevel="0" collapsed="false">
      <c r="A90" s="36" t="n">
        <f aca="false">IF('Raw Orders'!B87="","",IF(MID('Raw Orders'!B87,5,1)="-",DATE(VALUE(LEFT('Raw Orders'!B87,4)),VALUE(MID('Raw Orders'!B87,6,2)),VALUE(MID('Raw Orders'!B87,9,2))),DATE(VALUE(MID('Raw Orders'!B87,7,4)),VALUE(MID('Raw Orders'!B87,4,2)),VALUE(LEFT('Raw Orders'!B87,2)))))</f>
        <v>46149</v>
      </c>
      <c r="B90" s="36" t="n">
        <f aca="false">IF(A90="","",A90-WEEKDAY(A90,3))</f>
        <v>46146</v>
      </c>
      <c r="C90" s="32" t="n">
        <f aca="false">IF(OR('Raw Orders'!C87&lt;&gt;"Product",'Raw Orders'!K87="Cancelled"),0,'Raw Orders'!G87)</f>
        <v>75</v>
      </c>
      <c r="D90" s="31" t="n">
        <f aca="false">IF(AND('Raw Orders'!C87="Product",'Raw Orders'!K87="Fulfilled",COUNTIFS('Raw Orders'!$A$2:$A87,'Raw Orders'!A87,'Raw Orders'!$C$2:$C87,"Product",'Raw Orders'!$K$2:$K87,"Fulfilled")=1),1,0)</f>
        <v>1</v>
      </c>
      <c r="E90" s="31" t="n">
        <f aca="false">IF(AND('Raw Orders'!C87="Product",'Raw Orders'!K87="Fulfilled"),'Raw Orders'!E87,0)</f>
        <v>1</v>
      </c>
      <c r="F90" s="32" t="n">
        <f aca="false">IF('Raw Orders'!K87="Refunded",'Raw Orders'!G87,0)</f>
        <v>0</v>
      </c>
    </row>
    <row r="91" customFormat="false" ht="15" hidden="false" customHeight="false" outlineLevel="0" collapsed="false">
      <c r="A91" s="36" t="n">
        <f aca="false">IF('Raw Orders'!B88="","",IF(MID('Raw Orders'!B88,5,1)="-",DATE(VALUE(LEFT('Raw Orders'!B88,4)),VALUE(MID('Raw Orders'!B88,6,2)),VALUE(MID('Raw Orders'!B88,9,2))),DATE(VALUE(MID('Raw Orders'!B88,7,4)),VALUE(MID('Raw Orders'!B88,4,2)),VALUE(LEFT('Raw Orders'!B88,2)))))</f>
        <v>46149</v>
      </c>
      <c r="B91" s="36" t="n">
        <f aca="false">IF(A91="","",A91-WEEKDAY(A91,3))</f>
        <v>46146</v>
      </c>
      <c r="C91" s="32" t="n">
        <f aca="false">IF(OR('Raw Orders'!C88&lt;&gt;"Product",'Raw Orders'!K88="Cancelled"),0,'Raw Orders'!G88)</f>
        <v>0</v>
      </c>
      <c r="D91" s="31" t="n">
        <f aca="false">IF(AND('Raw Orders'!C88="Product",'Raw Orders'!K88="Fulfilled",COUNTIFS('Raw Orders'!$A$2:$A88,'Raw Orders'!A88,'Raw Orders'!$C$2:$C88,"Product",'Raw Orders'!$K$2:$K88,"Fulfilled")=1),1,0)</f>
        <v>0</v>
      </c>
      <c r="E91" s="31" t="n">
        <f aca="false">IF(AND('Raw Orders'!C88="Product",'Raw Orders'!K88="Fulfilled"),'Raw Orders'!E88,0)</f>
        <v>0</v>
      </c>
      <c r="F91" s="32" t="n">
        <f aca="false">IF('Raw Orders'!K88="Refunded",'Raw Orders'!G88,0)</f>
        <v>0</v>
      </c>
    </row>
    <row r="92" customFormat="false" ht="15" hidden="false" customHeight="false" outlineLevel="0" collapsed="false">
      <c r="A92" s="36" t="n">
        <f aca="false">IF('Raw Orders'!B89="","",IF(MID('Raw Orders'!B89,5,1)="-",DATE(VALUE(LEFT('Raw Orders'!B89,4)),VALUE(MID('Raw Orders'!B89,6,2)),VALUE(MID('Raw Orders'!B89,9,2))),DATE(VALUE(MID('Raw Orders'!B89,7,4)),VALUE(MID('Raw Orders'!B89,4,2)),VALUE(LEFT('Raw Orders'!B89,2)))))</f>
        <v>46149</v>
      </c>
      <c r="B92" s="36" t="n">
        <f aca="false">IF(A92="","",A92-WEEKDAY(A92,3))</f>
        <v>46146</v>
      </c>
      <c r="C92" s="32" t="n">
        <f aca="false">IF(OR('Raw Orders'!C89&lt;&gt;"Product",'Raw Orders'!K89="Cancelled"),0,'Raw Orders'!G89)</f>
        <v>45</v>
      </c>
      <c r="D92" s="31" t="n">
        <f aca="false">IF(AND('Raw Orders'!C89="Product",'Raw Orders'!K89="Fulfilled",COUNTIFS('Raw Orders'!$A$2:$A89,'Raw Orders'!A89,'Raw Orders'!$C$2:$C89,"Product",'Raw Orders'!$K$2:$K89,"Fulfilled")=1),1,0)</f>
        <v>1</v>
      </c>
      <c r="E92" s="31" t="n">
        <f aca="false">IF(AND('Raw Orders'!C89="Product",'Raw Orders'!K89="Fulfilled"),'Raw Orders'!E89,0)</f>
        <v>1</v>
      </c>
      <c r="F92" s="32" t="n">
        <f aca="false">IF('Raw Orders'!K89="Refunded",'Raw Orders'!G89,0)</f>
        <v>0</v>
      </c>
    </row>
    <row r="93" customFormat="false" ht="15" hidden="false" customHeight="false" outlineLevel="0" collapsed="false">
      <c r="A93" s="36" t="n">
        <f aca="false">IF('Raw Orders'!B90="","",IF(MID('Raw Orders'!B90,5,1)="-",DATE(VALUE(LEFT('Raw Orders'!B90,4)),VALUE(MID('Raw Orders'!B90,6,2)),VALUE(MID('Raw Orders'!B90,9,2))),DATE(VALUE(MID('Raw Orders'!B90,7,4)),VALUE(MID('Raw Orders'!B90,4,2)),VALUE(LEFT('Raw Orders'!B90,2)))))</f>
        <v>46149</v>
      </c>
      <c r="B93" s="36" t="n">
        <f aca="false">IF(A93="","",A93-WEEKDAY(A93,3))</f>
        <v>46146</v>
      </c>
      <c r="C93" s="32" t="n">
        <f aca="false">IF(OR('Raw Orders'!C90&lt;&gt;"Product",'Raw Orders'!K90="Cancelled"),0,'Raw Orders'!G90)</f>
        <v>52</v>
      </c>
      <c r="D93" s="31" t="n">
        <f aca="false">IF(AND('Raw Orders'!C90="Product",'Raw Orders'!K90="Fulfilled",COUNTIFS('Raw Orders'!$A$2:$A90,'Raw Orders'!A90,'Raw Orders'!$C$2:$C90,"Product",'Raw Orders'!$K$2:$K90,"Fulfilled")=1),1,0)</f>
        <v>1</v>
      </c>
      <c r="E93" s="31" t="n">
        <f aca="false">IF(AND('Raw Orders'!C90="Product",'Raw Orders'!K90="Fulfilled"),'Raw Orders'!E90,0)</f>
        <v>2</v>
      </c>
      <c r="F93" s="32" t="n">
        <f aca="false">IF('Raw Orders'!K90="Refunded",'Raw Orders'!G90,0)</f>
        <v>0</v>
      </c>
    </row>
    <row r="94" customFormat="false" ht="15" hidden="false" customHeight="false" outlineLevel="0" collapsed="false">
      <c r="A94" s="36" t="n">
        <f aca="false">IF('Raw Orders'!B91="","",IF(MID('Raw Orders'!B91,5,1)="-",DATE(VALUE(LEFT('Raw Orders'!B91,4)),VALUE(MID('Raw Orders'!B91,6,2)),VALUE(MID('Raw Orders'!B91,9,2))),DATE(VALUE(MID('Raw Orders'!B91,7,4)),VALUE(MID('Raw Orders'!B91,4,2)),VALUE(LEFT('Raw Orders'!B91,2)))))</f>
        <v>46149</v>
      </c>
      <c r="B94" s="36" t="n">
        <f aca="false">IF(A94="","",A94-WEEKDAY(A94,3))</f>
        <v>46146</v>
      </c>
      <c r="C94" s="32" t="n">
        <f aca="false">IF(OR('Raw Orders'!C91&lt;&gt;"Product",'Raw Orders'!K91="Cancelled"),0,'Raw Orders'!G91)</f>
        <v>80.1</v>
      </c>
      <c r="D94" s="31" t="n">
        <f aca="false">IF(AND('Raw Orders'!C91="Product",'Raw Orders'!K91="Fulfilled",COUNTIFS('Raw Orders'!$A$2:$A91,'Raw Orders'!A91,'Raw Orders'!$C$2:$C91,"Product",'Raw Orders'!$K$2:$K91,"Fulfilled")=1),1,0)</f>
        <v>0</v>
      </c>
      <c r="E94" s="31" t="n">
        <f aca="false">IF(AND('Raw Orders'!C91="Product",'Raw Orders'!K91="Fulfilled"),'Raw Orders'!E91,0)</f>
        <v>1</v>
      </c>
      <c r="F94" s="32" t="n">
        <f aca="false">IF('Raw Orders'!K91="Refunded",'Raw Orders'!G91,0)</f>
        <v>0</v>
      </c>
    </row>
    <row r="95" customFormat="false" ht="15" hidden="false" customHeight="false" outlineLevel="0" collapsed="false">
      <c r="A95" s="36" t="n">
        <f aca="false">IF('Raw Orders'!B92="","",IF(MID('Raw Orders'!B92,5,1)="-",DATE(VALUE(LEFT('Raw Orders'!B92,4)),VALUE(MID('Raw Orders'!B92,6,2)),VALUE(MID('Raw Orders'!B92,9,2))),DATE(VALUE(MID('Raw Orders'!B92,7,4)),VALUE(MID('Raw Orders'!B92,4,2)),VALUE(LEFT('Raw Orders'!B92,2)))))</f>
        <v>46149</v>
      </c>
      <c r="B95" s="36" t="n">
        <f aca="false">IF(A95="","",A95-WEEKDAY(A95,3))</f>
        <v>46146</v>
      </c>
      <c r="C95" s="32" t="n">
        <f aca="false">IF(OR('Raw Orders'!C92&lt;&gt;"Product",'Raw Orders'!K92="Cancelled"),0,'Raw Orders'!G92)</f>
        <v>14</v>
      </c>
      <c r="D95" s="31" t="n">
        <f aca="false">IF(AND('Raw Orders'!C92="Product",'Raw Orders'!K92="Fulfilled",COUNTIFS('Raw Orders'!$A$2:$A92,'Raw Orders'!A92,'Raw Orders'!$C$2:$C92,"Product",'Raw Orders'!$K$2:$K92,"Fulfilled")=1),1,0)</f>
        <v>0</v>
      </c>
      <c r="E95" s="31" t="n">
        <f aca="false">IF(AND('Raw Orders'!C92="Product",'Raw Orders'!K92="Fulfilled"),'Raw Orders'!E92,0)</f>
        <v>1</v>
      </c>
      <c r="F95" s="32" t="n">
        <f aca="false">IF('Raw Orders'!K92="Refunded",'Raw Orders'!G92,0)</f>
        <v>0</v>
      </c>
    </row>
    <row r="96" customFormat="false" ht="15" hidden="false" customHeight="false" outlineLevel="0" collapsed="false">
      <c r="A96" s="36" t="n">
        <f aca="false">IF('Raw Orders'!B93="","",IF(MID('Raw Orders'!B93,5,1)="-",DATE(VALUE(LEFT('Raw Orders'!B93,4)),VALUE(MID('Raw Orders'!B93,6,2)),VALUE(MID('Raw Orders'!B93,9,2))),DATE(VALUE(MID('Raw Orders'!B93,7,4)),VALUE(MID('Raw Orders'!B93,4,2)),VALUE(LEFT('Raw Orders'!B93,2)))))</f>
        <v>46150</v>
      </c>
      <c r="B96" s="36" t="n">
        <f aca="false">IF(A96="","",A96-WEEKDAY(A96,3))</f>
        <v>46146</v>
      </c>
      <c r="C96" s="32" t="n">
        <f aca="false">IF(OR('Raw Orders'!C93&lt;&gt;"Product",'Raw Orders'!K93="Cancelled"),0,'Raw Orders'!G93)</f>
        <v>69</v>
      </c>
      <c r="D96" s="31" t="n">
        <f aca="false">IF(AND('Raw Orders'!C93="Product",'Raw Orders'!K93="Fulfilled",COUNTIFS('Raw Orders'!$A$2:$A93,'Raw Orders'!A93,'Raw Orders'!$C$2:$C93,"Product",'Raw Orders'!$K$2:$K93,"Fulfilled")=1),1,0)</f>
        <v>1</v>
      </c>
      <c r="E96" s="31" t="n">
        <f aca="false">IF(AND('Raw Orders'!C93="Product",'Raw Orders'!K93="Fulfilled"),'Raw Orders'!E93,0)</f>
        <v>1</v>
      </c>
      <c r="F96" s="32" t="n">
        <f aca="false">IF('Raw Orders'!K93="Refunded",'Raw Orders'!G93,0)</f>
        <v>0</v>
      </c>
    </row>
    <row r="97" customFormat="false" ht="15" hidden="false" customHeight="false" outlineLevel="0" collapsed="false">
      <c r="A97" s="36" t="n">
        <f aca="false">IF('Raw Orders'!B94="","",IF(MID('Raw Orders'!B94,5,1)="-",DATE(VALUE(LEFT('Raw Orders'!B94,4)),VALUE(MID('Raw Orders'!B94,6,2)),VALUE(MID('Raw Orders'!B94,9,2))),DATE(VALUE(MID('Raw Orders'!B94,7,4)),VALUE(MID('Raw Orders'!B94,4,2)),VALUE(LEFT('Raw Orders'!B94,2)))))</f>
        <v>46150</v>
      </c>
      <c r="B97" s="36" t="n">
        <f aca="false">IF(A97="","",A97-WEEKDAY(A97,3))</f>
        <v>46146</v>
      </c>
      <c r="C97" s="32" t="n">
        <f aca="false">IF(OR('Raw Orders'!C94&lt;&gt;"Product",'Raw Orders'!K94="Cancelled"),0,'Raw Orders'!G94)</f>
        <v>44</v>
      </c>
      <c r="D97" s="31" t="n">
        <f aca="false">IF(AND('Raw Orders'!C94="Product",'Raw Orders'!K94="Fulfilled",COUNTIFS('Raw Orders'!$A$2:$A94,'Raw Orders'!A94,'Raw Orders'!$C$2:$C94,"Product",'Raw Orders'!$K$2:$K94,"Fulfilled")=1),1,0)</f>
        <v>1</v>
      </c>
      <c r="E97" s="31" t="n">
        <f aca="false">IF(AND('Raw Orders'!C94="Product",'Raw Orders'!K94="Fulfilled"),'Raw Orders'!E94,0)</f>
        <v>2</v>
      </c>
      <c r="F97" s="32" t="n">
        <f aca="false">IF('Raw Orders'!K94="Refunded",'Raw Orders'!G94,0)</f>
        <v>0</v>
      </c>
    </row>
    <row r="98" customFormat="false" ht="15" hidden="false" customHeight="false" outlineLevel="0" collapsed="false">
      <c r="A98" s="36" t="n">
        <f aca="false">IF('Raw Orders'!B95="","",IF(MID('Raw Orders'!B95,5,1)="-",DATE(VALUE(LEFT('Raw Orders'!B95,4)),VALUE(MID('Raw Orders'!B95,6,2)),VALUE(MID('Raw Orders'!B95,9,2))),DATE(VALUE(MID('Raw Orders'!B95,7,4)),VALUE(MID('Raw Orders'!B95,4,2)),VALUE(LEFT('Raw Orders'!B95,2)))))</f>
        <v>46150</v>
      </c>
      <c r="B98" s="36" t="n">
        <f aca="false">IF(A98="","",A98-WEEKDAY(A98,3))</f>
        <v>46146</v>
      </c>
      <c r="C98" s="32" t="n">
        <f aca="false">IF(OR('Raw Orders'!C95&lt;&gt;"Product",'Raw Orders'!K95="Cancelled"),0,'Raw Orders'!G95)</f>
        <v>69</v>
      </c>
      <c r="D98" s="31" t="n">
        <f aca="false">IF(AND('Raw Orders'!C95="Product",'Raw Orders'!K95="Fulfilled",COUNTIFS('Raw Orders'!$A$2:$A95,'Raw Orders'!A95,'Raw Orders'!$C$2:$C95,"Product",'Raw Orders'!$K$2:$K95,"Fulfilled")=1),1,0)</f>
        <v>0</v>
      </c>
      <c r="E98" s="31" t="n">
        <f aca="false">IF(AND('Raw Orders'!C95="Product",'Raw Orders'!K95="Fulfilled"),'Raw Orders'!E95,0)</f>
        <v>1</v>
      </c>
      <c r="F98" s="32" t="n">
        <f aca="false">IF('Raw Orders'!K95="Refunded",'Raw Orders'!G95,0)</f>
        <v>0</v>
      </c>
    </row>
    <row r="99" customFormat="false" ht="15" hidden="false" customHeight="false" outlineLevel="0" collapsed="false">
      <c r="A99" s="36" t="n">
        <f aca="false">IF('Raw Orders'!B96="","",IF(MID('Raw Orders'!B96,5,1)="-",DATE(VALUE(LEFT('Raw Orders'!B96,4)),VALUE(MID('Raw Orders'!B96,6,2)),VALUE(MID('Raw Orders'!B96,9,2))),DATE(VALUE(MID('Raw Orders'!B96,7,4)),VALUE(MID('Raw Orders'!B96,4,2)),VALUE(LEFT('Raw Orders'!B96,2)))))</f>
        <v>46150</v>
      </c>
      <c r="B99" s="36" t="n">
        <f aca="false">IF(A99="","",A99-WEEKDAY(A99,3))</f>
        <v>46146</v>
      </c>
      <c r="C99" s="32" t="n">
        <f aca="false">IF(OR('Raw Orders'!C96&lt;&gt;"Product",'Raw Orders'!K96="Cancelled"),0,'Raw Orders'!G96)</f>
        <v>0</v>
      </c>
      <c r="D99" s="31" t="n">
        <f aca="false">IF(AND('Raw Orders'!C96="Product",'Raw Orders'!K96="Fulfilled",COUNTIFS('Raw Orders'!$A$2:$A96,'Raw Orders'!A96,'Raw Orders'!$C$2:$C96,"Product",'Raw Orders'!$K$2:$K96,"Fulfilled")=1),1,0)</f>
        <v>0</v>
      </c>
      <c r="E99" s="31" t="n">
        <f aca="false">IF(AND('Raw Orders'!C96="Product",'Raw Orders'!K96="Fulfilled"),'Raw Orders'!E96,0)</f>
        <v>0</v>
      </c>
      <c r="F99" s="32" t="n">
        <f aca="false">IF('Raw Orders'!K96="Refunded",'Raw Orders'!G96,0)</f>
        <v>0</v>
      </c>
    </row>
    <row r="100" customFormat="false" ht="15" hidden="false" customHeight="false" outlineLevel="0" collapsed="false">
      <c r="A100" s="36" t="n">
        <f aca="false">IF('Raw Orders'!B97="","",IF(MID('Raw Orders'!B97,5,1)="-",DATE(VALUE(LEFT('Raw Orders'!B97,4)),VALUE(MID('Raw Orders'!B97,6,2)),VALUE(MID('Raw Orders'!B97,9,2))),DATE(VALUE(MID('Raw Orders'!B97,7,4)),VALUE(MID('Raw Orders'!B97,4,2)),VALUE(LEFT('Raw Orders'!B97,2)))))</f>
        <v>46150</v>
      </c>
      <c r="B100" s="36" t="n">
        <f aca="false">IF(A100="","",A100-WEEKDAY(A100,3))</f>
        <v>46146</v>
      </c>
      <c r="C100" s="32" t="n">
        <f aca="false">IF(OR('Raw Orders'!C97&lt;&gt;"Product",'Raw Orders'!K97="Cancelled"),0,'Raw Orders'!G97)</f>
        <v>89</v>
      </c>
      <c r="D100" s="31" t="n">
        <f aca="false">IF(AND('Raw Orders'!C97="Product",'Raw Orders'!K97="Fulfilled",COUNTIFS('Raw Orders'!$A$2:$A97,'Raw Orders'!A97,'Raw Orders'!$C$2:$C97,"Product",'Raw Orders'!$K$2:$K97,"Fulfilled")=1),1,0)</f>
        <v>1</v>
      </c>
      <c r="E100" s="31" t="n">
        <f aca="false">IF(AND('Raw Orders'!C97="Product",'Raw Orders'!K97="Fulfilled"),'Raw Orders'!E97,0)</f>
        <v>1</v>
      </c>
      <c r="F100" s="32" t="n">
        <f aca="false">IF('Raw Orders'!K97="Refunded",'Raw Orders'!G97,0)</f>
        <v>0</v>
      </c>
    </row>
    <row r="101" customFormat="false" ht="15" hidden="false" customHeight="false" outlineLevel="0" collapsed="false">
      <c r="A101" s="36" t="n">
        <f aca="false">IF('Raw Orders'!B98="","",IF(MID('Raw Orders'!B98,5,1)="-",DATE(VALUE(LEFT('Raw Orders'!B98,4)),VALUE(MID('Raw Orders'!B98,6,2)),VALUE(MID('Raw Orders'!B98,9,2))),DATE(VALUE(MID('Raw Orders'!B98,7,4)),VALUE(MID('Raw Orders'!B98,4,2)),VALUE(LEFT('Raw Orders'!B98,2)))))</f>
        <v>46150</v>
      </c>
      <c r="B101" s="36" t="n">
        <f aca="false">IF(A101="","",A101-WEEKDAY(A101,3))</f>
        <v>46146</v>
      </c>
      <c r="C101" s="32" t="n">
        <f aca="false">IF(OR('Raw Orders'!C98&lt;&gt;"Product",'Raw Orders'!K98="Cancelled"),0,'Raw Orders'!G98)</f>
        <v>69</v>
      </c>
      <c r="D101" s="31" t="n">
        <f aca="false">IF(AND('Raw Orders'!C98="Product",'Raw Orders'!K98="Fulfilled",COUNTIFS('Raw Orders'!$A$2:$A98,'Raw Orders'!A98,'Raw Orders'!$C$2:$C98,"Product",'Raw Orders'!$K$2:$K98,"Fulfilled")=1),1,0)</f>
        <v>0</v>
      </c>
      <c r="E101" s="31" t="n">
        <f aca="false">IF(AND('Raw Orders'!C98="Product",'Raw Orders'!K98="Fulfilled"),'Raw Orders'!E98,0)</f>
        <v>1</v>
      </c>
      <c r="F101" s="32" t="n">
        <f aca="false">IF('Raw Orders'!K98="Refunded",'Raw Orders'!G98,0)</f>
        <v>0</v>
      </c>
    </row>
    <row r="102" customFormat="false" ht="15" hidden="false" customHeight="false" outlineLevel="0" collapsed="false">
      <c r="A102" s="36" t="n">
        <f aca="false">IF('Raw Orders'!B99="","",IF(MID('Raw Orders'!B99,5,1)="-",DATE(VALUE(LEFT('Raw Orders'!B99,4)),VALUE(MID('Raw Orders'!B99,6,2)),VALUE(MID('Raw Orders'!B99,9,2))),DATE(VALUE(MID('Raw Orders'!B99,7,4)),VALUE(MID('Raw Orders'!B99,4,2)),VALUE(LEFT('Raw Orders'!B99,2)))))</f>
        <v>46150</v>
      </c>
      <c r="B102" s="36" t="n">
        <f aca="false">IF(A102="","",A102-WEEKDAY(A102,3))</f>
        <v>46146</v>
      </c>
      <c r="C102" s="32" t="n">
        <f aca="false">IF(OR('Raw Orders'!C99&lt;&gt;"Product",'Raw Orders'!K99="Cancelled"),0,'Raw Orders'!G99)</f>
        <v>89</v>
      </c>
      <c r="D102" s="31" t="n">
        <f aca="false">IF(AND('Raw Orders'!C99="Product",'Raw Orders'!K99="Fulfilled",COUNTIFS('Raw Orders'!$A$2:$A99,'Raw Orders'!A99,'Raw Orders'!$C$2:$C99,"Product",'Raw Orders'!$K$2:$K99,"Fulfilled")=1),1,0)</f>
        <v>1</v>
      </c>
      <c r="E102" s="31" t="n">
        <f aca="false">IF(AND('Raw Orders'!C99="Product",'Raw Orders'!K99="Fulfilled"),'Raw Orders'!E99,0)</f>
        <v>1</v>
      </c>
      <c r="F102" s="32" t="n">
        <f aca="false">IF('Raw Orders'!K99="Refunded",'Raw Orders'!G99,0)</f>
        <v>0</v>
      </c>
    </row>
    <row r="103" customFormat="false" ht="15" hidden="false" customHeight="false" outlineLevel="0" collapsed="false">
      <c r="A103" s="36" t="n">
        <f aca="false">IF('Raw Orders'!B100="","",IF(MID('Raw Orders'!B100,5,1)="-",DATE(VALUE(LEFT('Raw Orders'!B100,4)),VALUE(MID('Raw Orders'!B100,6,2)),VALUE(MID('Raw Orders'!B100,9,2))),DATE(VALUE(MID('Raw Orders'!B100,7,4)),VALUE(MID('Raw Orders'!B100,4,2)),VALUE(LEFT('Raw Orders'!B100,2)))))</f>
        <v>46150</v>
      </c>
      <c r="B103" s="36" t="n">
        <f aca="false">IF(A103="","",A103-WEEKDAY(A103,3))</f>
        <v>46146</v>
      </c>
      <c r="C103" s="32" t="n">
        <f aca="false">IF(OR('Raw Orders'!C100&lt;&gt;"Product",'Raw Orders'!K100="Cancelled"),0,'Raw Orders'!G100)</f>
        <v>0</v>
      </c>
      <c r="D103" s="31" t="n">
        <f aca="false">IF(AND('Raw Orders'!C100="Product",'Raw Orders'!K100="Fulfilled",COUNTIFS('Raw Orders'!$A$2:$A100,'Raw Orders'!A100,'Raw Orders'!$C$2:$C100,"Product",'Raw Orders'!$K$2:$K100,"Fulfilled")=1),1,0)</f>
        <v>0</v>
      </c>
      <c r="E103" s="31" t="n">
        <f aca="false">IF(AND('Raw Orders'!C100="Product",'Raw Orders'!K100="Fulfilled"),'Raw Orders'!E100,0)</f>
        <v>0</v>
      </c>
      <c r="F103" s="32" t="n">
        <f aca="false">IF('Raw Orders'!K100="Refunded",'Raw Orders'!G100,0)</f>
        <v>0</v>
      </c>
    </row>
    <row r="104" customFormat="false" ht="15" hidden="false" customHeight="false" outlineLevel="0" collapsed="false">
      <c r="A104" s="36" t="n">
        <f aca="false">IF('Raw Orders'!B101="","",IF(MID('Raw Orders'!B101,5,1)="-",DATE(VALUE(LEFT('Raw Orders'!B101,4)),VALUE(MID('Raw Orders'!B101,6,2)),VALUE(MID('Raw Orders'!B101,9,2))),DATE(VALUE(MID('Raw Orders'!B101,7,4)),VALUE(MID('Raw Orders'!B101,4,2)),VALUE(LEFT('Raw Orders'!B101,2)))))</f>
        <v>46150</v>
      </c>
      <c r="B104" s="36" t="n">
        <f aca="false">IF(A104="","",A104-WEEKDAY(A104,3))</f>
        <v>46146</v>
      </c>
      <c r="C104" s="32" t="n">
        <f aca="false">IF(OR('Raw Orders'!C101&lt;&gt;"Product",'Raw Orders'!K101="Cancelled"),0,'Raw Orders'!G101)</f>
        <v>0</v>
      </c>
      <c r="D104" s="31" t="n">
        <f aca="false">IF(AND('Raw Orders'!C101="Product",'Raw Orders'!K101="Fulfilled",COUNTIFS('Raw Orders'!$A$2:$A101,'Raw Orders'!A101,'Raw Orders'!$C$2:$C101,"Product",'Raw Orders'!$K$2:$K101,"Fulfilled")=1),1,0)</f>
        <v>0</v>
      </c>
      <c r="E104" s="31" t="n">
        <f aca="false">IF(AND('Raw Orders'!C101="Product",'Raw Orders'!K101="Fulfilled"),'Raw Orders'!E101,0)</f>
        <v>0</v>
      </c>
      <c r="F104" s="32" t="n">
        <f aca="false">IF('Raw Orders'!K101="Refunded",'Raw Orders'!G101,0)</f>
        <v>0</v>
      </c>
    </row>
    <row r="105" customFormat="false" ht="15" hidden="false" customHeight="false" outlineLevel="0" collapsed="false">
      <c r="A105" s="36" t="n">
        <f aca="false">IF('Raw Orders'!B102="","",IF(MID('Raw Orders'!B102,5,1)="-",DATE(VALUE(LEFT('Raw Orders'!B102,4)),VALUE(MID('Raw Orders'!B102,6,2)),VALUE(MID('Raw Orders'!B102,9,2))),DATE(VALUE(MID('Raw Orders'!B102,7,4)),VALUE(MID('Raw Orders'!B102,4,2)),VALUE(LEFT('Raw Orders'!B102,2)))))</f>
        <v>46150</v>
      </c>
      <c r="B105" s="36" t="n">
        <f aca="false">IF(A105="","",A105-WEEKDAY(A105,3))</f>
        <v>46146</v>
      </c>
      <c r="C105" s="32" t="n">
        <f aca="false">IF(OR('Raw Orders'!C102&lt;&gt;"Product",'Raw Orders'!K102="Cancelled"),0,'Raw Orders'!G102)</f>
        <v>58</v>
      </c>
      <c r="D105" s="31" t="n">
        <f aca="false">IF(AND('Raw Orders'!C102="Product",'Raw Orders'!K102="Fulfilled",COUNTIFS('Raw Orders'!$A$2:$A102,'Raw Orders'!A102,'Raw Orders'!$C$2:$C102,"Product",'Raw Orders'!$K$2:$K102,"Fulfilled")=1),1,0)</f>
        <v>1</v>
      </c>
      <c r="E105" s="31" t="n">
        <f aca="false">IF(AND('Raw Orders'!C102="Product",'Raw Orders'!K102="Fulfilled"),'Raw Orders'!E102,0)</f>
        <v>2</v>
      </c>
      <c r="F105" s="32" t="n">
        <f aca="false">IF('Raw Orders'!K102="Refunded",'Raw Orders'!G102,0)</f>
        <v>0</v>
      </c>
    </row>
    <row r="106" customFormat="false" ht="15" hidden="false" customHeight="false" outlineLevel="0" collapsed="false">
      <c r="A106" s="36" t="n">
        <f aca="false">IF('Raw Orders'!B103="","",IF(MID('Raw Orders'!B103,5,1)="-",DATE(VALUE(LEFT('Raw Orders'!B103,4)),VALUE(MID('Raw Orders'!B103,6,2)),VALUE(MID('Raw Orders'!B103,9,2))),DATE(VALUE(MID('Raw Orders'!B103,7,4)),VALUE(MID('Raw Orders'!B103,4,2)),VALUE(LEFT('Raw Orders'!B103,2)))))</f>
        <v>46150</v>
      </c>
      <c r="B106" s="36" t="n">
        <f aca="false">IF(A106="","",A106-WEEKDAY(A106,3))</f>
        <v>46146</v>
      </c>
      <c r="C106" s="32" t="n">
        <f aca="false">IF(OR('Raw Orders'!C103&lt;&gt;"Product",'Raw Orders'!K103="Cancelled"),0,'Raw Orders'!G103)</f>
        <v>156</v>
      </c>
      <c r="D106" s="31" t="n">
        <f aca="false">IF(AND('Raw Orders'!C103="Product",'Raw Orders'!K103="Fulfilled",COUNTIFS('Raw Orders'!$A$2:$A103,'Raw Orders'!A103,'Raw Orders'!$C$2:$C103,"Product",'Raw Orders'!$K$2:$K103,"Fulfilled")=1),1,0)</f>
        <v>0</v>
      </c>
      <c r="E106" s="31" t="n">
        <f aca="false">IF(AND('Raw Orders'!C103="Product",'Raw Orders'!K103="Fulfilled"),'Raw Orders'!E103,0)</f>
        <v>4</v>
      </c>
      <c r="F106" s="32" t="n">
        <f aca="false">IF('Raw Orders'!K103="Refunded",'Raw Orders'!G103,0)</f>
        <v>0</v>
      </c>
    </row>
    <row r="107" customFormat="false" ht="15" hidden="false" customHeight="false" outlineLevel="0" collapsed="false">
      <c r="A107" s="36" t="n">
        <f aca="false">IF('Raw Orders'!B104="","",IF(MID('Raw Orders'!B104,5,1)="-",DATE(VALUE(LEFT('Raw Orders'!B104,4)),VALUE(MID('Raw Orders'!B104,6,2)),VALUE(MID('Raw Orders'!B104,9,2))),DATE(VALUE(MID('Raw Orders'!B104,7,4)),VALUE(MID('Raw Orders'!B104,4,2)),VALUE(LEFT('Raw Orders'!B104,2)))))</f>
        <v>46150</v>
      </c>
      <c r="B107" s="36" t="n">
        <f aca="false">IF(A107="","",A107-WEEKDAY(A107,3))</f>
        <v>46146</v>
      </c>
      <c r="C107" s="32" t="n">
        <f aca="false">IF(OR('Raw Orders'!C104&lt;&gt;"Product",'Raw Orders'!K104="Cancelled"),0,'Raw Orders'!G104)</f>
        <v>69</v>
      </c>
      <c r="D107" s="31" t="n">
        <f aca="false">IF(AND('Raw Orders'!C104="Product",'Raw Orders'!K104="Fulfilled",COUNTIFS('Raw Orders'!$A$2:$A104,'Raw Orders'!A104,'Raw Orders'!$C$2:$C104,"Product",'Raw Orders'!$K$2:$K104,"Fulfilled")=1),1,0)</f>
        <v>0</v>
      </c>
      <c r="E107" s="31" t="n">
        <f aca="false">IF(AND('Raw Orders'!C104="Product",'Raw Orders'!K104="Fulfilled"),'Raw Orders'!E104,0)</f>
        <v>1</v>
      </c>
      <c r="F107" s="32" t="n">
        <f aca="false">IF('Raw Orders'!K104="Refunded",'Raw Orders'!G104,0)</f>
        <v>0</v>
      </c>
    </row>
    <row r="108" customFormat="false" ht="15" hidden="false" customHeight="false" outlineLevel="0" collapsed="false">
      <c r="A108" s="36" t="n">
        <f aca="false">IF('Raw Orders'!B105="","",IF(MID('Raw Orders'!B105,5,1)="-",DATE(VALUE(LEFT('Raw Orders'!B105,4)),VALUE(MID('Raw Orders'!B105,6,2)),VALUE(MID('Raw Orders'!B105,9,2))),DATE(VALUE(MID('Raw Orders'!B105,7,4)),VALUE(MID('Raw Orders'!B105,4,2)),VALUE(LEFT('Raw Orders'!B105,2)))))</f>
        <v>46150</v>
      </c>
      <c r="B108" s="36" t="n">
        <f aca="false">IF(A108="","",A108-WEEKDAY(A108,3))</f>
        <v>46146</v>
      </c>
      <c r="C108" s="32" t="n">
        <f aca="false">IF(OR('Raw Orders'!C105&lt;&gt;"Product",'Raw Orders'!K105="Cancelled"),0,'Raw Orders'!G105)</f>
        <v>90</v>
      </c>
      <c r="D108" s="31" t="n">
        <f aca="false">IF(AND('Raw Orders'!C105="Product",'Raw Orders'!K105="Fulfilled",COUNTIFS('Raw Orders'!$A$2:$A105,'Raw Orders'!A105,'Raw Orders'!$C$2:$C105,"Product",'Raw Orders'!$K$2:$K105,"Fulfilled")=1),1,0)</f>
        <v>1</v>
      </c>
      <c r="E108" s="31" t="n">
        <f aca="false">IF(AND('Raw Orders'!C105="Product",'Raw Orders'!K105="Fulfilled"),'Raw Orders'!E105,0)</f>
        <v>2</v>
      </c>
      <c r="F108" s="32" t="n">
        <f aca="false">IF('Raw Orders'!K105="Refunded",'Raw Orders'!G105,0)</f>
        <v>0</v>
      </c>
    </row>
    <row r="109" customFormat="false" ht="15" hidden="false" customHeight="false" outlineLevel="0" collapsed="false">
      <c r="A109" s="36" t="n">
        <f aca="false">IF('Raw Orders'!B106="","",IF(MID('Raw Orders'!B106,5,1)="-",DATE(VALUE(LEFT('Raw Orders'!B106,4)),VALUE(MID('Raw Orders'!B106,6,2)),VALUE(MID('Raw Orders'!B106,9,2))),DATE(VALUE(MID('Raw Orders'!B106,7,4)),VALUE(MID('Raw Orders'!B106,4,2)),VALUE(LEFT('Raw Orders'!B106,2)))))</f>
        <v>46150</v>
      </c>
      <c r="B109" s="36" t="n">
        <f aca="false">IF(A109="","",A109-WEEKDAY(A109,3))</f>
        <v>46146</v>
      </c>
      <c r="C109" s="32" t="n">
        <f aca="false">IF(OR('Raw Orders'!C106&lt;&gt;"Product",'Raw Orders'!K106="Cancelled"),0,'Raw Orders'!G106)</f>
        <v>89</v>
      </c>
      <c r="D109" s="31" t="n">
        <f aca="false">IF(AND('Raw Orders'!C106="Product",'Raw Orders'!K106="Fulfilled",COUNTIFS('Raw Orders'!$A$2:$A106,'Raw Orders'!A106,'Raw Orders'!$C$2:$C106,"Product",'Raw Orders'!$K$2:$K106,"Fulfilled")=1),1,0)</f>
        <v>1</v>
      </c>
      <c r="E109" s="31" t="n">
        <f aca="false">IF(AND('Raw Orders'!C106="Product",'Raw Orders'!K106="Fulfilled"),'Raw Orders'!E106,0)</f>
        <v>1</v>
      </c>
      <c r="F109" s="32" t="n">
        <f aca="false">IF('Raw Orders'!K106="Refunded",'Raw Orders'!G106,0)</f>
        <v>0</v>
      </c>
    </row>
    <row r="110" customFormat="false" ht="15" hidden="false" customHeight="false" outlineLevel="0" collapsed="false">
      <c r="A110" s="36" t="n">
        <f aca="false">IF('Raw Orders'!B107="","",IF(MID('Raw Orders'!B107,5,1)="-",DATE(VALUE(LEFT('Raw Orders'!B107,4)),VALUE(MID('Raw Orders'!B107,6,2)),VALUE(MID('Raw Orders'!B107,9,2))),DATE(VALUE(MID('Raw Orders'!B107,7,4)),VALUE(MID('Raw Orders'!B107,4,2)),VALUE(LEFT('Raw Orders'!B107,2)))))</f>
        <v>46150</v>
      </c>
      <c r="B110" s="36" t="n">
        <f aca="false">IF(A110="","",A110-WEEKDAY(A110,3))</f>
        <v>46146</v>
      </c>
      <c r="C110" s="32" t="n">
        <f aca="false">IF(OR('Raw Orders'!C107&lt;&gt;"Product",'Raw Orders'!K107="Cancelled"),0,'Raw Orders'!G107)</f>
        <v>0</v>
      </c>
      <c r="D110" s="31" t="n">
        <f aca="false">IF(AND('Raw Orders'!C107="Product",'Raw Orders'!K107="Fulfilled",COUNTIFS('Raw Orders'!$A$2:$A107,'Raw Orders'!A107,'Raw Orders'!$C$2:$C107,"Product",'Raw Orders'!$K$2:$K107,"Fulfilled")=1),1,0)</f>
        <v>0</v>
      </c>
      <c r="E110" s="31" t="n">
        <f aca="false">IF(AND('Raw Orders'!C107="Product",'Raw Orders'!K107="Fulfilled"),'Raw Orders'!E107,0)</f>
        <v>0</v>
      </c>
      <c r="F110" s="32" t="n">
        <f aca="false">IF('Raw Orders'!K107="Refunded",'Raw Orders'!G107,0)</f>
        <v>0</v>
      </c>
    </row>
    <row r="111" customFormat="false" ht="15" hidden="false" customHeight="false" outlineLevel="0" collapsed="false">
      <c r="A111" s="36" t="n">
        <f aca="false">IF('Raw Orders'!B108="","",IF(MID('Raw Orders'!B108,5,1)="-",DATE(VALUE(LEFT('Raw Orders'!B108,4)),VALUE(MID('Raw Orders'!B108,6,2)),VALUE(MID('Raw Orders'!B108,9,2))),DATE(VALUE(MID('Raw Orders'!B108,7,4)),VALUE(MID('Raw Orders'!B108,4,2)),VALUE(LEFT('Raw Orders'!B108,2)))))</f>
        <v>46150</v>
      </c>
      <c r="B111" s="36" t="n">
        <f aca="false">IF(A111="","",A111-WEEKDAY(A111,3))</f>
        <v>46146</v>
      </c>
      <c r="C111" s="32" t="n">
        <f aca="false">IF(OR('Raw Orders'!C108&lt;&gt;"Product",'Raw Orders'!K108="Cancelled"),0,'Raw Orders'!G108)</f>
        <v>69</v>
      </c>
      <c r="D111" s="31" t="n">
        <f aca="false">IF(AND('Raw Orders'!C108="Product",'Raw Orders'!K108="Fulfilled",COUNTIFS('Raw Orders'!$A$2:$A108,'Raw Orders'!A108,'Raw Orders'!$C$2:$C108,"Product",'Raw Orders'!$K$2:$K108,"Fulfilled")=1),1,0)</f>
        <v>1</v>
      </c>
      <c r="E111" s="31" t="n">
        <f aca="false">IF(AND('Raw Orders'!C108="Product",'Raw Orders'!K108="Fulfilled"),'Raw Orders'!E108,0)</f>
        <v>1</v>
      </c>
      <c r="F111" s="32" t="n">
        <f aca="false">IF('Raw Orders'!K108="Refunded",'Raw Orders'!G108,0)</f>
        <v>0</v>
      </c>
    </row>
    <row r="112" customFormat="false" ht="15" hidden="false" customHeight="false" outlineLevel="0" collapsed="false">
      <c r="A112" s="36" t="n">
        <f aca="false">IF('Raw Orders'!B109="","",IF(MID('Raw Orders'!B109,5,1)="-",DATE(VALUE(LEFT('Raw Orders'!B109,4)),VALUE(MID('Raw Orders'!B109,6,2)),VALUE(MID('Raw Orders'!B109,9,2))),DATE(VALUE(MID('Raw Orders'!B109,7,4)),VALUE(MID('Raw Orders'!B109,4,2)),VALUE(LEFT('Raw Orders'!B109,2)))))</f>
        <v>46150</v>
      </c>
      <c r="B112" s="36" t="n">
        <f aca="false">IF(A112="","",A112-WEEKDAY(A112,3))</f>
        <v>46146</v>
      </c>
      <c r="C112" s="32" t="n">
        <f aca="false">IF(OR('Raw Orders'!C109&lt;&gt;"Product",'Raw Orders'!K109="Cancelled"),0,'Raw Orders'!G109)</f>
        <v>45</v>
      </c>
      <c r="D112" s="31" t="n">
        <f aca="false">IF(AND('Raw Orders'!C109="Product",'Raw Orders'!K109="Fulfilled",COUNTIFS('Raw Orders'!$A$2:$A109,'Raw Orders'!A109,'Raw Orders'!$C$2:$C109,"Product",'Raw Orders'!$K$2:$K109,"Fulfilled")=1),1,0)</f>
        <v>1</v>
      </c>
      <c r="E112" s="31" t="n">
        <f aca="false">IF(AND('Raw Orders'!C109="Product",'Raw Orders'!K109="Fulfilled"),'Raw Orders'!E109,0)</f>
        <v>1</v>
      </c>
      <c r="F112" s="32" t="n">
        <f aca="false">IF('Raw Orders'!K109="Refunded",'Raw Orders'!G109,0)</f>
        <v>0</v>
      </c>
    </row>
    <row r="113" customFormat="false" ht="15" hidden="false" customHeight="false" outlineLevel="0" collapsed="false">
      <c r="A113" s="36" t="n">
        <f aca="false">IF('Raw Orders'!B110="","",IF(MID('Raw Orders'!B110,5,1)="-",DATE(VALUE(LEFT('Raw Orders'!B110,4)),VALUE(MID('Raw Orders'!B110,6,2)),VALUE(MID('Raw Orders'!B110,9,2))),DATE(VALUE(MID('Raw Orders'!B110,7,4)),VALUE(MID('Raw Orders'!B110,4,2)),VALUE(LEFT('Raw Orders'!B110,2)))))</f>
        <v>46150</v>
      </c>
      <c r="B113" s="36" t="n">
        <f aca="false">IF(A113="","",A113-WEEKDAY(A113,3))</f>
        <v>46146</v>
      </c>
      <c r="C113" s="32" t="n">
        <f aca="false">IF(OR('Raw Orders'!C110&lt;&gt;"Product",'Raw Orders'!K110="Cancelled"),0,'Raw Orders'!G110)</f>
        <v>35</v>
      </c>
      <c r="D113" s="31" t="n">
        <f aca="false">IF(AND('Raw Orders'!C110="Product",'Raw Orders'!K110="Fulfilled",COUNTIFS('Raw Orders'!$A$2:$A110,'Raw Orders'!A110,'Raw Orders'!$C$2:$C110,"Product",'Raw Orders'!$K$2:$K110,"Fulfilled")=1),1,0)</f>
        <v>0</v>
      </c>
      <c r="E113" s="31" t="n">
        <f aca="false">IF(AND('Raw Orders'!C110="Product",'Raw Orders'!K110="Fulfilled"),'Raw Orders'!E110,0)</f>
        <v>1</v>
      </c>
      <c r="F113" s="32" t="n">
        <f aca="false">IF('Raw Orders'!K110="Refunded",'Raw Orders'!G110,0)</f>
        <v>0</v>
      </c>
    </row>
    <row r="114" customFormat="false" ht="15" hidden="false" customHeight="false" outlineLevel="0" collapsed="false">
      <c r="A114" s="36" t="n">
        <f aca="false">IF('Raw Orders'!B111="","",IF(MID('Raw Orders'!B111,5,1)="-",DATE(VALUE(LEFT('Raw Orders'!B111,4)),VALUE(MID('Raw Orders'!B111,6,2)),VALUE(MID('Raw Orders'!B111,9,2))),DATE(VALUE(MID('Raw Orders'!B111,7,4)),VALUE(MID('Raw Orders'!B111,4,2)),VALUE(LEFT('Raw Orders'!B111,2)))))</f>
        <v>46150</v>
      </c>
      <c r="B114" s="36" t="n">
        <f aca="false">IF(A114="","",A114-WEEKDAY(A114,3))</f>
        <v>46146</v>
      </c>
      <c r="C114" s="32" t="n">
        <f aca="false">IF(OR('Raw Orders'!C111&lt;&gt;"Product",'Raw Orders'!K111="Cancelled"),0,'Raw Orders'!G111)</f>
        <v>267</v>
      </c>
      <c r="D114" s="31" t="n">
        <f aca="false">IF(AND('Raw Orders'!C111="Product",'Raw Orders'!K111="Fulfilled",COUNTIFS('Raw Orders'!$A$2:$A111,'Raw Orders'!A111,'Raw Orders'!$C$2:$C111,"Product",'Raw Orders'!$K$2:$K111,"Fulfilled")=1),1,0)</f>
        <v>0</v>
      </c>
      <c r="E114" s="31" t="n">
        <f aca="false">IF(AND('Raw Orders'!C111="Product",'Raw Orders'!K111="Fulfilled"),'Raw Orders'!E111,0)</f>
        <v>3</v>
      </c>
      <c r="F114" s="32" t="n">
        <f aca="false">IF('Raw Orders'!K111="Refunded",'Raw Orders'!G111,0)</f>
        <v>0</v>
      </c>
    </row>
    <row r="115" customFormat="false" ht="15" hidden="false" customHeight="false" outlineLevel="0" collapsed="false">
      <c r="A115" s="36" t="n">
        <f aca="false">IF('Raw Orders'!B112="","",IF(MID('Raw Orders'!B112,5,1)="-",DATE(VALUE(LEFT('Raw Orders'!B112,4)),VALUE(MID('Raw Orders'!B112,6,2)),VALUE(MID('Raw Orders'!B112,9,2))),DATE(VALUE(MID('Raw Orders'!B112,7,4)),VALUE(MID('Raw Orders'!B112,4,2)),VALUE(LEFT('Raw Orders'!B112,2)))))</f>
        <v>46151</v>
      </c>
      <c r="B115" s="36" t="n">
        <f aca="false">IF(A115="","",A115-WEEKDAY(A115,3))</f>
        <v>46146</v>
      </c>
      <c r="C115" s="32" t="n">
        <f aca="false">IF(OR('Raw Orders'!C112&lt;&gt;"Product",'Raw Orders'!K112="Cancelled"),0,'Raw Orders'!G112)</f>
        <v>28</v>
      </c>
      <c r="D115" s="31" t="n">
        <f aca="false">IF(AND('Raw Orders'!C112="Product",'Raw Orders'!K112="Fulfilled",COUNTIFS('Raw Orders'!$A$2:$A112,'Raw Orders'!A112,'Raw Orders'!$C$2:$C112,"Product",'Raw Orders'!$K$2:$K112,"Fulfilled")=1),1,0)</f>
        <v>1</v>
      </c>
      <c r="E115" s="31" t="n">
        <f aca="false">IF(AND('Raw Orders'!C112="Product",'Raw Orders'!K112="Fulfilled"),'Raw Orders'!E112,0)</f>
        <v>2</v>
      </c>
      <c r="F115" s="32" t="n">
        <f aca="false">IF('Raw Orders'!K112="Refunded",'Raw Orders'!G112,0)</f>
        <v>0</v>
      </c>
    </row>
    <row r="116" customFormat="false" ht="15" hidden="false" customHeight="false" outlineLevel="0" collapsed="false">
      <c r="A116" s="36" t="n">
        <f aca="false">IF('Raw Orders'!B113="","",IF(MID('Raw Orders'!B113,5,1)="-",DATE(VALUE(LEFT('Raw Orders'!B113,4)),VALUE(MID('Raw Orders'!B113,6,2)),VALUE(MID('Raw Orders'!B113,9,2))),DATE(VALUE(MID('Raw Orders'!B113,7,4)),VALUE(MID('Raw Orders'!B113,4,2)),VALUE(LEFT('Raw Orders'!B113,2)))))</f>
        <v>46151</v>
      </c>
      <c r="B116" s="36" t="n">
        <f aca="false">IF(A116="","",A116-WEEKDAY(A116,3))</f>
        <v>46146</v>
      </c>
      <c r="C116" s="32" t="n">
        <f aca="false">IF(OR('Raw Orders'!C113&lt;&gt;"Product",'Raw Orders'!K113="Cancelled"),0,'Raw Orders'!G113)</f>
        <v>0</v>
      </c>
      <c r="D116" s="31" t="n">
        <f aca="false">IF(AND('Raw Orders'!C113="Product",'Raw Orders'!K113="Fulfilled",COUNTIFS('Raw Orders'!$A$2:$A113,'Raw Orders'!A113,'Raw Orders'!$C$2:$C113,"Product",'Raw Orders'!$K$2:$K113,"Fulfilled")=1),1,0)</f>
        <v>0</v>
      </c>
      <c r="E116" s="31" t="n">
        <f aca="false">IF(AND('Raw Orders'!C113="Product",'Raw Orders'!K113="Fulfilled"),'Raw Orders'!E113,0)</f>
        <v>0</v>
      </c>
      <c r="F116" s="32" t="n">
        <f aca="false">IF('Raw Orders'!K113="Refunded",'Raw Orders'!G113,0)</f>
        <v>0</v>
      </c>
    </row>
    <row r="117" customFormat="false" ht="15" hidden="false" customHeight="false" outlineLevel="0" collapsed="false">
      <c r="A117" s="36" t="n">
        <f aca="false">IF('Raw Orders'!B114="","",IF(MID('Raw Orders'!B114,5,1)="-",DATE(VALUE(LEFT('Raw Orders'!B114,4)),VALUE(MID('Raw Orders'!B114,6,2)),VALUE(MID('Raw Orders'!B114,9,2))),DATE(VALUE(MID('Raw Orders'!B114,7,4)),VALUE(MID('Raw Orders'!B114,4,2)),VALUE(LEFT('Raw Orders'!B114,2)))))</f>
        <v>46151</v>
      </c>
      <c r="B117" s="36" t="n">
        <f aca="false">IF(A117="","",A117-WEEKDAY(A117,3))</f>
        <v>46146</v>
      </c>
      <c r="C117" s="32" t="n">
        <f aca="false">IF(OR('Raw Orders'!C114&lt;&gt;"Product",'Raw Orders'!K114="Cancelled"),0,'Raw Orders'!G114)</f>
        <v>26</v>
      </c>
      <c r="D117" s="31" t="n">
        <f aca="false">IF(AND('Raw Orders'!C114="Product",'Raw Orders'!K114="Fulfilled",COUNTIFS('Raw Orders'!$A$2:$A114,'Raw Orders'!A114,'Raw Orders'!$C$2:$C114,"Product",'Raw Orders'!$K$2:$K114,"Fulfilled")=1),1,0)</f>
        <v>1</v>
      </c>
      <c r="E117" s="31" t="n">
        <f aca="false">IF(AND('Raw Orders'!C114="Product",'Raw Orders'!K114="Fulfilled"),'Raw Orders'!E114,0)</f>
        <v>1</v>
      </c>
      <c r="F117" s="32" t="n">
        <f aca="false">IF('Raw Orders'!K114="Refunded",'Raw Orders'!G114,0)</f>
        <v>0</v>
      </c>
    </row>
    <row r="118" customFormat="false" ht="15" hidden="false" customHeight="false" outlineLevel="0" collapsed="false">
      <c r="A118" s="36" t="n">
        <f aca="false">IF('Raw Orders'!B115="","",IF(MID('Raw Orders'!B115,5,1)="-",DATE(VALUE(LEFT('Raw Orders'!B115,4)),VALUE(MID('Raw Orders'!B115,6,2)),VALUE(MID('Raw Orders'!B115,9,2))),DATE(VALUE(MID('Raw Orders'!B115,7,4)),VALUE(MID('Raw Orders'!B115,4,2)),VALUE(LEFT('Raw Orders'!B115,2)))))</f>
        <v>46151</v>
      </c>
      <c r="B118" s="36" t="n">
        <f aca="false">IF(A118="","",A118-WEEKDAY(A118,3))</f>
        <v>46146</v>
      </c>
      <c r="C118" s="32" t="n">
        <f aca="false">IF(OR('Raw Orders'!C115&lt;&gt;"Product",'Raw Orders'!K115="Cancelled"),0,'Raw Orders'!G115)</f>
        <v>0</v>
      </c>
      <c r="D118" s="31" t="n">
        <f aca="false">IF(AND('Raw Orders'!C115="Product",'Raw Orders'!K115="Fulfilled",COUNTIFS('Raw Orders'!$A$2:$A115,'Raw Orders'!A115,'Raw Orders'!$C$2:$C115,"Product",'Raw Orders'!$K$2:$K115,"Fulfilled")=1),1,0)</f>
        <v>0</v>
      </c>
      <c r="E118" s="31" t="n">
        <f aca="false">IF(AND('Raw Orders'!C115="Product",'Raw Orders'!K115="Fulfilled"),'Raw Orders'!E115,0)</f>
        <v>0</v>
      </c>
      <c r="F118" s="32" t="n">
        <f aca="false">IF('Raw Orders'!K115="Refunded",'Raw Orders'!G115,0)</f>
        <v>0</v>
      </c>
    </row>
    <row r="119" customFormat="false" ht="15" hidden="false" customHeight="false" outlineLevel="0" collapsed="false">
      <c r="A119" s="36" t="n">
        <f aca="false">IF('Raw Orders'!B116="","",IF(MID('Raw Orders'!B116,5,1)="-",DATE(VALUE(LEFT('Raw Orders'!B116,4)),VALUE(MID('Raw Orders'!B116,6,2)),VALUE(MID('Raw Orders'!B116,9,2))),DATE(VALUE(MID('Raw Orders'!B116,7,4)),VALUE(MID('Raw Orders'!B116,4,2)),VALUE(LEFT('Raw Orders'!B116,2)))))</f>
        <v>46151</v>
      </c>
      <c r="B119" s="36" t="n">
        <f aca="false">IF(A119="","",A119-WEEKDAY(A119,3))</f>
        <v>46146</v>
      </c>
      <c r="C119" s="32" t="n">
        <f aca="false">IF(OR('Raw Orders'!C116&lt;&gt;"Product",'Raw Orders'!K116="Cancelled"),0,'Raw Orders'!G116)</f>
        <v>110.4</v>
      </c>
      <c r="D119" s="31" t="n">
        <f aca="false">IF(AND('Raw Orders'!C116="Product",'Raw Orders'!K116="Fulfilled",COUNTIFS('Raw Orders'!$A$2:$A116,'Raw Orders'!A116,'Raw Orders'!$C$2:$C116,"Product",'Raw Orders'!$K$2:$K116,"Fulfilled")=1),1,0)</f>
        <v>0</v>
      </c>
      <c r="E119" s="31" t="n">
        <f aca="false">IF(AND('Raw Orders'!C116="Product",'Raw Orders'!K116="Fulfilled"),'Raw Orders'!E116,0)</f>
        <v>2</v>
      </c>
      <c r="F119" s="32" t="n">
        <f aca="false">IF('Raw Orders'!K116="Refunded",'Raw Orders'!G116,0)</f>
        <v>0</v>
      </c>
    </row>
    <row r="120" customFormat="false" ht="15" hidden="false" customHeight="false" outlineLevel="0" collapsed="false">
      <c r="A120" s="36" t="n">
        <f aca="false">IF('Raw Orders'!B117="","",IF(MID('Raw Orders'!B117,5,1)="-",DATE(VALUE(LEFT('Raw Orders'!B117,4)),VALUE(MID('Raw Orders'!B117,6,2)),VALUE(MID('Raw Orders'!B117,9,2))),DATE(VALUE(MID('Raw Orders'!B117,7,4)),VALUE(MID('Raw Orders'!B117,4,2)),VALUE(LEFT('Raw Orders'!B117,2)))))</f>
        <v>46151</v>
      </c>
      <c r="B120" s="36" t="n">
        <f aca="false">IF(A120="","",A120-WEEKDAY(A120,3))</f>
        <v>46146</v>
      </c>
      <c r="C120" s="32" t="n">
        <f aca="false">IF(OR('Raw Orders'!C117&lt;&gt;"Product",'Raw Orders'!K117="Cancelled"),0,'Raw Orders'!G117)</f>
        <v>178</v>
      </c>
      <c r="D120" s="31" t="n">
        <f aca="false">IF(AND('Raw Orders'!C117="Product",'Raw Orders'!K117="Fulfilled",COUNTIFS('Raw Orders'!$A$2:$A117,'Raw Orders'!A117,'Raw Orders'!$C$2:$C117,"Product",'Raw Orders'!$K$2:$K117,"Fulfilled")=1),1,0)</f>
        <v>1</v>
      </c>
      <c r="E120" s="31" t="n">
        <f aca="false">IF(AND('Raw Orders'!C117="Product",'Raw Orders'!K117="Fulfilled"),'Raw Orders'!E117,0)</f>
        <v>2</v>
      </c>
      <c r="F120" s="32" t="n">
        <f aca="false">IF('Raw Orders'!K117="Refunded",'Raw Orders'!G117,0)</f>
        <v>0</v>
      </c>
    </row>
    <row r="121" customFormat="false" ht="15" hidden="false" customHeight="false" outlineLevel="0" collapsed="false">
      <c r="A121" s="36" t="n">
        <f aca="false">IF('Raw Orders'!B118="","",IF(MID('Raw Orders'!B118,5,1)="-",DATE(VALUE(LEFT('Raw Orders'!B118,4)),VALUE(MID('Raw Orders'!B118,6,2)),VALUE(MID('Raw Orders'!B118,9,2))),DATE(VALUE(MID('Raw Orders'!B118,7,4)),VALUE(MID('Raw Orders'!B118,4,2)),VALUE(LEFT('Raw Orders'!B118,2)))))</f>
        <v>46151</v>
      </c>
      <c r="B121" s="36" t="n">
        <f aca="false">IF(A121="","",A121-WEEKDAY(A121,3))</f>
        <v>46146</v>
      </c>
      <c r="C121" s="32" t="n">
        <f aca="false">IF(OR('Raw Orders'!C118&lt;&gt;"Product",'Raw Orders'!K118="Cancelled"),0,'Raw Orders'!G118)</f>
        <v>32</v>
      </c>
      <c r="D121" s="31" t="n">
        <f aca="false">IF(AND('Raw Orders'!C118="Product",'Raw Orders'!K118="Fulfilled",COUNTIFS('Raw Orders'!$A$2:$A118,'Raw Orders'!A118,'Raw Orders'!$C$2:$C118,"Product",'Raw Orders'!$K$2:$K118,"Fulfilled")=1),1,0)</f>
        <v>0</v>
      </c>
      <c r="E121" s="31" t="n">
        <f aca="false">IF(AND('Raw Orders'!C118="Product",'Raw Orders'!K118="Fulfilled"),'Raw Orders'!E118,0)</f>
        <v>1</v>
      </c>
      <c r="F121" s="32" t="n">
        <f aca="false">IF('Raw Orders'!K118="Refunded",'Raw Orders'!G118,0)</f>
        <v>0</v>
      </c>
    </row>
    <row r="122" customFormat="false" ht="15" hidden="false" customHeight="false" outlineLevel="0" collapsed="false">
      <c r="A122" s="36" t="n">
        <f aca="false">IF('Raw Orders'!B119="","",IF(MID('Raw Orders'!B119,5,1)="-",DATE(VALUE(LEFT('Raw Orders'!B119,4)),VALUE(MID('Raw Orders'!B119,6,2)),VALUE(MID('Raw Orders'!B119,9,2))),DATE(VALUE(MID('Raw Orders'!B119,7,4)),VALUE(MID('Raw Orders'!B119,4,2)),VALUE(LEFT('Raw Orders'!B119,2)))))</f>
        <v>46151</v>
      </c>
      <c r="B122" s="36" t="n">
        <f aca="false">IF(A122="","",A122-WEEKDAY(A122,3))</f>
        <v>46146</v>
      </c>
      <c r="C122" s="32" t="n">
        <f aca="false">IF(OR('Raw Orders'!C119&lt;&gt;"Product",'Raw Orders'!K119="Cancelled"),0,'Raw Orders'!G119)</f>
        <v>0</v>
      </c>
      <c r="D122" s="31" t="n">
        <f aca="false">IF(AND('Raw Orders'!C119="Product",'Raw Orders'!K119="Fulfilled",COUNTIFS('Raw Orders'!$A$2:$A119,'Raw Orders'!A119,'Raw Orders'!$C$2:$C119,"Product",'Raw Orders'!$K$2:$K119,"Fulfilled")=1),1,0)</f>
        <v>0</v>
      </c>
      <c r="E122" s="31" t="n">
        <f aca="false">IF(AND('Raw Orders'!C119="Product",'Raw Orders'!K119="Fulfilled"),'Raw Orders'!E119,0)</f>
        <v>0</v>
      </c>
      <c r="F122" s="32" t="n">
        <f aca="false">IF('Raw Orders'!K119="Refunded",'Raw Orders'!G119,0)</f>
        <v>0</v>
      </c>
    </row>
    <row r="123" customFormat="false" ht="15" hidden="false" customHeight="false" outlineLevel="0" collapsed="false">
      <c r="A123" s="36" t="n">
        <f aca="false">IF('Raw Orders'!B120="","",IF(MID('Raw Orders'!B120,5,1)="-",DATE(VALUE(LEFT('Raw Orders'!B120,4)),VALUE(MID('Raw Orders'!B120,6,2)),VALUE(MID('Raw Orders'!B120,9,2))),DATE(VALUE(MID('Raw Orders'!B120,7,4)),VALUE(MID('Raw Orders'!B120,4,2)),VALUE(LEFT('Raw Orders'!B120,2)))))</f>
        <v>46151</v>
      </c>
      <c r="B123" s="36" t="n">
        <f aca="false">IF(A123="","",A123-WEEKDAY(A123,3))</f>
        <v>46146</v>
      </c>
      <c r="C123" s="32" t="n">
        <f aca="false">IF(OR('Raw Orders'!C120&lt;&gt;"Product",'Raw Orders'!K120="Cancelled"),0,'Raw Orders'!G120)</f>
        <v>45</v>
      </c>
      <c r="D123" s="31" t="n">
        <f aca="false">IF(AND('Raw Orders'!C120="Product",'Raw Orders'!K120="Fulfilled",COUNTIFS('Raw Orders'!$A$2:$A120,'Raw Orders'!A120,'Raw Orders'!$C$2:$C120,"Product",'Raw Orders'!$K$2:$K120,"Fulfilled")=1),1,0)</f>
        <v>1</v>
      </c>
      <c r="E123" s="31" t="n">
        <f aca="false">IF(AND('Raw Orders'!C120="Product",'Raw Orders'!K120="Fulfilled"),'Raw Orders'!E120,0)</f>
        <v>1</v>
      </c>
      <c r="F123" s="32" t="n">
        <f aca="false">IF('Raw Orders'!K120="Refunded",'Raw Orders'!G120,0)</f>
        <v>0</v>
      </c>
    </row>
    <row r="124" customFormat="false" ht="15" hidden="false" customHeight="false" outlineLevel="0" collapsed="false">
      <c r="A124" s="36" t="n">
        <f aca="false">IF('Raw Orders'!B121="","",IF(MID('Raw Orders'!B121,5,1)="-",DATE(VALUE(LEFT('Raw Orders'!B121,4)),VALUE(MID('Raw Orders'!B121,6,2)),VALUE(MID('Raw Orders'!B121,9,2))),DATE(VALUE(MID('Raw Orders'!B121,7,4)),VALUE(MID('Raw Orders'!B121,4,2)),VALUE(LEFT('Raw Orders'!B121,2)))))</f>
        <v>46151</v>
      </c>
      <c r="B124" s="36" t="n">
        <f aca="false">IF(A124="","",A124-WEEKDAY(A124,3))</f>
        <v>46146</v>
      </c>
      <c r="C124" s="32" t="n">
        <f aca="false">IF(OR('Raw Orders'!C121&lt;&gt;"Product",'Raw Orders'!K121="Cancelled"),0,'Raw Orders'!G121)</f>
        <v>69</v>
      </c>
      <c r="D124" s="31" t="n">
        <f aca="false">IF(AND('Raw Orders'!C121="Product",'Raw Orders'!K121="Fulfilled",COUNTIFS('Raw Orders'!$A$2:$A121,'Raw Orders'!A121,'Raw Orders'!$C$2:$C121,"Product",'Raw Orders'!$K$2:$K121,"Fulfilled")=1),1,0)</f>
        <v>1</v>
      </c>
      <c r="E124" s="31" t="n">
        <f aca="false">IF(AND('Raw Orders'!C121="Product",'Raw Orders'!K121="Fulfilled"),'Raw Orders'!E121,0)</f>
        <v>1</v>
      </c>
      <c r="F124" s="32" t="n">
        <f aca="false">IF('Raw Orders'!K121="Refunded",'Raw Orders'!G121,0)</f>
        <v>0</v>
      </c>
    </row>
    <row r="125" customFormat="false" ht="15" hidden="false" customHeight="false" outlineLevel="0" collapsed="false">
      <c r="A125" s="36" t="n">
        <f aca="false">IF('Raw Orders'!B122="","",IF(MID('Raw Orders'!B122,5,1)="-",DATE(VALUE(LEFT('Raw Orders'!B122,4)),VALUE(MID('Raw Orders'!B122,6,2)),VALUE(MID('Raw Orders'!B122,9,2))),DATE(VALUE(MID('Raw Orders'!B122,7,4)),VALUE(MID('Raw Orders'!B122,4,2)),VALUE(LEFT('Raw Orders'!B122,2)))))</f>
        <v>46151</v>
      </c>
      <c r="B125" s="36" t="n">
        <f aca="false">IF(A125="","",A125-WEEKDAY(A125,3))</f>
        <v>46146</v>
      </c>
      <c r="C125" s="32" t="n">
        <f aca="false">IF(OR('Raw Orders'!C122&lt;&gt;"Product",'Raw Orders'!K122="Cancelled"),0,'Raw Orders'!G122)</f>
        <v>0</v>
      </c>
      <c r="D125" s="31" t="n">
        <f aca="false">IF(AND('Raw Orders'!C122="Product",'Raw Orders'!K122="Fulfilled",COUNTIFS('Raw Orders'!$A$2:$A122,'Raw Orders'!A122,'Raw Orders'!$C$2:$C122,"Product",'Raw Orders'!$K$2:$K122,"Fulfilled")=1),1,0)</f>
        <v>0</v>
      </c>
      <c r="E125" s="31" t="n">
        <f aca="false">IF(AND('Raw Orders'!C122="Product",'Raw Orders'!K122="Fulfilled"),'Raw Orders'!E122,0)</f>
        <v>0</v>
      </c>
      <c r="F125" s="32" t="n">
        <f aca="false">IF('Raw Orders'!K122="Refunded",'Raw Orders'!G122,0)</f>
        <v>0</v>
      </c>
    </row>
    <row r="126" customFormat="false" ht="15" hidden="false" customHeight="false" outlineLevel="0" collapsed="false">
      <c r="A126" s="36" t="n">
        <f aca="false">IF('Raw Orders'!B123="","",IF(MID('Raw Orders'!B123,5,1)="-",DATE(VALUE(LEFT('Raw Orders'!B123,4)),VALUE(MID('Raw Orders'!B123,6,2)),VALUE(MID('Raw Orders'!B123,9,2))),DATE(VALUE(MID('Raw Orders'!B123,7,4)),VALUE(MID('Raw Orders'!B123,4,2)),VALUE(LEFT('Raw Orders'!B123,2)))))</f>
        <v>46151</v>
      </c>
      <c r="B126" s="36" t="n">
        <f aca="false">IF(A126="","",A126-WEEKDAY(A126,3))</f>
        <v>46146</v>
      </c>
      <c r="C126" s="32" t="n">
        <f aca="false">IF(OR('Raw Orders'!C123&lt;&gt;"Product",'Raw Orders'!K123="Cancelled"),0,'Raw Orders'!G123)</f>
        <v>0</v>
      </c>
      <c r="D126" s="31" t="n">
        <f aca="false">IF(AND('Raw Orders'!C123="Product",'Raw Orders'!K123="Fulfilled",COUNTIFS('Raw Orders'!$A$2:$A123,'Raw Orders'!A123,'Raw Orders'!$C$2:$C123,"Product",'Raw Orders'!$K$2:$K123,"Fulfilled")=1),1,0)</f>
        <v>0</v>
      </c>
      <c r="E126" s="31" t="n">
        <f aca="false">IF(AND('Raw Orders'!C123="Product",'Raw Orders'!K123="Fulfilled"),'Raw Orders'!E123,0)</f>
        <v>0</v>
      </c>
      <c r="F126" s="32" t="n">
        <f aca="false">IF('Raw Orders'!K123="Refunded",'Raw Orders'!G123,0)</f>
        <v>0</v>
      </c>
    </row>
    <row r="127" customFormat="false" ht="15" hidden="false" customHeight="false" outlineLevel="0" collapsed="false">
      <c r="A127" s="36" t="n">
        <f aca="false">IF('Raw Orders'!B124="","",IF(MID('Raw Orders'!B124,5,1)="-",DATE(VALUE(LEFT('Raw Orders'!B124,4)),VALUE(MID('Raw Orders'!B124,6,2)),VALUE(MID('Raw Orders'!B124,9,2))),DATE(VALUE(MID('Raw Orders'!B124,7,4)),VALUE(MID('Raw Orders'!B124,4,2)),VALUE(LEFT('Raw Orders'!B124,2)))))</f>
        <v>46151</v>
      </c>
      <c r="B127" s="36" t="n">
        <f aca="false">IF(A127="","",A127-WEEKDAY(A127,3))</f>
        <v>46146</v>
      </c>
      <c r="C127" s="32" t="n">
        <f aca="false">IF(OR('Raw Orders'!C124&lt;&gt;"Product",'Raw Orders'!K124="Cancelled"),0,'Raw Orders'!G124)</f>
        <v>0</v>
      </c>
      <c r="D127" s="31" t="n">
        <f aca="false">IF(AND('Raw Orders'!C124="Product",'Raw Orders'!K124="Fulfilled",COUNTIFS('Raw Orders'!$A$2:$A124,'Raw Orders'!A124,'Raw Orders'!$C$2:$C124,"Product",'Raw Orders'!$K$2:$K124,"Fulfilled")=1),1,0)</f>
        <v>0</v>
      </c>
      <c r="E127" s="31" t="n">
        <f aca="false">IF(AND('Raw Orders'!C124="Product",'Raw Orders'!K124="Fulfilled"),'Raw Orders'!E124,0)</f>
        <v>0</v>
      </c>
      <c r="F127" s="32" t="n">
        <f aca="false">IF('Raw Orders'!K124="Refunded",'Raw Orders'!G124,0)</f>
        <v>0</v>
      </c>
    </row>
    <row r="128" customFormat="false" ht="15" hidden="false" customHeight="false" outlineLevel="0" collapsed="false">
      <c r="A128" s="36" t="n">
        <f aca="false">IF('Raw Orders'!B125="","",IF(MID('Raw Orders'!B125,5,1)="-",DATE(VALUE(LEFT('Raw Orders'!B125,4)),VALUE(MID('Raw Orders'!B125,6,2)),VALUE(MID('Raw Orders'!B125,9,2))),DATE(VALUE(MID('Raw Orders'!B125,7,4)),VALUE(MID('Raw Orders'!B125,4,2)),VALUE(LEFT('Raw Orders'!B125,2)))))</f>
        <v>46151</v>
      </c>
      <c r="B128" s="36" t="n">
        <f aca="false">IF(A128="","",A128-WEEKDAY(A128,3))</f>
        <v>46146</v>
      </c>
      <c r="C128" s="32" t="n">
        <f aca="false">IF(OR('Raw Orders'!C125&lt;&gt;"Product",'Raw Orders'!K125="Cancelled"),0,'Raw Orders'!G125)</f>
        <v>178</v>
      </c>
      <c r="D128" s="31" t="n">
        <f aca="false">IF(AND('Raw Orders'!C125="Product",'Raw Orders'!K125="Fulfilled",COUNTIFS('Raw Orders'!$A$2:$A125,'Raw Orders'!A125,'Raw Orders'!$C$2:$C125,"Product",'Raw Orders'!$K$2:$K125,"Fulfilled")=1),1,0)</f>
        <v>1</v>
      </c>
      <c r="E128" s="31" t="n">
        <f aca="false">IF(AND('Raw Orders'!C125="Product",'Raw Orders'!K125="Fulfilled"),'Raw Orders'!E125,0)</f>
        <v>2</v>
      </c>
      <c r="F128" s="32" t="n">
        <f aca="false">IF('Raw Orders'!K125="Refunded",'Raw Orders'!G125,0)</f>
        <v>0</v>
      </c>
    </row>
    <row r="129" customFormat="false" ht="15" hidden="false" customHeight="false" outlineLevel="0" collapsed="false">
      <c r="A129" s="36" t="n">
        <f aca="false">IF('Raw Orders'!B126="","",IF(MID('Raw Orders'!B126,5,1)="-",DATE(VALUE(LEFT('Raw Orders'!B126,4)),VALUE(MID('Raw Orders'!B126,6,2)),VALUE(MID('Raw Orders'!B126,9,2))),DATE(VALUE(MID('Raw Orders'!B126,7,4)),VALUE(MID('Raw Orders'!B126,4,2)),VALUE(LEFT('Raw Orders'!B126,2)))))</f>
        <v>46151</v>
      </c>
      <c r="B129" s="36" t="n">
        <f aca="false">IF(A129="","",A129-WEEKDAY(A129,3))</f>
        <v>46146</v>
      </c>
      <c r="C129" s="32" t="n">
        <f aca="false">IF(OR('Raw Orders'!C126&lt;&gt;"Product",'Raw Orders'!K126="Cancelled"),0,'Raw Orders'!G126)</f>
        <v>45</v>
      </c>
      <c r="D129" s="31" t="n">
        <f aca="false">IF(AND('Raw Orders'!C126="Product",'Raw Orders'!K126="Fulfilled",COUNTIFS('Raw Orders'!$A$2:$A126,'Raw Orders'!A126,'Raw Orders'!$C$2:$C126,"Product",'Raw Orders'!$K$2:$K126,"Fulfilled")=1),1,0)</f>
        <v>1</v>
      </c>
      <c r="E129" s="31" t="n">
        <f aca="false">IF(AND('Raw Orders'!C126="Product",'Raw Orders'!K126="Fulfilled"),'Raw Orders'!E126,0)</f>
        <v>1</v>
      </c>
      <c r="F129" s="32" t="n">
        <f aca="false">IF('Raw Orders'!K126="Refunded",'Raw Orders'!G126,0)</f>
        <v>0</v>
      </c>
    </row>
    <row r="130" customFormat="false" ht="15" hidden="false" customHeight="false" outlineLevel="0" collapsed="false">
      <c r="A130" s="36" t="n">
        <f aca="false">IF('Raw Orders'!B127="","",IF(MID('Raw Orders'!B127,5,1)="-",DATE(VALUE(LEFT('Raw Orders'!B127,4)),VALUE(MID('Raw Orders'!B127,6,2)),VALUE(MID('Raw Orders'!B127,9,2))),DATE(VALUE(MID('Raw Orders'!B127,7,4)),VALUE(MID('Raw Orders'!B127,4,2)),VALUE(LEFT('Raw Orders'!B127,2)))))</f>
        <v>46151</v>
      </c>
      <c r="B130" s="36" t="n">
        <f aca="false">IF(A130="","",A130-WEEKDAY(A130,3))</f>
        <v>46146</v>
      </c>
      <c r="C130" s="32" t="n">
        <f aca="false">IF(OR('Raw Orders'!C127&lt;&gt;"Product",'Raw Orders'!K127="Cancelled"),0,'Raw Orders'!G127)</f>
        <v>0</v>
      </c>
      <c r="D130" s="31" t="n">
        <f aca="false">IF(AND('Raw Orders'!C127="Product",'Raw Orders'!K127="Fulfilled",COUNTIFS('Raw Orders'!$A$2:$A127,'Raw Orders'!A127,'Raw Orders'!$C$2:$C127,"Product",'Raw Orders'!$K$2:$K127,"Fulfilled")=1),1,0)</f>
        <v>0</v>
      </c>
      <c r="E130" s="31" t="n">
        <f aca="false">IF(AND('Raw Orders'!C127="Product",'Raw Orders'!K127="Fulfilled"),'Raw Orders'!E127,0)</f>
        <v>0</v>
      </c>
      <c r="F130" s="32" t="n">
        <f aca="false">IF('Raw Orders'!K127="Refunded",'Raw Orders'!G127,0)</f>
        <v>0</v>
      </c>
    </row>
    <row r="131" customFormat="false" ht="15" hidden="false" customHeight="false" outlineLevel="0" collapsed="false">
      <c r="A131" s="36" t="n">
        <f aca="false">IF('Raw Orders'!B128="","",IF(MID('Raw Orders'!B128,5,1)="-",DATE(VALUE(LEFT('Raw Orders'!B128,4)),VALUE(MID('Raw Orders'!B128,6,2)),VALUE(MID('Raw Orders'!B128,9,2))),DATE(VALUE(MID('Raw Orders'!B128,7,4)),VALUE(MID('Raw Orders'!B128,4,2)),VALUE(LEFT('Raw Orders'!B128,2)))))</f>
        <v>46151</v>
      </c>
      <c r="B131" s="36" t="n">
        <f aca="false">IF(A131="","",A131-WEEKDAY(A131,3))</f>
        <v>46146</v>
      </c>
      <c r="C131" s="32" t="n">
        <f aca="false">IF(OR('Raw Orders'!C128&lt;&gt;"Product",'Raw Orders'!K128="Cancelled"),0,'Raw Orders'!G128)</f>
        <v>78</v>
      </c>
      <c r="D131" s="31" t="n">
        <f aca="false">IF(AND('Raw Orders'!C128="Product",'Raw Orders'!K128="Fulfilled",COUNTIFS('Raw Orders'!$A$2:$A128,'Raw Orders'!A128,'Raw Orders'!$C$2:$C128,"Product",'Raw Orders'!$K$2:$K128,"Fulfilled")=1),1,0)</f>
        <v>0</v>
      </c>
      <c r="E131" s="31" t="n">
        <f aca="false">IF(AND('Raw Orders'!C128="Product",'Raw Orders'!K128="Fulfilled"),'Raw Orders'!E128,0)</f>
        <v>2</v>
      </c>
      <c r="F131" s="32" t="n">
        <f aca="false">IF('Raw Orders'!K128="Refunded",'Raw Orders'!G128,0)</f>
        <v>0</v>
      </c>
    </row>
    <row r="132" customFormat="false" ht="15" hidden="false" customHeight="false" outlineLevel="0" collapsed="false">
      <c r="A132" s="36" t="n">
        <f aca="false">IF('Raw Orders'!B129="","",IF(MID('Raw Orders'!B129,5,1)="-",DATE(VALUE(LEFT('Raw Orders'!B129,4)),VALUE(MID('Raw Orders'!B129,6,2)),VALUE(MID('Raw Orders'!B129,9,2))),DATE(VALUE(MID('Raw Orders'!B129,7,4)),VALUE(MID('Raw Orders'!B129,4,2)),VALUE(LEFT('Raw Orders'!B129,2)))))</f>
        <v>46151</v>
      </c>
      <c r="B132" s="36" t="n">
        <f aca="false">IF(A132="","",A132-WEEKDAY(A132,3))</f>
        <v>46146</v>
      </c>
      <c r="C132" s="32" t="n">
        <f aca="false">IF(OR('Raw Orders'!C129&lt;&gt;"Product",'Raw Orders'!K129="Cancelled"),0,'Raw Orders'!G129)</f>
        <v>89</v>
      </c>
      <c r="D132" s="31" t="n">
        <f aca="false">IF(AND('Raw Orders'!C129="Product",'Raw Orders'!K129="Fulfilled",COUNTIFS('Raw Orders'!$A$2:$A129,'Raw Orders'!A129,'Raw Orders'!$C$2:$C129,"Product",'Raw Orders'!$K$2:$K129,"Fulfilled")=1),1,0)</f>
        <v>0</v>
      </c>
      <c r="E132" s="31" t="n">
        <f aca="false">IF(AND('Raw Orders'!C129="Product",'Raw Orders'!K129="Fulfilled"),'Raw Orders'!E129,0)</f>
        <v>1</v>
      </c>
      <c r="F132" s="32" t="n">
        <f aca="false">IF('Raw Orders'!K129="Refunded",'Raw Orders'!G129,0)</f>
        <v>0</v>
      </c>
    </row>
    <row r="133" customFormat="false" ht="15" hidden="false" customHeight="false" outlineLevel="0" collapsed="false">
      <c r="A133" s="36" t="n">
        <f aca="false">IF('Raw Orders'!B130="","",IF(MID('Raw Orders'!B130,5,1)="-",DATE(VALUE(LEFT('Raw Orders'!B130,4)),VALUE(MID('Raw Orders'!B130,6,2)),VALUE(MID('Raw Orders'!B130,9,2))),DATE(VALUE(MID('Raw Orders'!B130,7,4)),VALUE(MID('Raw Orders'!B130,4,2)),VALUE(LEFT('Raw Orders'!B130,2)))))</f>
        <v>46151</v>
      </c>
      <c r="B133" s="36" t="n">
        <f aca="false">IF(A133="","",A133-WEEKDAY(A133,3))</f>
        <v>46146</v>
      </c>
      <c r="C133" s="32" t="n">
        <f aca="false">IF(OR('Raw Orders'!C130&lt;&gt;"Product",'Raw Orders'!K130="Cancelled"),0,'Raw Orders'!G130)</f>
        <v>31.5</v>
      </c>
      <c r="D133" s="31" t="n">
        <f aca="false">IF(AND('Raw Orders'!C130="Product",'Raw Orders'!K130="Fulfilled",COUNTIFS('Raw Orders'!$A$2:$A130,'Raw Orders'!A130,'Raw Orders'!$C$2:$C130,"Product",'Raw Orders'!$K$2:$K130,"Fulfilled")=1),1,0)</f>
        <v>1</v>
      </c>
      <c r="E133" s="31" t="n">
        <f aca="false">IF(AND('Raw Orders'!C130="Product",'Raw Orders'!K130="Fulfilled"),'Raw Orders'!E130,0)</f>
        <v>1</v>
      </c>
      <c r="F133" s="32" t="n">
        <f aca="false">IF('Raw Orders'!K130="Refunded",'Raw Orders'!G130,0)</f>
        <v>0</v>
      </c>
    </row>
    <row r="134" customFormat="false" ht="15" hidden="false" customHeight="false" outlineLevel="0" collapsed="false">
      <c r="A134" s="36" t="n">
        <f aca="false">IF('Raw Orders'!B131="","",IF(MID('Raw Orders'!B131,5,1)="-",DATE(VALUE(LEFT('Raw Orders'!B131,4)),VALUE(MID('Raw Orders'!B131,6,2)),VALUE(MID('Raw Orders'!B131,9,2))),DATE(VALUE(MID('Raw Orders'!B131,7,4)),VALUE(MID('Raw Orders'!B131,4,2)),VALUE(LEFT('Raw Orders'!B131,2)))))</f>
        <v>46151</v>
      </c>
      <c r="B134" s="36" t="n">
        <f aca="false">IF(A134="","",A134-WEEKDAY(A134,3))</f>
        <v>46146</v>
      </c>
      <c r="C134" s="32" t="n">
        <f aca="false">IF(OR('Raw Orders'!C131&lt;&gt;"Product",'Raw Orders'!K131="Cancelled"),0,'Raw Orders'!G131)</f>
        <v>89</v>
      </c>
      <c r="D134" s="31" t="n">
        <f aca="false">IF(AND('Raw Orders'!C131="Product",'Raw Orders'!K131="Fulfilled",COUNTIFS('Raw Orders'!$A$2:$A131,'Raw Orders'!A131,'Raw Orders'!$C$2:$C131,"Product",'Raw Orders'!$K$2:$K131,"Fulfilled")=1),1,0)</f>
        <v>1</v>
      </c>
      <c r="E134" s="31" t="n">
        <f aca="false">IF(AND('Raw Orders'!C131="Product",'Raw Orders'!K131="Fulfilled"),'Raw Orders'!E131,0)</f>
        <v>1</v>
      </c>
      <c r="F134" s="32" t="n">
        <f aca="false">IF('Raw Orders'!K131="Refunded",'Raw Orders'!G131,0)</f>
        <v>0</v>
      </c>
    </row>
    <row r="135" customFormat="false" ht="15" hidden="false" customHeight="false" outlineLevel="0" collapsed="false">
      <c r="A135" s="36" t="n">
        <f aca="false">IF('Raw Orders'!B132="","",IF(MID('Raw Orders'!B132,5,1)="-",DATE(VALUE(LEFT('Raw Orders'!B132,4)),VALUE(MID('Raw Orders'!B132,6,2)),VALUE(MID('Raw Orders'!B132,9,2))),DATE(VALUE(MID('Raw Orders'!B132,7,4)),VALUE(MID('Raw Orders'!B132,4,2)),VALUE(LEFT('Raw Orders'!B132,2)))))</f>
        <v>46152</v>
      </c>
      <c r="B135" s="36" t="n">
        <f aca="false">IF(A135="","",A135-WEEKDAY(A135,3))</f>
        <v>46146</v>
      </c>
      <c r="C135" s="32" t="n">
        <f aca="false">IF(OR('Raw Orders'!C132&lt;&gt;"Product",'Raw Orders'!K132="Cancelled"),0,'Raw Orders'!G132)</f>
        <v>178</v>
      </c>
      <c r="D135" s="31" t="n">
        <f aca="false">IF(AND('Raw Orders'!C132="Product",'Raw Orders'!K132="Fulfilled",COUNTIFS('Raw Orders'!$A$2:$A132,'Raw Orders'!A132,'Raw Orders'!$C$2:$C132,"Product",'Raw Orders'!$K$2:$K132,"Fulfilled")=1),1,0)</f>
        <v>1</v>
      </c>
      <c r="E135" s="31" t="n">
        <f aca="false">IF(AND('Raw Orders'!C132="Product",'Raw Orders'!K132="Fulfilled"),'Raw Orders'!E132,0)</f>
        <v>2</v>
      </c>
      <c r="F135" s="32" t="n">
        <f aca="false">IF('Raw Orders'!K132="Refunded",'Raw Orders'!G132,0)</f>
        <v>0</v>
      </c>
    </row>
    <row r="136" customFormat="false" ht="15" hidden="false" customHeight="false" outlineLevel="0" collapsed="false">
      <c r="A136" s="36" t="n">
        <f aca="false">IF('Raw Orders'!B133="","",IF(MID('Raw Orders'!B133,5,1)="-",DATE(VALUE(LEFT('Raw Orders'!B133,4)),VALUE(MID('Raw Orders'!B133,6,2)),VALUE(MID('Raw Orders'!B133,9,2))),DATE(VALUE(MID('Raw Orders'!B133,7,4)),VALUE(MID('Raw Orders'!B133,4,2)),VALUE(LEFT('Raw Orders'!B133,2)))))</f>
        <v>46152</v>
      </c>
      <c r="B136" s="36" t="n">
        <f aca="false">IF(A136="","",A136-WEEKDAY(A136,3))</f>
        <v>46146</v>
      </c>
      <c r="C136" s="32" t="n">
        <f aca="false">IF(OR('Raw Orders'!C133&lt;&gt;"Product",'Raw Orders'!K133="Cancelled"),0,'Raw Orders'!G133)</f>
        <v>0</v>
      </c>
      <c r="D136" s="31" t="n">
        <f aca="false">IF(AND('Raw Orders'!C133="Product",'Raw Orders'!K133="Fulfilled",COUNTIFS('Raw Orders'!$A$2:$A133,'Raw Orders'!A133,'Raw Orders'!$C$2:$C133,"Product",'Raw Orders'!$K$2:$K133,"Fulfilled")=1),1,0)</f>
        <v>0</v>
      </c>
      <c r="E136" s="31" t="n">
        <f aca="false">IF(AND('Raw Orders'!C133="Product",'Raw Orders'!K133="Fulfilled"),'Raw Orders'!E133,0)</f>
        <v>0</v>
      </c>
      <c r="F136" s="32" t="n">
        <f aca="false">IF('Raw Orders'!K133="Refunded",'Raw Orders'!G133,0)</f>
        <v>0</v>
      </c>
    </row>
    <row r="137" customFormat="false" ht="15" hidden="false" customHeight="false" outlineLevel="0" collapsed="false">
      <c r="A137" s="36" t="n">
        <f aca="false">IF('Raw Orders'!B134="","",IF(MID('Raw Orders'!B134,5,1)="-",DATE(VALUE(LEFT('Raw Orders'!B134,4)),VALUE(MID('Raw Orders'!B134,6,2)),VALUE(MID('Raw Orders'!B134,9,2))),DATE(VALUE(MID('Raw Orders'!B134,7,4)),VALUE(MID('Raw Orders'!B134,4,2)),VALUE(LEFT('Raw Orders'!B134,2)))))</f>
        <v>46152</v>
      </c>
      <c r="B137" s="36" t="n">
        <f aca="false">IF(A137="","",A137-WEEKDAY(A137,3))</f>
        <v>46146</v>
      </c>
      <c r="C137" s="32" t="n">
        <f aca="false">IF(OR('Raw Orders'!C134&lt;&gt;"Product",'Raw Orders'!K134="Cancelled"),0,'Raw Orders'!G134)</f>
        <v>45</v>
      </c>
      <c r="D137" s="31" t="n">
        <f aca="false">IF(AND('Raw Orders'!C134="Product",'Raw Orders'!K134="Fulfilled",COUNTIFS('Raw Orders'!$A$2:$A134,'Raw Orders'!A134,'Raw Orders'!$C$2:$C134,"Product",'Raw Orders'!$K$2:$K134,"Fulfilled")=1),1,0)</f>
        <v>1</v>
      </c>
      <c r="E137" s="31" t="n">
        <f aca="false">IF(AND('Raw Orders'!C134="Product",'Raw Orders'!K134="Fulfilled"),'Raw Orders'!E134,0)</f>
        <v>1</v>
      </c>
      <c r="F137" s="32" t="n">
        <f aca="false">IF('Raw Orders'!K134="Refunded",'Raw Orders'!G134,0)</f>
        <v>0</v>
      </c>
    </row>
    <row r="138" customFormat="false" ht="15" hidden="false" customHeight="false" outlineLevel="0" collapsed="false">
      <c r="A138" s="36" t="n">
        <f aca="false">IF('Raw Orders'!B135="","",IF(MID('Raw Orders'!B135,5,1)="-",DATE(VALUE(LEFT('Raw Orders'!B135,4)),VALUE(MID('Raw Orders'!B135,6,2)),VALUE(MID('Raw Orders'!B135,9,2))),DATE(VALUE(MID('Raw Orders'!B135,7,4)),VALUE(MID('Raw Orders'!B135,4,2)),VALUE(LEFT('Raw Orders'!B135,2)))))</f>
        <v>46152</v>
      </c>
      <c r="B138" s="36" t="n">
        <f aca="false">IF(A138="","",A138-WEEKDAY(A138,3))</f>
        <v>46146</v>
      </c>
      <c r="C138" s="32" t="n">
        <f aca="false">IF(OR('Raw Orders'!C135&lt;&gt;"Product",'Raw Orders'!K135="Cancelled"),0,'Raw Orders'!G135)</f>
        <v>0</v>
      </c>
      <c r="D138" s="31" t="n">
        <f aca="false">IF(AND('Raw Orders'!C135="Product",'Raw Orders'!K135="Fulfilled",COUNTIFS('Raw Orders'!$A$2:$A135,'Raw Orders'!A135,'Raw Orders'!$C$2:$C135,"Product",'Raw Orders'!$K$2:$K135,"Fulfilled")=1),1,0)</f>
        <v>0</v>
      </c>
      <c r="E138" s="31" t="n">
        <f aca="false">IF(AND('Raw Orders'!C135="Product",'Raw Orders'!K135="Fulfilled"),'Raw Orders'!E135,0)</f>
        <v>0</v>
      </c>
      <c r="F138" s="32" t="n">
        <f aca="false">IF('Raw Orders'!K135="Refunded",'Raw Orders'!G135,0)</f>
        <v>0</v>
      </c>
    </row>
    <row r="139" customFormat="false" ht="15" hidden="false" customHeight="false" outlineLevel="0" collapsed="false">
      <c r="A139" s="36" t="n">
        <f aca="false">IF('Raw Orders'!B136="","",IF(MID('Raw Orders'!B136,5,1)="-",DATE(VALUE(LEFT('Raw Orders'!B136,4)),VALUE(MID('Raw Orders'!B136,6,2)),VALUE(MID('Raw Orders'!B136,9,2))),DATE(VALUE(MID('Raw Orders'!B136,7,4)),VALUE(MID('Raw Orders'!B136,4,2)),VALUE(LEFT('Raw Orders'!B136,2)))))</f>
        <v>46152</v>
      </c>
      <c r="B139" s="36" t="n">
        <f aca="false">IF(A139="","",A139-WEEKDAY(A139,3))</f>
        <v>46146</v>
      </c>
      <c r="C139" s="32" t="n">
        <f aca="false">IF(OR('Raw Orders'!C136&lt;&gt;"Product",'Raw Orders'!K136="Cancelled"),0,'Raw Orders'!G136)</f>
        <v>58</v>
      </c>
      <c r="D139" s="31" t="n">
        <f aca="false">IF(AND('Raw Orders'!C136="Product",'Raw Orders'!K136="Fulfilled",COUNTIFS('Raw Orders'!$A$2:$A136,'Raw Orders'!A136,'Raw Orders'!$C$2:$C136,"Product",'Raw Orders'!$K$2:$K136,"Fulfilled")=1),1,0)</f>
        <v>1</v>
      </c>
      <c r="E139" s="31" t="n">
        <f aca="false">IF(AND('Raw Orders'!C136="Product",'Raw Orders'!K136="Fulfilled"),'Raw Orders'!E136,0)</f>
        <v>2</v>
      </c>
      <c r="F139" s="32" t="n">
        <f aca="false">IF('Raw Orders'!K136="Refunded",'Raw Orders'!G136,0)</f>
        <v>0</v>
      </c>
    </row>
    <row r="140" customFormat="false" ht="15" hidden="false" customHeight="false" outlineLevel="0" collapsed="false">
      <c r="A140" s="36" t="n">
        <f aca="false">IF('Raw Orders'!B137="","",IF(MID('Raw Orders'!B137,5,1)="-",DATE(VALUE(LEFT('Raw Orders'!B137,4)),VALUE(MID('Raw Orders'!B137,6,2)),VALUE(MID('Raw Orders'!B137,9,2))),DATE(VALUE(MID('Raw Orders'!B137,7,4)),VALUE(MID('Raw Orders'!B137,4,2)),VALUE(LEFT('Raw Orders'!B137,2)))))</f>
        <v>46152</v>
      </c>
      <c r="B140" s="36" t="n">
        <f aca="false">IF(A140="","",A140-WEEKDAY(A140,3))</f>
        <v>46146</v>
      </c>
      <c r="C140" s="32" t="n">
        <f aca="false">IF(OR('Raw Orders'!C137&lt;&gt;"Product",'Raw Orders'!K137="Cancelled"),0,'Raw Orders'!G137)</f>
        <v>-45</v>
      </c>
      <c r="D140" s="31" t="n">
        <f aca="false">IF(AND('Raw Orders'!C137="Product",'Raw Orders'!K137="Fulfilled",COUNTIFS('Raw Orders'!$A$2:$A137,'Raw Orders'!A137,'Raw Orders'!$C$2:$C137,"Product",'Raw Orders'!$K$2:$K137,"Fulfilled")=1),1,0)</f>
        <v>0</v>
      </c>
      <c r="E140" s="31" t="n">
        <f aca="false">IF(AND('Raw Orders'!C137="Product",'Raw Orders'!K137="Fulfilled"),'Raw Orders'!E137,0)</f>
        <v>0</v>
      </c>
      <c r="F140" s="32" t="n">
        <f aca="false">IF('Raw Orders'!K137="Refunded",'Raw Orders'!G137,0)</f>
        <v>-45</v>
      </c>
    </row>
    <row r="141" customFormat="false" ht="15" hidden="false" customHeight="false" outlineLevel="0" collapsed="false">
      <c r="A141" s="36" t="n">
        <f aca="false">IF('Raw Orders'!B138="","",IF(MID('Raw Orders'!B138,5,1)="-",DATE(VALUE(LEFT('Raw Orders'!B138,4)),VALUE(MID('Raw Orders'!B138,6,2)),VALUE(MID('Raw Orders'!B138,9,2))),DATE(VALUE(MID('Raw Orders'!B138,7,4)),VALUE(MID('Raw Orders'!B138,4,2)),VALUE(LEFT('Raw Orders'!B138,2)))))</f>
        <v>46152</v>
      </c>
      <c r="B141" s="36" t="n">
        <f aca="false">IF(A141="","",A141-WEEKDAY(A141,3))</f>
        <v>46146</v>
      </c>
      <c r="C141" s="32" t="n">
        <f aca="false">IF(OR('Raw Orders'!C138&lt;&gt;"Product",'Raw Orders'!K138="Cancelled"),0,'Raw Orders'!G138)</f>
        <v>45</v>
      </c>
      <c r="D141" s="31" t="n">
        <f aca="false">IF(AND('Raw Orders'!C138="Product",'Raw Orders'!K138="Fulfilled",COUNTIFS('Raw Orders'!$A$2:$A138,'Raw Orders'!A138,'Raw Orders'!$C$2:$C138,"Product",'Raw Orders'!$K$2:$K138,"Fulfilled")=1),1,0)</f>
        <v>1</v>
      </c>
      <c r="E141" s="31" t="n">
        <f aca="false">IF(AND('Raw Orders'!C138="Product",'Raw Orders'!K138="Fulfilled"),'Raw Orders'!E138,0)</f>
        <v>1</v>
      </c>
      <c r="F141" s="32" t="n">
        <f aca="false">IF('Raw Orders'!K138="Refunded",'Raw Orders'!G138,0)</f>
        <v>0</v>
      </c>
    </row>
    <row r="142" customFormat="false" ht="15" hidden="false" customHeight="false" outlineLevel="0" collapsed="false">
      <c r="A142" s="36" t="n">
        <f aca="false">IF('Raw Orders'!B139="","",IF(MID('Raw Orders'!B139,5,1)="-",DATE(VALUE(LEFT('Raw Orders'!B139,4)),VALUE(MID('Raw Orders'!B139,6,2)),VALUE(MID('Raw Orders'!B139,9,2))),DATE(VALUE(MID('Raw Orders'!B139,7,4)),VALUE(MID('Raw Orders'!B139,4,2)),VALUE(LEFT('Raw Orders'!B139,2)))))</f>
        <v>46152</v>
      </c>
      <c r="B142" s="36" t="n">
        <f aca="false">IF(A142="","",A142-WEEKDAY(A142,3))</f>
        <v>46146</v>
      </c>
      <c r="C142" s="32" t="n">
        <f aca="false">IF(OR('Raw Orders'!C139&lt;&gt;"Product",'Raw Orders'!K139="Cancelled"),0,'Raw Orders'!G139)</f>
        <v>0</v>
      </c>
      <c r="D142" s="31" t="n">
        <f aca="false">IF(AND('Raw Orders'!C139="Product",'Raw Orders'!K139="Fulfilled",COUNTIFS('Raw Orders'!$A$2:$A139,'Raw Orders'!A139,'Raw Orders'!$C$2:$C139,"Product",'Raw Orders'!$K$2:$K139,"Fulfilled")=1),1,0)</f>
        <v>0</v>
      </c>
      <c r="E142" s="31" t="n">
        <f aca="false">IF(AND('Raw Orders'!C139="Product",'Raw Orders'!K139="Fulfilled"),'Raw Orders'!E139,0)</f>
        <v>0</v>
      </c>
      <c r="F142" s="32" t="n">
        <f aca="false">IF('Raw Orders'!K139="Refunded",'Raw Orders'!G139,0)</f>
        <v>0</v>
      </c>
    </row>
    <row r="143" customFormat="false" ht="15" hidden="false" customHeight="false" outlineLevel="0" collapsed="false">
      <c r="A143" s="36" t="n">
        <f aca="false">IF('Raw Orders'!B140="","",IF(MID('Raw Orders'!B140,5,1)="-",DATE(VALUE(LEFT('Raw Orders'!B140,4)),VALUE(MID('Raw Orders'!B140,6,2)),VALUE(MID('Raw Orders'!B140,9,2))),DATE(VALUE(MID('Raw Orders'!B140,7,4)),VALUE(MID('Raw Orders'!B140,4,2)),VALUE(LEFT('Raw Orders'!B140,2)))))</f>
        <v>46152</v>
      </c>
      <c r="B143" s="36" t="n">
        <f aca="false">IF(A143="","",A143-WEEKDAY(A143,3))</f>
        <v>46146</v>
      </c>
      <c r="C143" s="32" t="n">
        <f aca="false">IF(OR('Raw Orders'!C140&lt;&gt;"Product",'Raw Orders'!K140="Cancelled"),0,'Raw Orders'!G140)</f>
        <v>0</v>
      </c>
      <c r="D143" s="31" t="n">
        <f aca="false">IF(AND('Raw Orders'!C140="Product",'Raw Orders'!K140="Fulfilled",COUNTIFS('Raw Orders'!$A$2:$A140,'Raw Orders'!A140,'Raw Orders'!$C$2:$C140,"Product",'Raw Orders'!$K$2:$K140,"Fulfilled")=1),1,0)</f>
        <v>0</v>
      </c>
      <c r="E143" s="31" t="n">
        <f aca="false">IF(AND('Raw Orders'!C140="Product",'Raw Orders'!K140="Fulfilled"),'Raw Orders'!E140,0)</f>
        <v>0</v>
      </c>
      <c r="F143" s="32" t="n">
        <f aca="false">IF('Raw Orders'!K140="Refunded",'Raw Orders'!G140,0)</f>
        <v>0</v>
      </c>
    </row>
    <row r="144" customFormat="false" ht="15" hidden="false" customHeight="false" outlineLevel="0" collapsed="false">
      <c r="A144" s="36" t="n">
        <f aca="false">IF('Raw Orders'!B141="","",IF(MID('Raw Orders'!B141,5,1)="-",DATE(VALUE(LEFT('Raw Orders'!B141,4)),VALUE(MID('Raw Orders'!B141,6,2)),VALUE(MID('Raw Orders'!B141,9,2))),DATE(VALUE(MID('Raw Orders'!B141,7,4)),VALUE(MID('Raw Orders'!B141,4,2)),VALUE(LEFT('Raw Orders'!B141,2)))))</f>
        <v>46152</v>
      </c>
      <c r="B144" s="36" t="n">
        <f aca="false">IF(A144="","",A144-WEEKDAY(A144,3))</f>
        <v>46146</v>
      </c>
      <c r="C144" s="32" t="n">
        <f aca="false">IF(OR('Raw Orders'!C141&lt;&gt;"Product",'Raw Orders'!K141="Cancelled"),0,'Raw Orders'!G141)</f>
        <v>75</v>
      </c>
      <c r="D144" s="31" t="n">
        <f aca="false">IF(AND('Raw Orders'!C141="Product",'Raw Orders'!K141="Fulfilled",COUNTIFS('Raw Orders'!$A$2:$A141,'Raw Orders'!A141,'Raw Orders'!$C$2:$C141,"Product",'Raw Orders'!$K$2:$K141,"Fulfilled")=1),1,0)</f>
        <v>1</v>
      </c>
      <c r="E144" s="31" t="n">
        <f aca="false">IF(AND('Raw Orders'!C141="Product",'Raw Orders'!K141="Fulfilled"),'Raw Orders'!E141,0)</f>
        <v>1</v>
      </c>
      <c r="F144" s="32" t="n">
        <f aca="false">IF('Raw Orders'!K141="Refunded",'Raw Orders'!G141,0)</f>
        <v>0</v>
      </c>
    </row>
    <row r="145" customFormat="false" ht="15" hidden="false" customHeight="false" outlineLevel="0" collapsed="false">
      <c r="A145" s="36" t="n">
        <f aca="false">IF('Raw Orders'!B142="","",IF(MID('Raw Orders'!B142,5,1)="-",DATE(VALUE(LEFT('Raw Orders'!B142,4)),VALUE(MID('Raw Orders'!B142,6,2)),VALUE(MID('Raw Orders'!B142,9,2))),DATE(VALUE(MID('Raw Orders'!B142,7,4)),VALUE(MID('Raw Orders'!B142,4,2)),VALUE(LEFT('Raw Orders'!B142,2)))))</f>
        <v>46153</v>
      </c>
      <c r="B145" s="36" t="n">
        <f aca="false">IF(A145="","",A145-WEEKDAY(A145,3))</f>
        <v>46153</v>
      </c>
      <c r="C145" s="32" t="n">
        <f aca="false">IF(OR('Raw Orders'!C142&lt;&gt;"Product",'Raw Orders'!K142="Cancelled"),0,'Raw Orders'!G142)</f>
        <v>26</v>
      </c>
      <c r="D145" s="31" t="n">
        <f aca="false">IF(AND('Raw Orders'!C142="Product",'Raw Orders'!K142="Fulfilled",COUNTIFS('Raw Orders'!$A$2:$A142,'Raw Orders'!A142,'Raw Orders'!$C$2:$C142,"Product",'Raw Orders'!$K$2:$K142,"Fulfilled")=1),1,0)</f>
        <v>1</v>
      </c>
      <c r="E145" s="31" t="n">
        <f aca="false">IF(AND('Raw Orders'!C142="Product",'Raw Orders'!K142="Fulfilled"),'Raw Orders'!E142,0)</f>
        <v>1</v>
      </c>
      <c r="F145" s="32" t="n">
        <f aca="false">IF('Raw Orders'!K142="Refunded",'Raw Orders'!G142,0)</f>
        <v>0</v>
      </c>
    </row>
    <row r="146" customFormat="false" ht="15" hidden="false" customHeight="false" outlineLevel="0" collapsed="false">
      <c r="A146" s="36" t="n">
        <f aca="false">IF('Raw Orders'!B143="","",IF(MID('Raw Orders'!B143,5,1)="-",DATE(VALUE(LEFT('Raw Orders'!B143,4)),VALUE(MID('Raw Orders'!B143,6,2)),VALUE(MID('Raw Orders'!B143,9,2))),DATE(VALUE(MID('Raw Orders'!B143,7,4)),VALUE(MID('Raw Orders'!B143,4,2)),VALUE(LEFT('Raw Orders'!B143,2)))))</f>
        <v>46153</v>
      </c>
      <c r="B146" s="36" t="n">
        <f aca="false">IF(A146="","",A146-WEEKDAY(A146,3))</f>
        <v>46153</v>
      </c>
      <c r="C146" s="32" t="n">
        <f aca="false">IF(OR('Raw Orders'!C143&lt;&gt;"Product",'Raw Orders'!K143="Cancelled"),0,'Raw Orders'!G143)</f>
        <v>75</v>
      </c>
      <c r="D146" s="31" t="n">
        <f aca="false">IF(AND('Raw Orders'!C143="Product",'Raw Orders'!K143="Fulfilled",COUNTIFS('Raw Orders'!$A$2:$A143,'Raw Orders'!A143,'Raw Orders'!$C$2:$C143,"Product",'Raw Orders'!$K$2:$K143,"Fulfilled")=1),1,0)</f>
        <v>0</v>
      </c>
      <c r="E146" s="31" t="n">
        <f aca="false">IF(AND('Raw Orders'!C143="Product",'Raw Orders'!K143="Fulfilled"),'Raw Orders'!E143,0)</f>
        <v>1</v>
      </c>
      <c r="F146" s="32" t="n">
        <f aca="false">IF('Raw Orders'!K143="Refunded",'Raw Orders'!G143,0)</f>
        <v>0</v>
      </c>
    </row>
    <row r="147" customFormat="false" ht="15" hidden="false" customHeight="false" outlineLevel="0" collapsed="false">
      <c r="A147" s="36" t="n">
        <f aca="false">IF('Raw Orders'!B144="","",IF(MID('Raw Orders'!B144,5,1)="-",DATE(VALUE(LEFT('Raw Orders'!B144,4)),VALUE(MID('Raw Orders'!B144,6,2)),VALUE(MID('Raw Orders'!B144,9,2))),DATE(VALUE(MID('Raw Orders'!B144,7,4)),VALUE(MID('Raw Orders'!B144,4,2)),VALUE(LEFT('Raw Orders'!B144,2)))))</f>
        <v>46153</v>
      </c>
      <c r="B147" s="36" t="n">
        <f aca="false">IF(A147="","",A147-WEEKDAY(A147,3))</f>
        <v>46153</v>
      </c>
      <c r="C147" s="32" t="n">
        <f aca="false">IF(OR('Raw Orders'!C144&lt;&gt;"Product",'Raw Orders'!K144="Cancelled"),0,'Raw Orders'!G144)</f>
        <v>0</v>
      </c>
      <c r="D147" s="31" t="n">
        <f aca="false">IF(AND('Raw Orders'!C144="Product",'Raw Orders'!K144="Fulfilled",COUNTIFS('Raw Orders'!$A$2:$A144,'Raw Orders'!A144,'Raw Orders'!$C$2:$C144,"Product",'Raw Orders'!$K$2:$K144,"Fulfilled")=1),1,0)</f>
        <v>0</v>
      </c>
      <c r="E147" s="31" t="n">
        <f aca="false">IF(AND('Raw Orders'!C144="Product",'Raw Orders'!K144="Fulfilled"),'Raw Orders'!E144,0)</f>
        <v>0</v>
      </c>
      <c r="F147" s="32" t="n">
        <f aca="false">IF('Raw Orders'!K144="Refunded",'Raw Orders'!G144,0)</f>
        <v>0</v>
      </c>
    </row>
    <row r="148" customFormat="false" ht="15" hidden="false" customHeight="false" outlineLevel="0" collapsed="false">
      <c r="A148" s="36" t="n">
        <f aca="false">IF('Raw Orders'!B145="","",IF(MID('Raw Orders'!B145,5,1)="-",DATE(VALUE(LEFT('Raw Orders'!B145,4)),VALUE(MID('Raw Orders'!B145,6,2)),VALUE(MID('Raw Orders'!B145,9,2))),DATE(VALUE(MID('Raw Orders'!B145,7,4)),VALUE(MID('Raw Orders'!B145,4,2)),VALUE(LEFT('Raw Orders'!B145,2)))))</f>
        <v>46153</v>
      </c>
      <c r="B148" s="36" t="n">
        <f aca="false">IF(A148="","",A148-WEEKDAY(A148,3))</f>
        <v>46153</v>
      </c>
      <c r="C148" s="32" t="n">
        <f aca="false">IF(OR('Raw Orders'!C145&lt;&gt;"Product",'Raw Orders'!K145="Cancelled"),0,'Raw Orders'!G145)</f>
        <v>22</v>
      </c>
      <c r="D148" s="31" t="n">
        <f aca="false">IF(AND('Raw Orders'!C145="Product",'Raw Orders'!K145="Fulfilled",COUNTIFS('Raw Orders'!$A$2:$A145,'Raw Orders'!A145,'Raw Orders'!$C$2:$C145,"Product",'Raw Orders'!$K$2:$K145,"Fulfilled")=1),1,0)</f>
        <v>1</v>
      </c>
      <c r="E148" s="31" t="n">
        <f aca="false">IF(AND('Raw Orders'!C145="Product",'Raw Orders'!K145="Fulfilled"),'Raw Orders'!E145,0)</f>
        <v>1</v>
      </c>
      <c r="F148" s="32" t="n">
        <f aca="false">IF('Raw Orders'!K145="Refunded",'Raw Orders'!G145,0)</f>
        <v>0</v>
      </c>
    </row>
    <row r="149" customFormat="false" ht="15" hidden="false" customHeight="false" outlineLevel="0" collapsed="false">
      <c r="A149" s="36" t="n">
        <f aca="false">IF('Raw Orders'!B146="","",IF(MID('Raw Orders'!B146,5,1)="-",DATE(VALUE(LEFT('Raw Orders'!B146,4)),VALUE(MID('Raw Orders'!B146,6,2)),VALUE(MID('Raw Orders'!B146,9,2))),DATE(VALUE(MID('Raw Orders'!B146,7,4)),VALUE(MID('Raw Orders'!B146,4,2)),VALUE(LEFT('Raw Orders'!B146,2)))))</f>
        <v>46153</v>
      </c>
      <c r="B149" s="36" t="n">
        <f aca="false">IF(A149="","",A149-WEEKDAY(A149,3))</f>
        <v>46153</v>
      </c>
      <c r="C149" s="32" t="n">
        <f aca="false">IF(OR('Raw Orders'!C146&lt;&gt;"Product",'Raw Orders'!K146="Cancelled"),0,'Raw Orders'!G146)</f>
        <v>0</v>
      </c>
      <c r="D149" s="31" t="n">
        <f aca="false">IF(AND('Raw Orders'!C146="Product",'Raw Orders'!K146="Fulfilled",COUNTIFS('Raw Orders'!$A$2:$A146,'Raw Orders'!A146,'Raw Orders'!$C$2:$C146,"Product",'Raw Orders'!$K$2:$K146,"Fulfilled")=1),1,0)</f>
        <v>0</v>
      </c>
      <c r="E149" s="31" t="n">
        <f aca="false">IF(AND('Raw Orders'!C146="Product",'Raw Orders'!K146="Fulfilled"),'Raw Orders'!E146,0)</f>
        <v>0</v>
      </c>
      <c r="F149" s="32" t="n">
        <f aca="false">IF('Raw Orders'!K146="Refunded",'Raw Orders'!G146,0)</f>
        <v>0</v>
      </c>
    </row>
    <row r="150" customFormat="false" ht="15" hidden="false" customHeight="false" outlineLevel="0" collapsed="false">
      <c r="A150" s="36" t="n">
        <f aca="false">IF('Raw Orders'!B147="","",IF(MID('Raw Orders'!B147,5,1)="-",DATE(VALUE(LEFT('Raw Orders'!B147,4)),VALUE(MID('Raw Orders'!B147,6,2)),VALUE(MID('Raw Orders'!B147,9,2))),DATE(VALUE(MID('Raw Orders'!B147,7,4)),VALUE(MID('Raw Orders'!B147,4,2)),VALUE(LEFT('Raw Orders'!B147,2)))))</f>
        <v>46153</v>
      </c>
      <c r="B150" s="36" t="n">
        <f aca="false">IF(A150="","",A150-WEEKDAY(A150,3))</f>
        <v>46153</v>
      </c>
      <c r="C150" s="32" t="n">
        <f aca="false">IF(OR('Raw Orders'!C147&lt;&gt;"Product",'Raw Orders'!K147="Cancelled"),0,'Raw Orders'!G147)</f>
        <v>0</v>
      </c>
      <c r="D150" s="31" t="n">
        <f aca="false">IF(AND('Raw Orders'!C147="Product",'Raw Orders'!K147="Fulfilled",COUNTIFS('Raw Orders'!$A$2:$A147,'Raw Orders'!A147,'Raw Orders'!$C$2:$C147,"Product",'Raw Orders'!$K$2:$K147,"Fulfilled")=1),1,0)</f>
        <v>0</v>
      </c>
      <c r="E150" s="31" t="n">
        <f aca="false">IF(AND('Raw Orders'!C147="Product",'Raw Orders'!K147="Fulfilled"),'Raw Orders'!E147,0)</f>
        <v>0</v>
      </c>
      <c r="F150" s="32" t="n">
        <f aca="false">IF('Raw Orders'!K147="Refunded",'Raw Orders'!G147,0)</f>
        <v>0</v>
      </c>
    </row>
    <row r="151" customFormat="false" ht="15" hidden="false" customHeight="false" outlineLevel="0" collapsed="false">
      <c r="A151" s="36" t="n">
        <f aca="false">IF('Raw Orders'!B148="","",IF(MID('Raw Orders'!B148,5,1)="-",DATE(VALUE(LEFT('Raw Orders'!B148,4)),VALUE(MID('Raw Orders'!B148,6,2)),VALUE(MID('Raw Orders'!B148,9,2))),DATE(VALUE(MID('Raw Orders'!B148,7,4)),VALUE(MID('Raw Orders'!B148,4,2)),VALUE(LEFT('Raw Orders'!B148,2)))))</f>
        <v>46153</v>
      </c>
      <c r="B151" s="36" t="n">
        <f aca="false">IF(A151="","",A151-WEEKDAY(A151,3))</f>
        <v>46153</v>
      </c>
      <c r="C151" s="32" t="n">
        <f aca="false">IF(OR('Raw Orders'!C148&lt;&gt;"Product",'Raw Orders'!K148="Cancelled"),0,'Raw Orders'!G148)</f>
        <v>39</v>
      </c>
      <c r="D151" s="31" t="n">
        <f aca="false">IF(AND('Raw Orders'!C148="Product",'Raw Orders'!K148="Fulfilled",COUNTIFS('Raw Orders'!$A$2:$A148,'Raw Orders'!A148,'Raw Orders'!$C$2:$C148,"Product",'Raw Orders'!$K$2:$K148,"Fulfilled")=1),1,0)</f>
        <v>1</v>
      </c>
      <c r="E151" s="31" t="n">
        <f aca="false">IF(AND('Raw Orders'!C148="Product",'Raw Orders'!K148="Fulfilled"),'Raw Orders'!E148,0)</f>
        <v>1</v>
      </c>
      <c r="F151" s="32" t="n">
        <f aca="false">IF('Raw Orders'!K148="Refunded",'Raw Orders'!G148,0)</f>
        <v>0</v>
      </c>
    </row>
    <row r="152" customFormat="false" ht="15" hidden="false" customHeight="false" outlineLevel="0" collapsed="false">
      <c r="A152" s="36" t="n">
        <f aca="false">IF('Raw Orders'!B149="","",IF(MID('Raw Orders'!B149,5,1)="-",DATE(VALUE(LEFT('Raw Orders'!B149,4)),VALUE(MID('Raw Orders'!B149,6,2)),VALUE(MID('Raw Orders'!B149,9,2))),DATE(VALUE(MID('Raw Orders'!B149,7,4)),VALUE(MID('Raw Orders'!B149,4,2)),VALUE(LEFT('Raw Orders'!B149,2)))))</f>
        <v>46153</v>
      </c>
      <c r="B152" s="36" t="n">
        <f aca="false">IF(A152="","",A152-WEEKDAY(A152,3))</f>
        <v>46153</v>
      </c>
      <c r="C152" s="32" t="n">
        <f aca="false">IF(OR('Raw Orders'!C149&lt;&gt;"Product",'Raw Orders'!K149="Cancelled"),0,'Raw Orders'!G149)</f>
        <v>45</v>
      </c>
      <c r="D152" s="31" t="n">
        <f aca="false">IF(AND('Raw Orders'!C149="Product",'Raw Orders'!K149="Fulfilled",COUNTIFS('Raw Orders'!$A$2:$A149,'Raw Orders'!A149,'Raw Orders'!$C$2:$C149,"Product",'Raw Orders'!$K$2:$K149,"Fulfilled")=1),1,0)</f>
        <v>1</v>
      </c>
      <c r="E152" s="31" t="n">
        <f aca="false">IF(AND('Raw Orders'!C149="Product",'Raw Orders'!K149="Fulfilled"),'Raw Orders'!E149,0)</f>
        <v>1</v>
      </c>
      <c r="F152" s="32" t="n">
        <f aca="false">IF('Raw Orders'!K149="Refunded",'Raw Orders'!G149,0)</f>
        <v>0</v>
      </c>
    </row>
    <row r="153" customFormat="false" ht="15" hidden="false" customHeight="false" outlineLevel="0" collapsed="false">
      <c r="A153" s="36" t="n">
        <f aca="false">IF('Raw Orders'!B150="","",IF(MID('Raw Orders'!B150,5,1)="-",DATE(VALUE(LEFT('Raw Orders'!B150,4)),VALUE(MID('Raw Orders'!B150,6,2)),VALUE(MID('Raw Orders'!B150,9,2))),DATE(VALUE(MID('Raw Orders'!B150,7,4)),VALUE(MID('Raw Orders'!B150,4,2)),VALUE(LEFT('Raw Orders'!B150,2)))))</f>
        <v>46153</v>
      </c>
      <c r="B153" s="36" t="n">
        <f aca="false">IF(A153="","",A153-WEEKDAY(A153,3))</f>
        <v>46153</v>
      </c>
      <c r="C153" s="32" t="n">
        <f aca="false">IF(OR('Raw Orders'!C150&lt;&gt;"Product",'Raw Orders'!K150="Cancelled"),0,'Raw Orders'!G150)</f>
        <v>39</v>
      </c>
      <c r="D153" s="31" t="n">
        <f aca="false">IF(AND('Raw Orders'!C150="Product",'Raw Orders'!K150="Fulfilled",COUNTIFS('Raw Orders'!$A$2:$A150,'Raw Orders'!A150,'Raw Orders'!$C$2:$C150,"Product",'Raw Orders'!$K$2:$K150,"Fulfilled")=1),1,0)</f>
        <v>1</v>
      </c>
      <c r="E153" s="31" t="n">
        <f aca="false">IF(AND('Raw Orders'!C150="Product",'Raw Orders'!K150="Fulfilled"),'Raw Orders'!E150,0)</f>
        <v>1</v>
      </c>
      <c r="F153" s="32" t="n">
        <f aca="false">IF('Raw Orders'!K150="Refunded",'Raw Orders'!G150,0)</f>
        <v>0</v>
      </c>
    </row>
    <row r="154" customFormat="false" ht="15" hidden="false" customHeight="false" outlineLevel="0" collapsed="false">
      <c r="A154" s="36" t="n">
        <f aca="false">IF('Raw Orders'!B151="","",IF(MID('Raw Orders'!B151,5,1)="-",DATE(VALUE(LEFT('Raw Orders'!B151,4)),VALUE(MID('Raw Orders'!B151,6,2)),VALUE(MID('Raw Orders'!B151,9,2))),DATE(VALUE(MID('Raw Orders'!B151,7,4)),VALUE(MID('Raw Orders'!B151,4,2)),VALUE(LEFT('Raw Orders'!B151,2)))))</f>
        <v>46153</v>
      </c>
      <c r="B154" s="36" t="n">
        <f aca="false">IF(A154="","",A154-WEEKDAY(A154,3))</f>
        <v>46153</v>
      </c>
      <c r="C154" s="32" t="n">
        <f aca="false">IF(OR('Raw Orders'!C151&lt;&gt;"Product",'Raw Orders'!K151="Cancelled"),0,'Raw Orders'!G151)</f>
        <v>64</v>
      </c>
      <c r="D154" s="31" t="n">
        <f aca="false">IF(AND('Raw Orders'!C151="Product",'Raw Orders'!K151="Fulfilled",COUNTIFS('Raw Orders'!$A$2:$A151,'Raw Orders'!A151,'Raw Orders'!$C$2:$C151,"Product",'Raw Orders'!$K$2:$K151,"Fulfilled")=1),1,0)</f>
        <v>1</v>
      </c>
      <c r="E154" s="31" t="n">
        <f aca="false">IF(AND('Raw Orders'!C151="Product",'Raw Orders'!K151="Fulfilled"),'Raw Orders'!E151,0)</f>
        <v>2</v>
      </c>
      <c r="F154" s="32" t="n">
        <f aca="false">IF('Raw Orders'!K151="Refunded",'Raw Orders'!G151,0)</f>
        <v>0</v>
      </c>
    </row>
    <row r="155" customFormat="false" ht="15" hidden="false" customHeight="false" outlineLevel="0" collapsed="false">
      <c r="A155" s="36" t="n">
        <f aca="false">IF('Raw Orders'!B152="","",IF(MID('Raw Orders'!B152,5,1)="-",DATE(VALUE(LEFT('Raw Orders'!B152,4)),VALUE(MID('Raw Orders'!B152,6,2)),VALUE(MID('Raw Orders'!B152,9,2))),DATE(VALUE(MID('Raw Orders'!B152,7,4)),VALUE(MID('Raw Orders'!B152,4,2)),VALUE(LEFT('Raw Orders'!B152,2)))))</f>
        <v>46153</v>
      </c>
      <c r="B155" s="36" t="n">
        <f aca="false">IF(A155="","",A155-WEEKDAY(A155,3))</f>
        <v>46153</v>
      </c>
      <c r="C155" s="32" t="n">
        <f aca="false">IF(OR('Raw Orders'!C152&lt;&gt;"Product",'Raw Orders'!K152="Cancelled"),0,'Raw Orders'!G152)</f>
        <v>90</v>
      </c>
      <c r="D155" s="31" t="n">
        <f aca="false">IF(AND('Raw Orders'!C152="Product",'Raw Orders'!K152="Fulfilled",COUNTIFS('Raw Orders'!$A$2:$A152,'Raw Orders'!A152,'Raw Orders'!$C$2:$C152,"Product",'Raw Orders'!$K$2:$K152,"Fulfilled")=1),1,0)</f>
        <v>1</v>
      </c>
      <c r="E155" s="31" t="n">
        <f aca="false">IF(AND('Raw Orders'!C152="Product",'Raw Orders'!K152="Fulfilled"),'Raw Orders'!E152,0)</f>
        <v>2</v>
      </c>
      <c r="F155" s="32" t="n">
        <f aca="false">IF('Raw Orders'!K152="Refunded",'Raw Orders'!G152,0)</f>
        <v>0</v>
      </c>
    </row>
    <row r="156" customFormat="false" ht="15" hidden="false" customHeight="false" outlineLevel="0" collapsed="false">
      <c r="A156" s="36" t="n">
        <f aca="false">IF('Raw Orders'!B153="","",IF(MID('Raw Orders'!B153,5,1)="-",DATE(VALUE(LEFT('Raw Orders'!B153,4)),VALUE(MID('Raw Orders'!B153,6,2)),VALUE(MID('Raw Orders'!B153,9,2))),DATE(VALUE(MID('Raw Orders'!B153,7,4)),VALUE(MID('Raw Orders'!B153,4,2)),VALUE(LEFT('Raw Orders'!B153,2)))))</f>
        <v>46153</v>
      </c>
      <c r="B156" s="36" t="n">
        <f aca="false">IF(A156="","",A156-WEEKDAY(A156,3))</f>
        <v>46153</v>
      </c>
      <c r="C156" s="32" t="n">
        <f aca="false">IF(OR('Raw Orders'!C153&lt;&gt;"Product",'Raw Orders'!K153="Cancelled"),0,'Raw Orders'!G153)</f>
        <v>0</v>
      </c>
      <c r="D156" s="31" t="n">
        <f aca="false">IF(AND('Raw Orders'!C153="Product",'Raw Orders'!K153="Fulfilled",COUNTIFS('Raw Orders'!$A$2:$A153,'Raw Orders'!A153,'Raw Orders'!$C$2:$C153,"Product",'Raw Orders'!$K$2:$K153,"Fulfilled")=1),1,0)</f>
        <v>0</v>
      </c>
      <c r="E156" s="31" t="n">
        <f aca="false">IF(AND('Raw Orders'!C153="Product",'Raw Orders'!K153="Fulfilled"),'Raw Orders'!E153,0)</f>
        <v>0</v>
      </c>
      <c r="F156" s="32" t="n">
        <f aca="false">IF('Raw Orders'!K153="Refunded",'Raw Orders'!G153,0)</f>
        <v>0</v>
      </c>
    </row>
    <row r="157" customFormat="false" ht="15" hidden="false" customHeight="false" outlineLevel="0" collapsed="false">
      <c r="A157" s="36" t="n">
        <f aca="false">IF('Raw Orders'!B154="","",IF(MID('Raw Orders'!B154,5,1)="-",DATE(VALUE(LEFT('Raw Orders'!B154,4)),VALUE(MID('Raw Orders'!B154,6,2)),VALUE(MID('Raw Orders'!B154,9,2))),DATE(VALUE(MID('Raw Orders'!B154,7,4)),VALUE(MID('Raw Orders'!B154,4,2)),VALUE(LEFT('Raw Orders'!B154,2)))))</f>
        <v>46154</v>
      </c>
      <c r="B157" s="36" t="n">
        <f aca="false">IF(A157="","",A157-WEEKDAY(A157,3))</f>
        <v>46153</v>
      </c>
      <c r="C157" s="32" t="n">
        <f aca="false">IF(OR('Raw Orders'!C154&lt;&gt;"Product",'Raw Orders'!K154="Cancelled"),0,'Raw Orders'!G154)</f>
        <v>39</v>
      </c>
      <c r="D157" s="31" t="n">
        <f aca="false">IF(AND('Raw Orders'!C154="Product",'Raw Orders'!K154="Fulfilled",COUNTIFS('Raw Orders'!$A$2:$A154,'Raw Orders'!A154,'Raw Orders'!$C$2:$C154,"Product",'Raw Orders'!$K$2:$K154,"Fulfilled")=1),1,0)</f>
        <v>1</v>
      </c>
      <c r="E157" s="31" t="n">
        <f aca="false">IF(AND('Raw Orders'!C154="Product",'Raw Orders'!K154="Fulfilled"),'Raw Orders'!E154,0)</f>
        <v>1</v>
      </c>
      <c r="F157" s="32" t="n">
        <f aca="false">IF('Raw Orders'!K154="Refunded",'Raw Orders'!G154,0)</f>
        <v>0</v>
      </c>
    </row>
    <row r="158" customFormat="false" ht="15" hidden="false" customHeight="false" outlineLevel="0" collapsed="false">
      <c r="A158" s="36" t="n">
        <f aca="false">IF('Raw Orders'!B155="","",IF(MID('Raw Orders'!B155,5,1)="-",DATE(VALUE(LEFT('Raw Orders'!B155,4)),VALUE(MID('Raw Orders'!B155,6,2)),VALUE(MID('Raw Orders'!B155,9,2))),DATE(VALUE(MID('Raw Orders'!B155,7,4)),VALUE(MID('Raw Orders'!B155,4,2)),VALUE(LEFT('Raw Orders'!B155,2)))))</f>
        <v>46154</v>
      </c>
      <c r="B158" s="36" t="n">
        <f aca="false">IF(A158="","",A158-WEEKDAY(A158,3))</f>
        <v>46153</v>
      </c>
      <c r="C158" s="32" t="n">
        <f aca="false">IF(OR('Raw Orders'!C155&lt;&gt;"Product",'Raw Orders'!K155="Cancelled"),0,'Raw Orders'!G155)</f>
        <v>0</v>
      </c>
      <c r="D158" s="31" t="n">
        <f aca="false">IF(AND('Raw Orders'!C155="Product",'Raw Orders'!K155="Fulfilled",COUNTIFS('Raw Orders'!$A$2:$A155,'Raw Orders'!A155,'Raw Orders'!$C$2:$C155,"Product",'Raw Orders'!$K$2:$K155,"Fulfilled")=1),1,0)</f>
        <v>0</v>
      </c>
      <c r="E158" s="31" t="n">
        <f aca="false">IF(AND('Raw Orders'!C155="Product",'Raw Orders'!K155="Fulfilled"),'Raw Orders'!E155,0)</f>
        <v>0</v>
      </c>
      <c r="F158" s="32" t="n">
        <f aca="false">IF('Raw Orders'!K155="Refunded",'Raw Orders'!G155,0)</f>
        <v>0</v>
      </c>
    </row>
    <row r="159" customFormat="false" ht="15" hidden="false" customHeight="false" outlineLevel="0" collapsed="false">
      <c r="A159" s="36" t="n">
        <f aca="false">IF('Raw Orders'!B156="","",IF(MID('Raw Orders'!B156,5,1)="-",DATE(VALUE(LEFT('Raw Orders'!B156,4)),VALUE(MID('Raw Orders'!B156,6,2)),VALUE(MID('Raw Orders'!B156,9,2))),DATE(VALUE(MID('Raw Orders'!B156,7,4)),VALUE(MID('Raw Orders'!B156,4,2)),VALUE(LEFT('Raw Orders'!B156,2)))))</f>
        <v>46154</v>
      </c>
      <c r="B159" s="36" t="n">
        <f aca="false">IF(A159="","",A159-WEEKDAY(A159,3))</f>
        <v>46153</v>
      </c>
      <c r="C159" s="32" t="n">
        <f aca="false">IF(OR('Raw Orders'!C156&lt;&gt;"Product",'Raw Orders'!K156="Cancelled"),0,'Raw Orders'!G156)</f>
        <v>45</v>
      </c>
      <c r="D159" s="31" t="n">
        <f aca="false">IF(AND('Raw Orders'!C156="Product",'Raw Orders'!K156="Fulfilled",COUNTIFS('Raw Orders'!$A$2:$A156,'Raw Orders'!A156,'Raw Orders'!$C$2:$C156,"Product",'Raw Orders'!$K$2:$K156,"Fulfilled")=1),1,0)</f>
        <v>0</v>
      </c>
      <c r="E159" s="31" t="n">
        <f aca="false">IF(AND('Raw Orders'!C156="Product",'Raw Orders'!K156="Fulfilled"),'Raw Orders'!E156,0)</f>
        <v>1</v>
      </c>
      <c r="F159" s="32" t="n">
        <f aca="false">IF('Raw Orders'!K156="Refunded",'Raw Orders'!G156,0)</f>
        <v>0</v>
      </c>
    </row>
    <row r="160" customFormat="false" ht="15" hidden="false" customHeight="false" outlineLevel="0" collapsed="false">
      <c r="A160" s="36" t="n">
        <f aca="false">IF('Raw Orders'!B157="","",IF(MID('Raw Orders'!B157,5,1)="-",DATE(VALUE(LEFT('Raw Orders'!B157,4)),VALUE(MID('Raw Orders'!B157,6,2)),VALUE(MID('Raw Orders'!B157,9,2))),DATE(VALUE(MID('Raw Orders'!B157,7,4)),VALUE(MID('Raw Orders'!B157,4,2)),VALUE(LEFT('Raw Orders'!B157,2)))))</f>
        <v>46154</v>
      </c>
      <c r="B160" s="36" t="n">
        <f aca="false">IF(A160="","",A160-WEEKDAY(A160,3))</f>
        <v>46153</v>
      </c>
      <c r="C160" s="32" t="n">
        <f aca="false">IF(OR('Raw Orders'!C157&lt;&gt;"Product",'Raw Orders'!K157="Cancelled"),0,'Raw Orders'!G157)</f>
        <v>178</v>
      </c>
      <c r="D160" s="31" t="n">
        <f aca="false">IF(AND('Raw Orders'!C157="Product",'Raw Orders'!K157="Fulfilled",COUNTIFS('Raw Orders'!$A$2:$A157,'Raw Orders'!A157,'Raw Orders'!$C$2:$C157,"Product",'Raw Orders'!$K$2:$K157,"Fulfilled")=1),1,0)</f>
        <v>1</v>
      </c>
      <c r="E160" s="31" t="n">
        <f aca="false">IF(AND('Raw Orders'!C157="Product",'Raw Orders'!K157="Fulfilled"),'Raw Orders'!E157,0)</f>
        <v>2</v>
      </c>
      <c r="F160" s="32" t="n">
        <f aca="false">IF('Raw Orders'!K157="Refunded",'Raw Orders'!G157,0)</f>
        <v>0</v>
      </c>
    </row>
    <row r="161" customFormat="false" ht="15" hidden="false" customHeight="false" outlineLevel="0" collapsed="false">
      <c r="A161" s="36" t="n">
        <f aca="false">IF('Raw Orders'!B158="","",IF(MID('Raw Orders'!B158,5,1)="-",DATE(VALUE(LEFT('Raw Orders'!B158,4)),VALUE(MID('Raw Orders'!B158,6,2)),VALUE(MID('Raw Orders'!B158,9,2))),DATE(VALUE(MID('Raw Orders'!B158,7,4)),VALUE(MID('Raw Orders'!B158,4,2)),VALUE(LEFT('Raw Orders'!B158,2)))))</f>
        <v>46154</v>
      </c>
      <c r="B161" s="36" t="n">
        <f aca="false">IF(A161="","",A161-WEEKDAY(A161,3))</f>
        <v>46153</v>
      </c>
      <c r="C161" s="32" t="n">
        <f aca="false">IF(OR('Raw Orders'!C158&lt;&gt;"Product",'Raw Orders'!K158="Cancelled"),0,'Raw Orders'!G158)</f>
        <v>0</v>
      </c>
      <c r="D161" s="31" t="n">
        <f aca="false">IF(AND('Raw Orders'!C158="Product",'Raw Orders'!K158="Fulfilled",COUNTIFS('Raw Orders'!$A$2:$A158,'Raw Orders'!A158,'Raw Orders'!$C$2:$C158,"Product",'Raw Orders'!$K$2:$K158,"Fulfilled")=1),1,0)</f>
        <v>0</v>
      </c>
      <c r="E161" s="31" t="n">
        <f aca="false">IF(AND('Raw Orders'!C158="Product",'Raw Orders'!K158="Fulfilled"),'Raw Orders'!E158,0)</f>
        <v>0</v>
      </c>
      <c r="F161" s="32" t="n">
        <f aca="false">IF('Raw Orders'!K158="Refunded",'Raw Orders'!G158,0)</f>
        <v>0</v>
      </c>
    </row>
    <row r="162" customFormat="false" ht="15" hidden="false" customHeight="false" outlineLevel="0" collapsed="false">
      <c r="A162" s="36" t="n">
        <f aca="false">IF('Raw Orders'!B159="","",IF(MID('Raw Orders'!B159,5,1)="-",DATE(VALUE(LEFT('Raw Orders'!B159,4)),VALUE(MID('Raw Orders'!B159,6,2)),VALUE(MID('Raw Orders'!B159,9,2))),DATE(VALUE(MID('Raw Orders'!B159,7,4)),VALUE(MID('Raw Orders'!B159,4,2)),VALUE(LEFT('Raw Orders'!B159,2)))))</f>
        <v>46154</v>
      </c>
      <c r="B162" s="36" t="n">
        <f aca="false">IF(A162="","",A162-WEEKDAY(A162,3))</f>
        <v>46153</v>
      </c>
      <c r="C162" s="32" t="n">
        <f aca="false">IF(OR('Raw Orders'!C159&lt;&gt;"Product",'Raw Orders'!K159="Cancelled"),0,'Raw Orders'!G159)</f>
        <v>0</v>
      </c>
      <c r="D162" s="31" t="n">
        <f aca="false">IF(AND('Raw Orders'!C159="Product",'Raw Orders'!K159="Fulfilled",COUNTIFS('Raw Orders'!$A$2:$A159,'Raw Orders'!A159,'Raw Orders'!$C$2:$C159,"Product",'Raw Orders'!$K$2:$K159,"Fulfilled")=1),1,0)</f>
        <v>0</v>
      </c>
      <c r="E162" s="31" t="n">
        <f aca="false">IF(AND('Raw Orders'!C159="Product",'Raw Orders'!K159="Fulfilled"),'Raw Orders'!E159,0)</f>
        <v>0</v>
      </c>
      <c r="F162" s="32" t="n">
        <f aca="false">IF('Raw Orders'!K159="Refunded",'Raw Orders'!G159,0)</f>
        <v>0</v>
      </c>
    </row>
    <row r="163" customFormat="false" ht="15" hidden="false" customHeight="false" outlineLevel="0" collapsed="false">
      <c r="A163" s="36" t="n">
        <f aca="false">IF('Raw Orders'!B160="","",IF(MID('Raw Orders'!B160,5,1)="-",DATE(VALUE(LEFT('Raw Orders'!B160,4)),VALUE(MID('Raw Orders'!B160,6,2)),VALUE(MID('Raw Orders'!B160,9,2))),DATE(VALUE(MID('Raw Orders'!B160,7,4)),VALUE(MID('Raw Orders'!B160,4,2)),VALUE(LEFT('Raw Orders'!B160,2)))))</f>
        <v>46154</v>
      </c>
      <c r="B163" s="36" t="n">
        <f aca="false">IF(A163="","",A163-WEEKDAY(A163,3))</f>
        <v>46153</v>
      </c>
      <c r="C163" s="32" t="n">
        <f aca="false">IF(OR('Raw Orders'!C160&lt;&gt;"Product",'Raw Orders'!K160="Cancelled"),0,'Raw Orders'!G160)</f>
        <v>89</v>
      </c>
      <c r="D163" s="31" t="n">
        <f aca="false">IF(AND('Raw Orders'!C160="Product",'Raw Orders'!K160="Fulfilled",COUNTIFS('Raw Orders'!$A$2:$A160,'Raw Orders'!A160,'Raw Orders'!$C$2:$C160,"Product",'Raw Orders'!$K$2:$K160,"Fulfilled")=1),1,0)</f>
        <v>1</v>
      </c>
      <c r="E163" s="31" t="n">
        <f aca="false">IF(AND('Raw Orders'!C160="Product",'Raw Orders'!K160="Fulfilled"),'Raw Orders'!E160,0)</f>
        <v>1</v>
      </c>
      <c r="F163" s="32" t="n">
        <f aca="false">IF('Raw Orders'!K160="Refunded",'Raw Orders'!G160,0)</f>
        <v>0</v>
      </c>
    </row>
    <row r="164" customFormat="false" ht="15" hidden="false" customHeight="false" outlineLevel="0" collapsed="false">
      <c r="A164" s="36" t="n">
        <f aca="false">IF('Raw Orders'!B161="","",IF(MID('Raw Orders'!B161,5,1)="-",DATE(VALUE(LEFT('Raw Orders'!B161,4)),VALUE(MID('Raw Orders'!B161,6,2)),VALUE(MID('Raw Orders'!B161,9,2))),DATE(VALUE(MID('Raw Orders'!B161,7,4)),VALUE(MID('Raw Orders'!B161,4,2)),VALUE(LEFT('Raw Orders'!B161,2)))))</f>
        <v>46154</v>
      </c>
      <c r="B164" s="36" t="n">
        <f aca="false">IF(A164="","",A164-WEEKDAY(A164,3))</f>
        <v>46153</v>
      </c>
      <c r="C164" s="32" t="n">
        <f aca="false">IF(OR('Raw Orders'!C161&lt;&gt;"Product",'Raw Orders'!K161="Cancelled"),0,'Raw Orders'!G161)</f>
        <v>0</v>
      </c>
      <c r="D164" s="31" t="n">
        <f aca="false">IF(AND('Raw Orders'!C161="Product",'Raw Orders'!K161="Fulfilled",COUNTIFS('Raw Orders'!$A$2:$A161,'Raw Orders'!A161,'Raw Orders'!$C$2:$C161,"Product",'Raw Orders'!$K$2:$K161,"Fulfilled")=1),1,0)</f>
        <v>0</v>
      </c>
      <c r="E164" s="31" t="n">
        <f aca="false">IF(AND('Raw Orders'!C161="Product",'Raw Orders'!K161="Fulfilled"),'Raw Orders'!E161,0)</f>
        <v>0</v>
      </c>
      <c r="F164" s="32" t="n">
        <f aca="false">IF('Raw Orders'!K161="Refunded",'Raw Orders'!G161,0)</f>
        <v>0</v>
      </c>
    </row>
    <row r="165" customFormat="false" ht="15" hidden="false" customHeight="false" outlineLevel="0" collapsed="false">
      <c r="A165" s="36" t="n">
        <f aca="false">IF('Raw Orders'!B162="","",IF(MID('Raw Orders'!B162,5,1)="-",DATE(VALUE(LEFT('Raw Orders'!B162,4)),VALUE(MID('Raw Orders'!B162,6,2)),VALUE(MID('Raw Orders'!B162,9,2))),DATE(VALUE(MID('Raw Orders'!B162,7,4)),VALUE(MID('Raw Orders'!B162,4,2)),VALUE(LEFT('Raw Orders'!B162,2)))))</f>
        <v>46154</v>
      </c>
      <c r="B165" s="36" t="n">
        <f aca="false">IF(A165="","",A165-WEEKDAY(A165,3))</f>
        <v>46153</v>
      </c>
      <c r="C165" s="32" t="n">
        <f aca="false">IF(OR('Raw Orders'!C162&lt;&gt;"Product",'Raw Orders'!K162="Cancelled"),0,'Raw Orders'!G162)</f>
        <v>22</v>
      </c>
      <c r="D165" s="31" t="n">
        <f aca="false">IF(AND('Raw Orders'!C162="Product",'Raw Orders'!K162="Fulfilled",COUNTIFS('Raw Orders'!$A$2:$A162,'Raw Orders'!A162,'Raw Orders'!$C$2:$C162,"Product",'Raw Orders'!$K$2:$K162,"Fulfilled")=1),1,0)</f>
        <v>1</v>
      </c>
      <c r="E165" s="31" t="n">
        <f aca="false">IF(AND('Raw Orders'!C162="Product",'Raw Orders'!K162="Fulfilled"),'Raw Orders'!E162,0)</f>
        <v>1</v>
      </c>
      <c r="F165" s="32" t="n">
        <f aca="false">IF('Raw Orders'!K162="Refunded",'Raw Orders'!G162,0)</f>
        <v>0</v>
      </c>
    </row>
    <row r="166" customFormat="false" ht="15" hidden="false" customHeight="false" outlineLevel="0" collapsed="false">
      <c r="A166" s="36" t="n">
        <f aca="false">IF('Raw Orders'!B163="","",IF(MID('Raw Orders'!B163,5,1)="-",DATE(VALUE(LEFT('Raw Orders'!B163,4)),VALUE(MID('Raw Orders'!B163,6,2)),VALUE(MID('Raw Orders'!B163,9,2))),DATE(VALUE(MID('Raw Orders'!B163,7,4)),VALUE(MID('Raw Orders'!B163,4,2)),VALUE(LEFT('Raw Orders'!B163,2)))))</f>
        <v>46154</v>
      </c>
      <c r="B166" s="36" t="n">
        <f aca="false">IF(A166="","",A166-WEEKDAY(A166,3))</f>
        <v>46153</v>
      </c>
      <c r="C166" s="32" t="n">
        <f aca="false">IF(OR('Raw Orders'!C163&lt;&gt;"Product",'Raw Orders'!K163="Cancelled"),0,'Raw Orders'!G163)</f>
        <v>26</v>
      </c>
      <c r="D166" s="31" t="n">
        <f aca="false">IF(AND('Raw Orders'!C163="Product",'Raw Orders'!K163="Fulfilled",COUNTIFS('Raw Orders'!$A$2:$A163,'Raw Orders'!A163,'Raw Orders'!$C$2:$C163,"Product",'Raw Orders'!$K$2:$K163,"Fulfilled")=1),1,0)</f>
        <v>1</v>
      </c>
      <c r="E166" s="31" t="n">
        <f aca="false">IF(AND('Raw Orders'!C163="Product",'Raw Orders'!K163="Fulfilled"),'Raw Orders'!E163,0)</f>
        <v>1</v>
      </c>
      <c r="F166" s="32" t="n">
        <f aca="false">IF('Raw Orders'!K163="Refunded",'Raw Orders'!G163,0)</f>
        <v>0</v>
      </c>
    </row>
    <row r="167" customFormat="false" ht="15" hidden="false" customHeight="false" outlineLevel="0" collapsed="false">
      <c r="A167" s="36" t="n">
        <f aca="false">IF('Raw Orders'!B164="","",IF(MID('Raw Orders'!B164,5,1)="-",DATE(VALUE(LEFT('Raw Orders'!B164,4)),VALUE(MID('Raw Orders'!B164,6,2)),VALUE(MID('Raw Orders'!B164,9,2))),DATE(VALUE(MID('Raw Orders'!B164,7,4)),VALUE(MID('Raw Orders'!B164,4,2)),VALUE(LEFT('Raw Orders'!B164,2)))))</f>
        <v>46154</v>
      </c>
      <c r="B167" s="36" t="n">
        <f aca="false">IF(A167="","",A167-WEEKDAY(A167,3))</f>
        <v>46153</v>
      </c>
      <c r="C167" s="32" t="n">
        <f aca="false">IF(OR('Raw Orders'!C164&lt;&gt;"Product",'Raw Orders'!K164="Cancelled"),0,'Raw Orders'!G164)</f>
        <v>89</v>
      </c>
      <c r="D167" s="31" t="n">
        <f aca="false">IF(AND('Raw Orders'!C164="Product",'Raw Orders'!K164="Fulfilled",COUNTIFS('Raw Orders'!$A$2:$A164,'Raw Orders'!A164,'Raw Orders'!$C$2:$C164,"Product",'Raw Orders'!$K$2:$K164,"Fulfilled")=1),1,0)</f>
        <v>0</v>
      </c>
      <c r="E167" s="31" t="n">
        <f aca="false">IF(AND('Raw Orders'!C164="Product",'Raw Orders'!K164="Fulfilled"),'Raw Orders'!E164,0)</f>
        <v>1</v>
      </c>
      <c r="F167" s="32" t="n">
        <f aca="false">IF('Raw Orders'!K164="Refunded",'Raw Orders'!G164,0)</f>
        <v>0</v>
      </c>
    </row>
    <row r="168" customFormat="false" ht="15" hidden="false" customHeight="false" outlineLevel="0" collapsed="false">
      <c r="A168" s="36" t="n">
        <f aca="false">IF('Raw Orders'!B165="","",IF(MID('Raw Orders'!B165,5,1)="-",DATE(VALUE(LEFT('Raw Orders'!B165,4)),VALUE(MID('Raw Orders'!B165,6,2)),VALUE(MID('Raw Orders'!B165,9,2))),DATE(VALUE(MID('Raw Orders'!B165,7,4)),VALUE(MID('Raw Orders'!B165,4,2)),VALUE(LEFT('Raw Orders'!B165,2)))))</f>
        <v>46154</v>
      </c>
      <c r="B168" s="36" t="n">
        <f aca="false">IF(A168="","",A168-WEEKDAY(A168,3))</f>
        <v>46153</v>
      </c>
      <c r="C168" s="32" t="n">
        <f aca="false">IF(OR('Raw Orders'!C165&lt;&gt;"Product",'Raw Orders'!K165="Cancelled"),0,'Raw Orders'!G165)</f>
        <v>0</v>
      </c>
      <c r="D168" s="31" t="n">
        <f aca="false">IF(AND('Raw Orders'!C165="Product",'Raw Orders'!K165="Fulfilled",COUNTIFS('Raw Orders'!$A$2:$A165,'Raw Orders'!A165,'Raw Orders'!$C$2:$C165,"Product",'Raw Orders'!$K$2:$K165,"Fulfilled")=1),1,0)</f>
        <v>0</v>
      </c>
      <c r="E168" s="31" t="n">
        <f aca="false">IF(AND('Raw Orders'!C165="Product",'Raw Orders'!K165="Fulfilled"),'Raw Orders'!E165,0)</f>
        <v>0</v>
      </c>
      <c r="F168" s="32" t="n">
        <f aca="false">IF('Raw Orders'!K165="Refunded",'Raw Orders'!G165,0)</f>
        <v>0</v>
      </c>
    </row>
    <row r="169" customFormat="false" ht="15" hidden="false" customHeight="false" outlineLevel="0" collapsed="false">
      <c r="A169" s="36" t="n">
        <f aca="false">IF('Raw Orders'!B166="","",IF(MID('Raw Orders'!B166,5,1)="-",DATE(VALUE(LEFT('Raw Orders'!B166,4)),VALUE(MID('Raw Orders'!B166,6,2)),VALUE(MID('Raw Orders'!B166,9,2))),DATE(VALUE(MID('Raw Orders'!B166,7,4)),VALUE(MID('Raw Orders'!B166,4,2)),VALUE(LEFT('Raw Orders'!B166,2)))))</f>
        <v>46154</v>
      </c>
      <c r="B169" s="36" t="n">
        <f aca="false">IF(A169="","",A169-WEEKDAY(A169,3))</f>
        <v>46153</v>
      </c>
      <c r="C169" s="32" t="n">
        <f aca="false">IF(OR('Raw Orders'!C166&lt;&gt;"Product",'Raw Orders'!K166="Cancelled"),0,'Raw Orders'!G166)</f>
        <v>0</v>
      </c>
      <c r="D169" s="31" t="n">
        <f aca="false">IF(AND('Raw Orders'!C166="Product",'Raw Orders'!K166="Fulfilled",COUNTIFS('Raw Orders'!$A$2:$A166,'Raw Orders'!A166,'Raw Orders'!$C$2:$C166,"Product",'Raw Orders'!$K$2:$K166,"Fulfilled")=1),1,0)</f>
        <v>0</v>
      </c>
      <c r="E169" s="31" t="n">
        <f aca="false">IF(AND('Raw Orders'!C166="Product",'Raw Orders'!K166="Fulfilled"),'Raw Orders'!E166,0)</f>
        <v>0</v>
      </c>
      <c r="F169" s="32" t="n">
        <f aca="false">IF('Raw Orders'!K166="Refunded",'Raw Orders'!G166,0)</f>
        <v>0</v>
      </c>
    </row>
    <row r="170" customFormat="false" ht="15" hidden="false" customHeight="false" outlineLevel="0" collapsed="false">
      <c r="A170" s="36" t="n">
        <f aca="false">IF('Raw Orders'!B167="","",IF(MID('Raw Orders'!B167,5,1)="-",DATE(VALUE(LEFT('Raw Orders'!B167,4)),VALUE(MID('Raw Orders'!B167,6,2)),VALUE(MID('Raw Orders'!B167,9,2))),DATE(VALUE(MID('Raw Orders'!B167,7,4)),VALUE(MID('Raw Orders'!B167,4,2)),VALUE(LEFT('Raw Orders'!B167,2)))))</f>
        <v>46154</v>
      </c>
      <c r="B170" s="36" t="n">
        <f aca="false">IF(A170="","",A170-WEEKDAY(A170,3))</f>
        <v>46153</v>
      </c>
      <c r="C170" s="32" t="n">
        <f aca="false">IF(OR('Raw Orders'!C167&lt;&gt;"Product",'Raw Orders'!K167="Cancelled"),0,'Raw Orders'!G167)</f>
        <v>32</v>
      </c>
      <c r="D170" s="31" t="n">
        <f aca="false">IF(AND('Raw Orders'!C167="Product",'Raw Orders'!K167="Fulfilled",COUNTIFS('Raw Orders'!$A$2:$A167,'Raw Orders'!A167,'Raw Orders'!$C$2:$C167,"Product",'Raw Orders'!$K$2:$K167,"Fulfilled")=1),1,0)</f>
        <v>1</v>
      </c>
      <c r="E170" s="31" t="n">
        <f aca="false">IF(AND('Raw Orders'!C167="Product",'Raw Orders'!K167="Fulfilled"),'Raw Orders'!E167,0)</f>
        <v>1</v>
      </c>
      <c r="F170" s="32" t="n">
        <f aca="false">IF('Raw Orders'!K167="Refunded",'Raw Orders'!G167,0)</f>
        <v>0</v>
      </c>
    </row>
    <row r="171" customFormat="false" ht="15" hidden="false" customHeight="false" outlineLevel="0" collapsed="false">
      <c r="A171" s="36" t="n">
        <f aca="false">IF('Raw Orders'!B168="","",IF(MID('Raw Orders'!B168,5,1)="-",DATE(VALUE(LEFT('Raw Orders'!B168,4)),VALUE(MID('Raw Orders'!B168,6,2)),VALUE(MID('Raw Orders'!B168,9,2))),DATE(VALUE(MID('Raw Orders'!B168,7,4)),VALUE(MID('Raw Orders'!B168,4,2)),VALUE(LEFT('Raw Orders'!B168,2)))))</f>
        <v>46154</v>
      </c>
      <c r="B171" s="36" t="n">
        <f aca="false">IF(A171="","",A171-WEEKDAY(A171,3))</f>
        <v>46153</v>
      </c>
      <c r="C171" s="32" t="n">
        <f aca="false">IF(OR('Raw Orders'!C168&lt;&gt;"Product",'Raw Orders'!K168="Cancelled"),0,'Raw Orders'!G168)</f>
        <v>69</v>
      </c>
      <c r="D171" s="31" t="n">
        <f aca="false">IF(AND('Raw Orders'!C168="Product",'Raw Orders'!K168="Fulfilled",COUNTIFS('Raw Orders'!$A$2:$A168,'Raw Orders'!A168,'Raw Orders'!$C$2:$C168,"Product",'Raw Orders'!$K$2:$K168,"Fulfilled")=1),1,0)</f>
        <v>1</v>
      </c>
      <c r="E171" s="31" t="n">
        <f aca="false">IF(AND('Raw Orders'!C168="Product",'Raw Orders'!K168="Fulfilled"),'Raw Orders'!E168,0)</f>
        <v>1</v>
      </c>
      <c r="F171" s="32" t="n">
        <f aca="false">IF('Raw Orders'!K168="Refunded",'Raw Orders'!G168,0)</f>
        <v>0</v>
      </c>
    </row>
    <row r="172" customFormat="false" ht="15" hidden="false" customHeight="false" outlineLevel="0" collapsed="false">
      <c r="A172" s="36" t="n">
        <f aca="false">IF('Raw Orders'!B169="","",IF(MID('Raw Orders'!B169,5,1)="-",DATE(VALUE(LEFT('Raw Orders'!B169,4)),VALUE(MID('Raw Orders'!B169,6,2)),VALUE(MID('Raw Orders'!B169,9,2))),DATE(VALUE(MID('Raw Orders'!B169,7,4)),VALUE(MID('Raw Orders'!B169,4,2)),VALUE(LEFT('Raw Orders'!B169,2)))))</f>
        <v>46154</v>
      </c>
      <c r="B172" s="36" t="n">
        <f aca="false">IF(A172="","",A172-WEEKDAY(A172,3))</f>
        <v>46153</v>
      </c>
      <c r="C172" s="32" t="n">
        <f aca="false">IF(OR('Raw Orders'!C169&lt;&gt;"Product",'Raw Orders'!K169="Cancelled"),0,'Raw Orders'!G169)</f>
        <v>0</v>
      </c>
      <c r="D172" s="31" t="n">
        <f aca="false">IF(AND('Raw Orders'!C169="Product",'Raw Orders'!K169="Fulfilled",COUNTIFS('Raw Orders'!$A$2:$A169,'Raw Orders'!A169,'Raw Orders'!$C$2:$C169,"Product",'Raw Orders'!$K$2:$K169,"Fulfilled")=1),1,0)</f>
        <v>0</v>
      </c>
      <c r="E172" s="31" t="n">
        <f aca="false">IF(AND('Raw Orders'!C169="Product",'Raw Orders'!K169="Fulfilled"),'Raw Orders'!E169,0)</f>
        <v>0</v>
      </c>
      <c r="F172" s="32" t="n">
        <f aca="false">IF('Raw Orders'!K169="Refunded",'Raw Orders'!G169,0)</f>
        <v>0</v>
      </c>
    </row>
    <row r="173" customFormat="false" ht="15" hidden="false" customHeight="false" outlineLevel="0" collapsed="false">
      <c r="A173" s="36" t="n">
        <f aca="false">IF('Raw Orders'!B170="","",IF(MID('Raw Orders'!B170,5,1)="-",DATE(VALUE(LEFT('Raw Orders'!B170,4)),VALUE(MID('Raw Orders'!B170,6,2)),VALUE(MID('Raw Orders'!B170,9,2))),DATE(VALUE(MID('Raw Orders'!B170,7,4)),VALUE(MID('Raw Orders'!B170,4,2)),VALUE(LEFT('Raw Orders'!B170,2)))))</f>
        <v>46154</v>
      </c>
      <c r="B173" s="36" t="n">
        <f aca="false">IF(A173="","",A173-WEEKDAY(A173,3))</f>
        <v>46153</v>
      </c>
      <c r="C173" s="32" t="n">
        <f aca="false">IF(OR('Raw Orders'!C170&lt;&gt;"Product",'Raw Orders'!K170="Cancelled"),0,'Raw Orders'!G170)</f>
        <v>150</v>
      </c>
      <c r="D173" s="31" t="n">
        <f aca="false">IF(AND('Raw Orders'!C170="Product",'Raw Orders'!K170="Fulfilled",COUNTIFS('Raw Orders'!$A$2:$A170,'Raw Orders'!A170,'Raw Orders'!$C$2:$C170,"Product",'Raw Orders'!$K$2:$K170,"Fulfilled")=1),1,0)</f>
        <v>1</v>
      </c>
      <c r="E173" s="31" t="n">
        <f aca="false">IF(AND('Raw Orders'!C170="Product",'Raw Orders'!K170="Fulfilled"),'Raw Orders'!E170,0)</f>
        <v>2</v>
      </c>
      <c r="F173" s="32" t="n">
        <f aca="false">IF('Raw Orders'!K170="Refunded",'Raw Orders'!G170,0)</f>
        <v>0</v>
      </c>
    </row>
    <row r="174" customFormat="false" ht="15" hidden="false" customHeight="false" outlineLevel="0" collapsed="false">
      <c r="A174" s="36" t="n">
        <f aca="false">IF('Raw Orders'!B171="","",IF(MID('Raw Orders'!B171,5,1)="-",DATE(VALUE(LEFT('Raw Orders'!B171,4)),VALUE(MID('Raw Orders'!B171,6,2)),VALUE(MID('Raw Orders'!B171,9,2))),DATE(VALUE(MID('Raw Orders'!B171,7,4)),VALUE(MID('Raw Orders'!B171,4,2)),VALUE(LEFT('Raw Orders'!B171,2)))))</f>
        <v>46154</v>
      </c>
      <c r="B174" s="36" t="n">
        <f aca="false">IF(A174="","",A174-WEEKDAY(A174,3))</f>
        <v>46153</v>
      </c>
      <c r="C174" s="32" t="n">
        <f aca="false">IF(OR('Raw Orders'!C171&lt;&gt;"Product",'Raw Orders'!K171="Cancelled"),0,'Raw Orders'!G171)</f>
        <v>75</v>
      </c>
      <c r="D174" s="31" t="n">
        <f aca="false">IF(AND('Raw Orders'!C171="Product",'Raw Orders'!K171="Fulfilled",COUNTIFS('Raw Orders'!$A$2:$A171,'Raw Orders'!A171,'Raw Orders'!$C$2:$C171,"Product",'Raw Orders'!$K$2:$K171,"Fulfilled")=1),1,0)</f>
        <v>1</v>
      </c>
      <c r="E174" s="31" t="n">
        <f aca="false">IF(AND('Raw Orders'!C171="Product",'Raw Orders'!K171="Fulfilled"),'Raw Orders'!E171,0)</f>
        <v>1</v>
      </c>
      <c r="F174" s="32" t="n">
        <f aca="false">IF('Raw Orders'!K171="Refunded",'Raw Orders'!G171,0)</f>
        <v>0</v>
      </c>
    </row>
    <row r="175" customFormat="false" ht="15" hidden="false" customHeight="false" outlineLevel="0" collapsed="false">
      <c r="A175" s="36" t="n">
        <f aca="false">IF('Raw Orders'!B172="","",IF(MID('Raw Orders'!B172,5,1)="-",DATE(VALUE(LEFT('Raw Orders'!B172,4)),VALUE(MID('Raw Orders'!B172,6,2)),VALUE(MID('Raw Orders'!B172,9,2))),DATE(VALUE(MID('Raw Orders'!B172,7,4)),VALUE(MID('Raw Orders'!B172,4,2)),VALUE(LEFT('Raw Orders'!B172,2)))))</f>
        <v>46154</v>
      </c>
      <c r="B175" s="36" t="n">
        <f aca="false">IF(A175="","",A175-WEEKDAY(A175,3))</f>
        <v>46153</v>
      </c>
      <c r="C175" s="32" t="n">
        <f aca="false">IF(OR('Raw Orders'!C172&lt;&gt;"Product",'Raw Orders'!K172="Cancelled"),0,'Raw Orders'!G172)</f>
        <v>87</v>
      </c>
      <c r="D175" s="31" t="n">
        <f aca="false">IF(AND('Raw Orders'!C172="Product",'Raw Orders'!K172="Fulfilled",COUNTIFS('Raw Orders'!$A$2:$A172,'Raw Orders'!A172,'Raw Orders'!$C$2:$C172,"Product",'Raw Orders'!$K$2:$K172,"Fulfilled")=1),1,0)</f>
        <v>0</v>
      </c>
      <c r="E175" s="31" t="n">
        <f aca="false">IF(AND('Raw Orders'!C172="Product",'Raw Orders'!K172="Fulfilled"),'Raw Orders'!E172,0)</f>
        <v>3</v>
      </c>
      <c r="F175" s="32" t="n">
        <f aca="false">IF('Raw Orders'!K172="Refunded",'Raw Orders'!G172,0)</f>
        <v>0</v>
      </c>
    </row>
    <row r="176" customFormat="false" ht="15" hidden="false" customHeight="false" outlineLevel="0" collapsed="false">
      <c r="A176" s="36" t="n">
        <f aca="false">IF('Raw Orders'!B173="","",IF(MID('Raw Orders'!B173,5,1)="-",DATE(VALUE(LEFT('Raw Orders'!B173,4)),VALUE(MID('Raw Orders'!B173,6,2)),VALUE(MID('Raw Orders'!B173,9,2))),DATE(VALUE(MID('Raw Orders'!B173,7,4)),VALUE(MID('Raw Orders'!B173,4,2)),VALUE(LEFT('Raw Orders'!B173,2)))))</f>
        <v>46154</v>
      </c>
      <c r="B176" s="36" t="n">
        <f aca="false">IF(A176="","",A176-WEEKDAY(A176,3))</f>
        <v>46153</v>
      </c>
      <c r="C176" s="32" t="n">
        <f aca="false">IF(OR('Raw Orders'!C173&lt;&gt;"Product",'Raw Orders'!K173="Cancelled"),0,'Raw Orders'!G173)</f>
        <v>39</v>
      </c>
      <c r="D176" s="31" t="n">
        <f aca="false">IF(AND('Raw Orders'!C173="Product",'Raw Orders'!K173="Fulfilled",COUNTIFS('Raw Orders'!$A$2:$A173,'Raw Orders'!A173,'Raw Orders'!$C$2:$C173,"Product",'Raw Orders'!$K$2:$K173,"Fulfilled")=1),1,0)</f>
        <v>0</v>
      </c>
      <c r="E176" s="31" t="n">
        <f aca="false">IF(AND('Raw Orders'!C173="Product",'Raw Orders'!K173="Fulfilled"),'Raw Orders'!E173,0)</f>
        <v>1</v>
      </c>
      <c r="F176" s="32" t="n">
        <f aca="false">IF('Raw Orders'!K173="Refunded",'Raw Orders'!G173,0)</f>
        <v>0</v>
      </c>
    </row>
    <row r="177" customFormat="false" ht="15" hidden="false" customHeight="false" outlineLevel="0" collapsed="false">
      <c r="A177" s="36" t="n">
        <f aca="false">IF('Raw Orders'!B174="","",IF(MID('Raw Orders'!B174,5,1)="-",DATE(VALUE(LEFT('Raw Orders'!B174,4)),VALUE(MID('Raw Orders'!B174,6,2)),VALUE(MID('Raw Orders'!B174,9,2))),DATE(VALUE(MID('Raw Orders'!B174,7,4)),VALUE(MID('Raw Orders'!B174,4,2)),VALUE(LEFT('Raw Orders'!B174,2)))))</f>
        <v>46154</v>
      </c>
      <c r="B177" s="36" t="n">
        <f aca="false">IF(A177="","",A177-WEEKDAY(A177,3))</f>
        <v>46153</v>
      </c>
      <c r="C177" s="32" t="n">
        <f aca="false">IF(OR('Raw Orders'!C174&lt;&gt;"Product",'Raw Orders'!K174="Cancelled"),0,'Raw Orders'!G174)</f>
        <v>0</v>
      </c>
      <c r="D177" s="31" t="n">
        <f aca="false">IF(AND('Raw Orders'!C174="Product",'Raw Orders'!K174="Fulfilled",COUNTIFS('Raw Orders'!$A$2:$A174,'Raw Orders'!A174,'Raw Orders'!$C$2:$C174,"Product",'Raw Orders'!$K$2:$K174,"Fulfilled")=1),1,0)</f>
        <v>0</v>
      </c>
      <c r="E177" s="31" t="n">
        <f aca="false">IF(AND('Raw Orders'!C174="Product",'Raw Orders'!K174="Fulfilled"),'Raw Orders'!E174,0)</f>
        <v>0</v>
      </c>
      <c r="F177" s="32" t="n">
        <f aca="false">IF('Raw Orders'!K174="Refunded",'Raw Orders'!G174,0)</f>
        <v>0</v>
      </c>
    </row>
    <row r="178" customFormat="false" ht="15" hidden="false" customHeight="false" outlineLevel="0" collapsed="false">
      <c r="A178" s="36" t="n">
        <f aca="false">IF('Raw Orders'!B175="","",IF(MID('Raw Orders'!B175,5,1)="-",DATE(VALUE(LEFT('Raw Orders'!B175,4)),VALUE(MID('Raw Orders'!B175,6,2)),VALUE(MID('Raw Orders'!B175,9,2))),DATE(VALUE(MID('Raw Orders'!B175,7,4)),VALUE(MID('Raw Orders'!B175,4,2)),VALUE(LEFT('Raw Orders'!B175,2)))))</f>
        <v>46155</v>
      </c>
      <c r="B178" s="36" t="n">
        <f aca="false">IF(A178="","",A178-WEEKDAY(A178,3))</f>
        <v>46153</v>
      </c>
      <c r="C178" s="32" t="n">
        <f aca="false">IF(OR('Raw Orders'!C175&lt;&gt;"Product",'Raw Orders'!K175="Cancelled"),0,'Raw Orders'!G175)</f>
        <v>39</v>
      </c>
      <c r="D178" s="31" t="n">
        <f aca="false">IF(AND('Raw Orders'!C175="Product",'Raw Orders'!K175="Fulfilled",COUNTIFS('Raw Orders'!$A$2:$A175,'Raw Orders'!A175,'Raw Orders'!$C$2:$C175,"Product",'Raw Orders'!$K$2:$K175,"Fulfilled")=1),1,0)</f>
        <v>1</v>
      </c>
      <c r="E178" s="31" t="n">
        <f aca="false">IF(AND('Raw Orders'!C175="Product",'Raw Orders'!K175="Fulfilled"),'Raw Orders'!E175,0)</f>
        <v>1</v>
      </c>
      <c r="F178" s="32" t="n">
        <f aca="false">IF('Raw Orders'!K175="Refunded",'Raw Orders'!G175,0)</f>
        <v>0</v>
      </c>
    </row>
    <row r="179" customFormat="false" ht="15" hidden="false" customHeight="false" outlineLevel="0" collapsed="false">
      <c r="A179" s="36" t="n">
        <f aca="false">IF('Raw Orders'!B176="","",IF(MID('Raw Orders'!B176,5,1)="-",DATE(VALUE(LEFT('Raw Orders'!B176,4)),VALUE(MID('Raw Orders'!B176,6,2)),VALUE(MID('Raw Orders'!B176,9,2))),DATE(VALUE(MID('Raw Orders'!B176,7,4)),VALUE(MID('Raw Orders'!B176,4,2)),VALUE(LEFT('Raw Orders'!B176,2)))))</f>
        <v>46155</v>
      </c>
      <c r="B179" s="36" t="n">
        <f aca="false">IF(A179="","",A179-WEEKDAY(A179,3))</f>
        <v>46153</v>
      </c>
      <c r="C179" s="32" t="n">
        <f aca="false">IF(OR('Raw Orders'!C176&lt;&gt;"Product",'Raw Orders'!K176="Cancelled"),0,'Raw Orders'!G176)</f>
        <v>0</v>
      </c>
      <c r="D179" s="31" t="n">
        <f aca="false">IF(AND('Raw Orders'!C176="Product",'Raw Orders'!K176="Fulfilled",COUNTIFS('Raw Orders'!$A$2:$A176,'Raw Orders'!A176,'Raw Orders'!$C$2:$C176,"Product",'Raw Orders'!$K$2:$K176,"Fulfilled")=1),1,0)</f>
        <v>0</v>
      </c>
      <c r="E179" s="31" t="n">
        <f aca="false">IF(AND('Raw Orders'!C176="Product",'Raw Orders'!K176="Fulfilled"),'Raw Orders'!E176,0)</f>
        <v>0</v>
      </c>
      <c r="F179" s="32" t="n">
        <f aca="false">IF('Raw Orders'!K176="Refunded",'Raw Orders'!G176,0)</f>
        <v>0</v>
      </c>
    </row>
    <row r="180" customFormat="false" ht="15" hidden="false" customHeight="false" outlineLevel="0" collapsed="false">
      <c r="A180" s="36" t="n">
        <f aca="false">IF('Raw Orders'!B177="","",IF(MID('Raw Orders'!B177,5,1)="-",DATE(VALUE(LEFT('Raw Orders'!B177,4)),VALUE(MID('Raw Orders'!B177,6,2)),VALUE(MID('Raw Orders'!B177,9,2))),DATE(VALUE(MID('Raw Orders'!B177,7,4)),VALUE(MID('Raw Orders'!B177,4,2)),VALUE(LEFT('Raw Orders'!B177,2)))))</f>
        <v>46155</v>
      </c>
      <c r="B180" s="36" t="n">
        <f aca="false">IF(A180="","",A180-WEEKDAY(A180,3))</f>
        <v>46153</v>
      </c>
      <c r="C180" s="32" t="n">
        <f aca="false">IF(OR('Raw Orders'!C177&lt;&gt;"Product",'Raw Orders'!K177="Cancelled"),0,'Raw Orders'!G177)</f>
        <v>28</v>
      </c>
      <c r="D180" s="31" t="n">
        <f aca="false">IF(AND('Raw Orders'!C177="Product",'Raw Orders'!K177="Fulfilled",COUNTIFS('Raw Orders'!$A$2:$A177,'Raw Orders'!A177,'Raw Orders'!$C$2:$C177,"Product",'Raw Orders'!$K$2:$K177,"Fulfilled")=1),1,0)</f>
        <v>1</v>
      </c>
      <c r="E180" s="31" t="n">
        <f aca="false">IF(AND('Raw Orders'!C177="Product",'Raw Orders'!K177="Fulfilled"),'Raw Orders'!E177,0)</f>
        <v>2</v>
      </c>
      <c r="F180" s="32" t="n">
        <f aca="false">IF('Raw Orders'!K177="Refunded",'Raw Orders'!G177,0)</f>
        <v>0</v>
      </c>
    </row>
    <row r="181" customFormat="false" ht="15" hidden="false" customHeight="false" outlineLevel="0" collapsed="false">
      <c r="A181" s="36" t="n">
        <f aca="false">IF('Raw Orders'!B178="","",IF(MID('Raw Orders'!B178,5,1)="-",DATE(VALUE(LEFT('Raw Orders'!B178,4)),VALUE(MID('Raw Orders'!B178,6,2)),VALUE(MID('Raw Orders'!B178,9,2))),DATE(VALUE(MID('Raw Orders'!B178,7,4)),VALUE(MID('Raw Orders'!B178,4,2)),VALUE(LEFT('Raw Orders'!B178,2)))))</f>
        <v>46155</v>
      </c>
      <c r="B181" s="36" t="n">
        <f aca="false">IF(A181="","",A181-WEEKDAY(A181,3))</f>
        <v>46153</v>
      </c>
      <c r="C181" s="32" t="n">
        <f aca="false">IF(OR('Raw Orders'!C178&lt;&gt;"Product",'Raw Orders'!K178="Cancelled"),0,'Raw Orders'!G178)</f>
        <v>0</v>
      </c>
      <c r="D181" s="31" t="n">
        <f aca="false">IF(AND('Raw Orders'!C178="Product",'Raw Orders'!K178="Fulfilled",COUNTIFS('Raw Orders'!$A$2:$A178,'Raw Orders'!A178,'Raw Orders'!$C$2:$C178,"Product",'Raw Orders'!$K$2:$K178,"Fulfilled")=1),1,0)</f>
        <v>0</v>
      </c>
      <c r="E181" s="31" t="n">
        <f aca="false">IF(AND('Raw Orders'!C178="Product",'Raw Orders'!K178="Fulfilled"),'Raw Orders'!E178,0)</f>
        <v>0</v>
      </c>
      <c r="F181" s="32" t="n">
        <f aca="false">IF('Raw Orders'!K178="Refunded",'Raw Orders'!G178,0)</f>
        <v>0</v>
      </c>
    </row>
    <row r="182" customFormat="false" ht="15" hidden="false" customHeight="false" outlineLevel="0" collapsed="false">
      <c r="A182" s="36" t="n">
        <f aca="false">IF('Raw Orders'!B179="","",IF(MID('Raw Orders'!B179,5,1)="-",DATE(VALUE(LEFT('Raw Orders'!B179,4)),VALUE(MID('Raw Orders'!B179,6,2)),VALUE(MID('Raw Orders'!B179,9,2))),DATE(VALUE(MID('Raw Orders'!B179,7,4)),VALUE(MID('Raw Orders'!B179,4,2)),VALUE(LEFT('Raw Orders'!B179,2)))))</f>
        <v>46155</v>
      </c>
      <c r="B182" s="36" t="n">
        <f aca="false">IF(A182="","",A182-WEEKDAY(A182,3))</f>
        <v>46153</v>
      </c>
      <c r="C182" s="32" t="n">
        <f aca="false">IF(OR('Raw Orders'!C179&lt;&gt;"Product",'Raw Orders'!K179="Cancelled"),0,'Raw Orders'!G179)</f>
        <v>0</v>
      </c>
      <c r="D182" s="31" t="n">
        <f aca="false">IF(AND('Raw Orders'!C179="Product",'Raw Orders'!K179="Fulfilled",COUNTIFS('Raw Orders'!$A$2:$A179,'Raw Orders'!A179,'Raw Orders'!$C$2:$C179,"Product",'Raw Orders'!$K$2:$K179,"Fulfilled")=1),1,0)</f>
        <v>0</v>
      </c>
      <c r="E182" s="31" t="n">
        <f aca="false">IF(AND('Raw Orders'!C179="Product",'Raw Orders'!K179="Fulfilled"),'Raw Orders'!E179,0)</f>
        <v>0</v>
      </c>
      <c r="F182" s="32" t="n">
        <f aca="false">IF('Raw Orders'!K179="Refunded",'Raw Orders'!G179,0)</f>
        <v>0</v>
      </c>
    </row>
    <row r="183" customFormat="false" ht="15" hidden="false" customHeight="false" outlineLevel="0" collapsed="false">
      <c r="A183" s="36" t="n">
        <f aca="false">IF('Raw Orders'!B180="","",IF(MID('Raw Orders'!B180,5,1)="-",DATE(VALUE(LEFT('Raw Orders'!B180,4)),VALUE(MID('Raw Orders'!B180,6,2)),VALUE(MID('Raw Orders'!B180,9,2))),DATE(VALUE(MID('Raw Orders'!B180,7,4)),VALUE(MID('Raw Orders'!B180,4,2)),VALUE(LEFT('Raw Orders'!B180,2)))))</f>
        <v>46155</v>
      </c>
      <c r="B183" s="36" t="n">
        <f aca="false">IF(A183="","",A183-WEEKDAY(A183,3))</f>
        <v>46153</v>
      </c>
      <c r="C183" s="32" t="n">
        <f aca="false">IF(OR('Raw Orders'!C180&lt;&gt;"Product",'Raw Orders'!K180="Cancelled"),0,'Raw Orders'!G180)</f>
        <v>26</v>
      </c>
      <c r="D183" s="31" t="n">
        <f aca="false">IF(AND('Raw Orders'!C180="Product",'Raw Orders'!K180="Fulfilled",COUNTIFS('Raw Orders'!$A$2:$A180,'Raw Orders'!A180,'Raw Orders'!$C$2:$C180,"Product",'Raw Orders'!$K$2:$K180,"Fulfilled")=1),1,0)</f>
        <v>1</v>
      </c>
      <c r="E183" s="31" t="n">
        <f aca="false">IF(AND('Raw Orders'!C180="Product",'Raw Orders'!K180="Fulfilled"),'Raw Orders'!E180,0)</f>
        <v>1</v>
      </c>
      <c r="F183" s="32" t="n">
        <f aca="false">IF('Raw Orders'!K180="Refunded",'Raw Orders'!G180,0)</f>
        <v>0</v>
      </c>
    </row>
    <row r="184" customFormat="false" ht="15" hidden="false" customHeight="false" outlineLevel="0" collapsed="false">
      <c r="A184" s="36" t="n">
        <f aca="false">IF('Raw Orders'!B181="","",IF(MID('Raw Orders'!B181,5,1)="-",DATE(VALUE(LEFT('Raw Orders'!B181,4)),VALUE(MID('Raw Orders'!B181,6,2)),VALUE(MID('Raw Orders'!B181,9,2))),DATE(VALUE(MID('Raw Orders'!B181,7,4)),VALUE(MID('Raw Orders'!B181,4,2)),VALUE(LEFT('Raw Orders'!B181,2)))))</f>
        <v>46155</v>
      </c>
      <c r="B184" s="36" t="n">
        <f aca="false">IF(A184="","",A184-WEEKDAY(A184,3))</f>
        <v>46153</v>
      </c>
      <c r="C184" s="32" t="n">
        <f aca="false">IF(OR('Raw Orders'!C181&lt;&gt;"Product",'Raw Orders'!K181="Cancelled"),0,'Raw Orders'!G181)</f>
        <v>0</v>
      </c>
      <c r="D184" s="31" t="n">
        <f aca="false">IF(AND('Raw Orders'!C181="Product",'Raw Orders'!K181="Fulfilled",COUNTIFS('Raw Orders'!$A$2:$A181,'Raw Orders'!A181,'Raw Orders'!$C$2:$C181,"Product",'Raw Orders'!$K$2:$K181,"Fulfilled")=1),1,0)</f>
        <v>0</v>
      </c>
      <c r="E184" s="31" t="n">
        <f aca="false">IF(AND('Raw Orders'!C181="Product",'Raw Orders'!K181="Fulfilled"),'Raw Orders'!E181,0)</f>
        <v>0</v>
      </c>
      <c r="F184" s="32" t="n">
        <f aca="false">IF('Raw Orders'!K181="Refunded",'Raw Orders'!G181,0)</f>
        <v>0</v>
      </c>
    </row>
    <row r="185" customFormat="false" ht="15" hidden="false" customHeight="false" outlineLevel="0" collapsed="false">
      <c r="A185" s="36" t="n">
        <f aca="false">IF('Raw Orders'!B182="","",IF(MID('Raw Orders'!B182,5,1)="-",DATE(VALUE(LEFT('Raw Orders'!B182,4)),VALUE(MID('Raw Orders'!B182,6,2)),VALUE(MID('Raw Orders'!B182,9,2))),DATE(VALUE(MID('Raw Orders'!B182,7,4)),VALUE(MID('Raw Orders'!B182,4,2)),VALUE(LEFT('Raw Orders'!B182,2)))))</f>
        <v>46155</v>
      </c>
      <c r="B185" s="36" t="n">
        <f aca="false">IF(A185="","",A185-WEEKDAY(A185,3))</f>
        <v>46153</v>
      </c>
      <c r="C185" s="32" t="n">
        <f aca="false">IF(OR('Raw Orders'!C182&lt;&gt;"Product",'Raw Orders'!K182="Cancelled"),0,'Raw Orders'!G182)</f>
        <v>69</v>
      </c>
      <c r="D185" s="31" t="n">
        <f aca="false">IF(AND('Raw Orders'!C182="Product",'Raw Orders'!K182="Fulfilled",COUNTIFS('Raw Orders'!$A$2:$A182,'Raw Orders'!A182,'Raw Orders'!$C$2:$C182,"Product",'Raw Orders'!$K$2:$K182,"Fulfilled")=1),1,0)</f>
        <v>1</v>
      </c>
      <c r="E185" s="31" t="n">
        <f aca="false">IF(AND('Raw Orders'!C182="Product",'Raw Orders'!K182="Fulfilled"),'Raw Orders'!E182,0)</f>
        <v>1</v>
      </c>
      <c r="F185" s="32" t="n">
        <f aca="false">IF('Raw Orders'!K182="Refunded",'Raw Orders'!G182,0)</f>
        <v>0</v>
      </c>
    </row>
    <row r="186" customFormat="false" ht="15" hidden="false" customHeight="false" outlineLevel="0" collapsed="false">
      <c r="A186" s="36" t="n">
        <f aca="false">IF('Raw Orders'!B183="","",IF(MID('Raw Orders'!B183,5,1)="-",DATE(VALUE(LEFT('Raw Orders'!B183,4)),VALUE(MID('Raw Orders'!B183,6,2)),VALUE(MID('Raw Orders'!B183,9,2))),DATE(VALUE(MID('Raw Orders'!B183,7,4)),VALUE(MID('Raw Orders'!B183,4,2)),VALUE(LEFT('Raw Orders'!B183,2)))))</f>
        <v>46155</v>
      </c>
      <c r="B186" s="36" t="n">
        <f aca="false">IF(A186="","",A186-WEEKDAY(A186,3))</f>
        <v>46153</v>
      </c>
      <c r="C186" s="32" t="n">
        <f aca="false">IF(OR('Raw Orders'!C183&lt;&gt;"Product",'Raw Orders'!K183="Cancelled"),0,'Raw Orders'!G183)</f>
        <v>45</v>
      </c>
      <c r="D186" s="31" t="n">
        <f aca="false">IF(AND('Raw Orders'!C183="Product",'Raw Orders'!K183="Fulfilled",COUNTIFS('Raw Orders'!$A$2:$A183,'Raw Orders'!A183,'Raw Orders'!$C$2:$C183,"Product",'Raw Orders'!$K$2:$K183,"Fulfilled")=1),1,0)</f>
        <v>0</v>
      </c>
      <c r="E186" s="31" t="n">
        <f aca="false">IF(AND('Raw Orders'!C183="Product",'Raw Orders'!K183="Fulfilled"),'Raw Orders'!E183,0)</f>
        <v>1</v>
      </c>
      <c r="F186" s="32" t="n">
        <f aca="false">IF('Raw Orders'!K183="Refunded",'Raw Orders'!G183,0)</f>
        <v>0</v>
      </c>
    </row>
    <row r="187" customFormat="false" ht="15" hidden="false" customHeight="false" outlineLevel="0" collapsed="false">
      <c r="A187" s="36" t="n">
        <f aca="false">IF('Raw Orders'!B184="","",IF(MID('Raw Orders'!B184,5,1)="-",DATE(VALUE(LEFT('Raw Orders'!B184,4)),VALUE(MID('Raw Orders'!B184,6,2)),VALUE(MID('Raw Orders'!B184,9,2))),DATE(VALUE(MID('Raw Orders'!B184,7,4)),VALUE(MID('Raw Orders'!B184,4,2)),VALUE(LEFT('Raw Orders'!B184,2)))))</f>
        <v>46155</v>
      </c>
      <c r="B187" s="36" t="n">
        <f aca="false">IF(A187="","",A187-WEEKDAY(A187,3))</f>
        <v>46153</v>
      </c>
      <c r="C187" s="32" t="n">
        <f aca="false">IF(OR('Raw Orders'!C184&lt;&gt;"Product",'Raw Orders'!K184="Cancelled"),0,'Raw Orders'!G184)</f>
        <v>150</v>
      </c>
      <c r="D187" s="31" t="n">
        <f aca="false">IF(AND('Raw Orders'!C184="Product",'Raw Orders'!K184="Fulfilled",COUNTIFS('Raw Orders'!$A$2:$A184,'Raw Orders'!A184,'Raw Orders'!$C$2:$C184,"Product",'Raw Orders'!$K$2:$K184,"Fulfilled")=1),1,0)</f>
        <v>0</v>
      </c>
      <c r="E187" s="31" t="n">
        <f aca="false">IF(AND('Raw Orders'!C184="Product",'Raw Orders'!K184="Fulfilled"),'Raw Orders'!E184,0)</f>
        <v>2</v>
      </c>
      <c r="F187" s="32" t="n">
        <f aca="false">IF('Raw Orders'!K184="Refunded",'Raw Orders'!G184,0)</f>
        <v>0</v>
      </c>
    </row>
    <row r="188" customFormat="false" ht="15" hidden="false" customHeight="false" outlineLevel="0" collapsed="false">
      <c r="A188" s="36" t="n">
        <f aca="false">IF('Raw Orders'!B185="","",IF(MID('Raw Orders'!B185,5,1)="-",DATE(VALUE(LEFT('Raw Orders'!B185,4)),VALUE(MID('Raw Orders'!B185,6,2)),VALUE(MID('Raw Orders'!B185,9,2))),DATE(VALUE(MID('Raw Orders'!B185,7,4)),VALUE(MID('Raw Orders'!B185,4,2)),VALUE(LEFT('Raw Orders'!B185,2)))))</f>
        <v>46155</v>
      </c>
      <c r="B188" s="36" t="n">
        <f aca="false">IF(A188="","",A188-WEEKDAY(A188,3))</f>
        <v>46153</v>
      </c>
      <c r="C188" s="32" t="n">
        <f aca="false">IF(OR('Raw Orders'!C185&lt;&gt;"Product",'Raw Orders'!K185="Cancelled"),0,'Raw Orders'!G185)</f>
        <v>0</v>
      </c>
      <c r="D188" s="31" t="n">
        <f aca="false">IF(AND('Raw Orders'!C185="Product",'Raw Orders'!K185="Fulfilled",COUNTIFS('Raw Orders'!$A$2:$A185,'Raw Orders'!A185,'Raw Orders'!$C$2:$C185,"Product",'Raw Orders'!$K$2:$K185,"Fulfilled")=1),1,0)</f>
        <v>0</v>
      </c>
      <c r="E188" s="31" t="n">
        <f aca="false">IF(AND('Raw Orders'!C185="Product",'Raw Orders'!K185="Fulfilled"),'Raw Orders'!E185,0)</f>
        <v>0</v>
      </c>
      <c r="F188" s="32" t="n">
        <f aca="false">IF('Raw Orders'!K185="Refunded",'Raw Orders'!G185,0)</f>
        <v>0</v>
      </c>
    </row>
    <row r="189" customFormat="false" ht="15" hidden="false" customHeight="false" outlineLevel="0" collapsed="false">
      <c r="A189" s="36" t="n">
        <f aca="false">IF('Raw Orders'!B186="","",IF(MID('Raw Orders'!B186,5,1)="-",DATE(VALUE(LEFT('Raw Orders'!B186,4)),VALUE(MID('Raw Orders'!B186,6,2)),VALUE(MID('Raw Orders'!B186,9,2))),DATE(VALUE(MID('Raw Orders'!B186,7,4)),VALUE(MID('Raw Orders'!B186,4,2)),VALUE(LEFT('Raw Orders'!B186,2)))))</f>
        <v>46155</v>
      </c>
      <c r="B189" s="36" t="n">
        <f aca="false">IF(A189="","",A189-WEEKDAY(A189,3))</f>
        <v>46153</v>
      </c>
      <c r="C189" s="32" t="n">
        <f aca="false">IF(OR('Raw Orders'!C186&lt;&gt;"Product",'Raw Orders'!K186="Cancelled"),0,'Raw Orders'!G186)</f>
        <v>90</v>
      </c>
      <c r="D189" s="31" t="n">
        <f aca="false">IF(AND('Raw Orders'!C186="Product",'Raw Orders'!K186="Fulfilled",COUNTIFS('Raw Orders'!$A$2:$A186,'Raw Orders'!A186,'Raw Orders'!$C$2:$C186,"Product",'Raw Orders'!$K$2:$K186,"Fulfilled")=1),1,0)</f>
        <v>1</v>
      </c>
      <c r="E189" s="31" t="n">
        <f aca="false">IF(AND('Raw Orders'!C186="Product",'Raw Orders'!K186="Fulfilled"),'Raw Orders'!E186,0)</f>
        <v>2</v>
      </c>
      <c r="F189" s="32" t="n">
        <f aca="false">IF('Raw Orders'!K186="Refunded",'Raw Orders'!G186,0)</f>
        <v>0</v>
      </c>
    </row>
    <row r="190" customFormat="false" ht="15" hidden="false" customHeight="false" outlineLevel="0" collapsed="false">
      <c r="A190" s="36" t="n">
        <f aca="false">IF('Raw Orders'!B187="","",IF(MID('Raw Orders'!B187,5,1)="-",DATE(VALUE(LEFT('Raw Orders'!B187,4)),VALUE(MID('Raw Orders'!B187,6,2)),VALUE(MID('Raw Orders'!B187,9,2))),DATE(VALUE(MID('Raw Orders'!B187,7,4)),VALUE(MID('Raw Orders'!B187,4,2)),VALUE(LEFT('Raw Orders'!B187,2)))))</f>
        <v>46155</v>
      </c>
      <c r="B190" s="36" t="n">
        <f aca="false">IF(A190="","",A190-WEEKDAY(A190,3))</f>
        <v>46153</v>
      </c>
      <c r="C190" s="32" t="n">
        <f aca="false">IF(OR('Raw Orders'!C187&lt;&gt;"Product",'Raw Orders'!K187="Cancelled"),0,'Raw Orders'!G187)</f>
        <v>0</v>
      </c>
      <c r="D190" s="31" t="n">
        <f aca="false">IF(AND('Raw Orders'!C187="Product",'Raw Orders'!K187="Fulfilled",COUNTIFS('Raw Orders'!$A$2:$A187,'Raw Orders'!A187,'Raw Orders'!$C$2:$C187,"Product",'Raw Orders'!$K$2:$K187,"Fulfilled")=1),1,0)</f>
        <v>0</v>
      </c>
      <c r="E190" s="31" t="n">
        <f aca="false">IF(AND('Raw Orders'!C187="Product",'Raw Orders'!K187="Fulfilled"),'Raw Orders'!E187,0)</f>
        <v>0</v>
      </c>
      <c r="F190" s="32" t="n">
        <f aca="false">IF('Raw Orders'!K187="Refunded",'Raw Orders'!G187,0)</f>
        <v>0</v>
      </c>
    </row>
    <row r="191" customFormat="false" ht="15" hidden="false" customHeight="false" outlineLevel="0" collapsed="false">
      <c r="A191" s="36" t="n">
        <f aca="false">IF('Raw Orders'!B188="","",IF(MID('Raw Orders'!B188,5,1)="-",DATE(VALUE(LEFT('Raw Orders'!B188,4)),VALUE(MID('Raw Orders'!B188,6,2)),VALUE(MID('Raw Orders'!B188,9,2))),DATE(VALUE(MID('Raw Orders'!B188,7,4)),VALUE(MID('Raw Orders'!B188,4,2)),VALUE(LEFT('Raw Orders'!B188,2)))))</f>
        <v>46155</v>
      </c>
      <c r="B191" s="36" t="n">
        <f aca="false">IF(A191="","",A191-WEEKDAY(A191,3))</f>
        <v>46153</v>
      </c>
      <c r="C191" s="32" t="n">
        <f aca="false">IF(OR('Raw Orders'!C188&lt;&gt;"Product",'Raw Orders'!K188="Cancelled"),0,'Raw Orders'!G188)</f>
        <v>36</v>
      </c>
      <c r="D191" s="31" t="n">
        <f aca="false">IF(AND('Raw Orders'!C188="Product",'Raw Orders'!K188="Fulfilled",COUNTIFS('Raw Orders'!$A$2:$A188,'Raw Orders'!A188,'Raw Orders'!$C$2:$C188,"Product",'Raw Orders'!$K$2:$K188,"Fulfilled")=1),1,0)</f>
        <v>1</v>
      </c>
      <c r="E191" s="31" t="n">
        <f aca="false">IF(AND('Raw Orders'!C188="Product",'Raw Orders'!K188="Fulfilled"),'Raw Orders'!E188,0)</f>
        <v>1</v>
      </c>
      <c r="F191" s="32" t="n">
        <f aca="false">IF('Raw Orders'!K188="Refunded",'Raw Orders'!G188,0)</f>
        <v>0</v>
      </c>
    </row>
    <row r="192" customFormat="false" ht="15" hidden="false" customHeight="false" outlineLevel="0" collapsed="false">
      <c r="A192" s="36" t="n">
        <f aca="false">IF('Raw Orders'!B189="","",IF(MID('Raw Orders'!B189,5,1)="-",DATE(VALUE(LEFT('Raw Orders'!B189,4)),VALUE(MID('Raw Orders'!B189,6,2)),VALUE(MID('Raw Orders'!B189,9,2))),DATE(VALUE(MID('Raw Orders'!B189,7,4)),VALUE(MID('Raw Orders'!B189,4,2)),VALUE(LEFT('Raw Orders'!B189,2)))))</f>
        <v>46155</v>
      </c>
      <c r="B192" s="36" t="n">
        <f aca="false">IF(A192="","",A192-WEEKDAY(A192,3))</f>
        <v>46153</v>
      </c>
      <c r="C192" s="32" t="n">
        <f aca="false">IF(OR('Raw Orders'!C189&lt;&gt;"Product",'Raw Orders'!K189="Cancelled"),0,'Raw Orders'!G189)</f>
        <v>0</v>
      </c>
      <c r="D192" s="31" t="n">
        <f aca="false">IF(AND('Raw Orders'!C189="Product",'Raw Orders'!K189="Fulfilled",COUNTIFS('Raw Orders'!$A$2:$A189,'Raw Orders'!A189,'Raw Orders'!$C$2:$C189,"Product",'Raw Orders'!$K$2:$K189,"Fulfilled")=1),1,0)</f>
        <v>0</v>
      </c>
      <c r="E192" s="31" t="n">
        <f aca="false">IF(AND('Raw Orders'!C189="Product",'Raw Orders'!K189="Fulfilled"),'Raw Orders'!E189,0)</f>
        <v>0</v>
      </c>
      <c r="F192" s="32" t="n">
        <f aca="false">IF('Raw Orders'!K189="Refunded",'Raw Orders'!G189,0)</f>
        <v>0</v>
      </c>
    </row>
    <row r="193" customFormat="false" ht="15" hidden="false" customHeight="false" outlineLevel="0" collapsed="false">
      <c r="A193" s="36" t="n">
        <f aca="false">IF('Raw Orders'!B190="","",IF(MID('Raw Orders'!B190,5,1)="-",DATE(VALUE(LEFT('Raw Orders'!B190,4)),VALUE(MID('Raw Orders'!B190,6,2)),VALUE(MID('Raw Orders'!B190,9,2))),DATE(VALUE(MID('Raw Orders'!B190,7,4)),VALUE(MID('Raw Orders'!B190,4,2)),VALUE(LEFT('Raw Orders'!B190,2)))))</f>
        <v>46155</v>
      </c>
      <c r="B193" s="36" t="n">
        <f aca="false">IF(A193="","",A193-WEEKDAY(A193,3))</f>
        <v>46153</v>
      </c>
      <c r="C193" s="32" t="n">
        <f aca="false">IF(OR('Raw Orders'!C190&lt;&gt;"Product",'Raw Orders'!K190="Cancelled"),0,'Raw Orders'!G190)</f>
        <v>55.2</v>
      </c>
      <c r="D193" s="31" t="n">
        <f aca="false">IF(AND('Raw Orders'!C190="Product",'Raw Orders'!K190="Fulfilled",COUNTIFS('Raw Orders'!$A$2:$A190,'Raw Orders'!A190,'Raw Orders'!$C$2:$C190,"Product",'Raw Orders'!$K$2:$K190,"Fulfilled")=1),1,0)</f>
        <v>1</v>
      </c>
      <c r="E193" s="31" t="n">
        <f aca="false">IF(AND('Raw Orders'!C190="Product",'Raw Orders'!K190="Fulfilled"),'Raw Orders'!E190,0)</f>
        <v>1</v>
      </c>
      <c r="F193" s="32" t="n">
        <f aca="false">IF('Raw Orders'!K190="Refunded",'Raw Orders'!G190,0)</f>
        <v>0</v>
      </c>
    </row>
    <row r="194" customFormat="false" ht="15" hidden="false" customHeight="false" outlineLevel="0" collapsed="false">
      <c r="A194" s="36" t="n">
        <f aca="false">IF('Raw Orders'!B191="","",IF(MID('Raw Orders'!B191,5,1)="-",DATE(VALUE(LEFT('Raw Orders'!B191,4)),VALUE(MID('Raw Orders'!B191,6,2)),VALUE(MID('Raw Orders'!B191,9,2))),DATE(VALUE(MID('Raw Orders'!B191,7,4)),VALUE(MID('Raw Orders'!B191,4,2)),VALUE(LEFT('Raw Orders'!B191,2)))))</f>
        <v>46155</v>
      </c>
      <c r="B194" s="36" t="n">
        <f aca="false">IF(A194="","",A194-WEEKDAY(A194,3))</f>
        <v>46153</v>
      </c>
      <c r="C194" s="32" t="n">
        <f aca="false">IF(OR('Raw Orders'!C191&lt;&gt;"Product",'Raw Orders'!K191="Cancelled"),0,'Raw Orders'!G191)</f>
        <v>89</v>
      </c>
      <c r="D194" s="31" t="n">
        <f aca="false">IF(AND('Raw Orders'!C191="Product",'Raw Orders'!K191="Fulfilled",COUNTIFS('Raw Orders'!$A$2:$A191,'Raw Orders'!A191,'Raw Orders'!$C$2:$C191,"Product",'Raw Orders'!$K$2:$K191,"Fulfilled")=1),1,0)</f>
        <v>1</v>
      </c>
      <c r="E194" s="31" t="n">
        <f aca="false">IF(AND('Raw Orders'!C191="Product",'Raw Orders'!K191="Fulfilled"),'Raw Orders'!E191,0)</f>
        <v>1</v>
      </c>
      <c r="F194" s="32" t="n">
        <f aca="false">IF('Raw Orders'!K191="Refunded",'Raw Orders'!G191,0)</f>
        <v>0</v>
      </c>
    </row>
    <row r="195" customFormat="false" ht="15" hidden="false" customHeight="false" outlineLevel="0" collapsed="false">
      <c r="A195" s="36" t="n">
        <f aca="false">IF('Raw Orders'!B192="","",IF(MID('Raw Orders'!B192,5,1)="-",DATE(VALUE(LEFT('Raw Orders'!B192,4)),VALUE(MID('Raw Orders'!B192,6,2)),VALUE(MID('Raw Orders'!B192,9,2))),DATE(VALUE(MID('Raw Orders'!B192,7,4)),VALUE(MID('Raw Orders'!B192,4,2)),VALUE(LEFT('Raw Orders'!B192,2)))))</f>
        <v>46155</v>
      </c>
      <c r="B195" s="36" t="n">
        <f aca="false">IF(A195="","",A195-WEEKDAY(A195,3))</f>
        <v>46153</v>
      </c>
      <c r="C195" s="32" t="n">
        <f aca="false">IF(OR('Raw Orders'!C192&lt;&gt;"Product",'Raw Orders'!K192="Cancelled"),0,'Raw Orders'!G192)</f>
        <v>26</v>
      </c>
      <c r="D195" s="31" t="n">
        <f aca="false">IF(AND('Raw Orders'!C192="Product",'Raw Orders'!K192="Fulfilled",COUNTIFS('Raw Orders'!$A$2:$A192,'Raw Orders'!A192,'Raw Orders'!$C$2:$C192,"Product",'Raw Orders'!$K$2:$K192,"Fulfilled")=1),1,0)</f>
        <v>0</v>
      </c>
      <c r="E195" s="31" t="n">
        <f aca="false">IF(AND('Raw Orders'!C192="Product",'Raw Orders'!K192="Fulfilled"),'Raw Orders'!E192,0)</f>
        <v>1</v>
      </c>
      <c r="F195" s="32" t="n">
        <f aca="false">IF('Raw Orders'!K192="Refunded",'Raw Orders'!G192,0)</f>
        <v>0</v>
      </c>
    </row>
    <row r="196" customFormat="false" ht="15" hidden="false" customHeight="false" outlineLevel="0" collapsed="false">
      <c r="A196" s="36" t="n">
        <f aca="false">IF('Raw Orders'!B193="","",IF(MID('Raw Orders'!B193,5,1)="-",DATE(VALUE(LEFT('Raw Orders'!B193,4)),VALUE(MID('Raw Orders'!B193,6,2)),VALUE(MID('Raw Orders'!B193,9,2))),DATE(VALUE(MID('Raw Orders'!B193,7,4)),VALUE(MID('Raw Orders'!B193,4,2)),VALUE(LEFT('Raw Orders'!B193,2)))))</f>
        <v>46155</v>
      </c>
      <c r="B196" s="36" t="n">
        <f aca="false">IF(A196="","",A196-WEEKDAY(A196,3))</f>
        <v>46153</v>
      </c>
      <c r="C196" s="32" t="n">
        <f aca="false">IF(OR('Raw Orders'!C193&lt;&gt;"Product",'Raw Orders'!K193="Cancelled"),0,'Raw Orders'!G193)</f>
        <v>0</v>
      </c>
      <c r="D196" s="31" t="n">
        <f aca="false">IF(AND('Raw Orders'!C193="Product",'Raw Orders'!K193="Fulfilled",COUNTIFS('Raw Orders'!$A$2:$A193,'Raw Orders'!A193,'Raw Orders'!$C$2:$C193,"Product",'Raw Orders'!$K$2:$K193,"Fulfilled")=1),1,0)</f>
        <v>0</v>
      </c>
      <c r="E196" s="31" t="n">
        <f aca="false">IF(AND('Raw Orders'!C193="Product",'Raw Orders'!K193="Fulfilled"),'Raw Orders'!E193,0)</f>
        <v>0</v>
      </c>
      <c r="F196" s="32" t="n">
        <f aca="false">IF('Raw Orders'!K193="Refunded",'Raw Orders'!G193,0)</f>
        <v>0</v>
      </c>
    </row>
    <row r="197" customFormat="false" ht="15" hidden="false" customHeight="false" outlineLevel="0" collapsed="false">
      <c r="A197" s="36" t="n">
        <f aca="false">IF('Raw Orders'!B194="","",IF(MID('Raw Orders'!B194,5,1)="-",DATE(VALUE(LEFT('Raw Orders'!B194,4)),VALUE(MID('Raw Orders'!B194,6,2)),VALUE(MID('Raw Orders'!B194,9,2))),DATE(VALUE(MID('Raw Orders'!B194,7,4)),VALUE(MID('Raw Orders'!B194,4,2)),VALUE(LEFT('Raw Orders'!B194,2)))))</f>
        <v>46155</v>
      </c>
      <c r="B197" s="36" t="n">
        <f aca="false">IF(A197="","",A197-WEEKDAY(A197,3))</f>
        <v>46153</v>
      </c>
      <c r="C197" s="32" t="n">
        <f aca="false">IF(OR('Raw Orders'!C194&lt;&gt;"Product",'Raw Orders'!K194="Cancelled"),0,'Raw Orders'!G194)</f>
        <v>52</v>
      </c>
      <c r="D197" s="31" t="n">
        <f aca="false">IF(AND('Raw Orders'!C194="Product",'Raw Orders'!K194="Fulfilled",COUNTIFS('Raw Orders'!$A$2:$A194,'Raw Orders'!A194,'Raw Orders'!$C$2:$C194,"Product",'Raw Orders'!$K$2:$K194,"Fulfilled")=1),1,0)</f>
        <v>1</v>
      </c>
      <c r="E197" s="31" t="n">
        <f aca="false">IF(AND('Raw Orders'!C194="Product",'Raw Orders'!K194="Fulfilled"),'Raw Orders'!E194,0)</f>
        <v>2</v>
      </c>
      <c r="F197" s="32" t="n">
        <f aca="false">IF('Raw Orders'!K194="Refunded",'Raw Orders'!G194,0)</f>
        <v>0</v>
      </c>
    </row>
    <row r="198" customFormat="false" ht="15" hidden="false" customHeight="false" outlineLevel="0" collapsed="false">
      <c r="A198" s="36" t="n">
        <f aca="false">IF('Raw Orders'!B195="","",IF(MID('Raw Orders'!B195,5,1)="-",DATE(VALUE(LEFT('Raw Orders'!B195,4)),VALUE(MID('Raw Orders'!B195,6,2)),VALUE(MID('Raw Orders'!B195,9,2))),DATE(VALUE(MID('Raw Orders'!B195,7,4)),VALUE(MID('Raw Orders'!B195,4,2)),VALUE(LEFT('Raw Orders'!B195,2)))))</f>
        <v>46155</v>
      </c>
      <c r="B198" s="36" t="n">
        <f aca="false">IF(A198="","",A198-WEEKDAY(A198,3))</f>
        <v>46153</v>
      </c>
      <c r="C198" s="32" t="n">
        <f aca="false">IF(OR('Raw Orders'!C195&lt;&gt;"Product",'Raw Orders'!K195="Cancelled"),0,'Raw Orders'!G195)</f>
        <v>0</v>
      </c>
      <c r="D198" s="31" t="n">
        <f aca="false">IF(AND('Raw Orders'!C195="Product",'Raw Orders'!K195="Fulfilled",COUNTIFS('Raw Orders'!$A$2:$A195,'Raw Orders'!A195,'Raw Orders'!$C$2:$C195,"Product",'Raw Orders'!$K$2:$K195,"Fulfilled")=1),1,0)</f>
        <v>0</v>
      </c>
      <c r="E198" s="31" t="n">
        <f aca="false">IF(AND('Raw Orders'!C195="Product",'Raw Orders'!K195="Fulfilled"),'Raw Orders'!E195,0)</f>
        <v>0</v>
      </c>
      <c r="F198" s="32" t="n">
        <f aca="false">IF('Raw Orders'!K195="Refunded",'Raw Orders'!G195,0)</f>
        <v>0</v>
      </c>
    </row>
    <row r="199" customFormat="false" ht="15" hidden="false" customHeight="false" outlineLevel="0" collapsed="false">
      <c r="A199" s="36" t="n">
        <f aca="false">IF('Raw Orders'!B196="","",IF(MID('Raw Orders'!B196,5,1)="-",DATE(VALUE(LEFT('Raw Orders'!B196,4)),VALUE(MID('Raw Orders'!B196,6,2)),VALUE(MID('Raw Orders'!B196,9,2))),DATE(VALUE(MID('Raw Orders'!B196,7,4)),VALUE(MID('Raw Orders'!B196,4,2)),VALUE(LEFT('Raw Orders'!B196,2)))))</f>
        <v>46155</v>
      </c>
      <c r="B199" s="36" t="n">
        <f aca="false">IF(A199="","",A199-WEEKDAY(A199,3))</f>
        <v>46153</v>
      </c>
      <c r="C199" s="32" t="n">
        <f aca="false">IF(OR('Raw Orders'!C196&lt;&gt;"Product",'Raw Orders'!K196="Cancelled"),0,'Raw Orders'!G196)</f>
        <v>75</v>
      </c>
      <c r="D199" s="31" t="n">
        <f aca="false">IF(AND('Raw Orders'!C196="Product",'Raw Orders'!K196="Fulfilled",COUNTIFS('Raw Orders'!$A$2:$A196,'Raw Orders'!A196,'Raw Orders'!$C$2:$C196,"Product",'Raw Orders'!$K$2:$K196,"Fulfilled")=1),1,0)</f>
        <v>0</v>
      </c>
      <c r="E199" s="31" t="n">
        <f aca="false">IF(AND('Raw Orders'!C196="Product",'Raw Orders'!K196="Fulfilled"),'Raw Orders'!E196,0)</f>
        <v>1</v>
      </c>
      <c r="F199" s="32" t="n">
        <f aca="false">IF('Raw Orders'!K196="Refunded",'Raw Orders'!G196,0)</f>
        <v>0</v>
      </c>
    </row>
    <row r="200" customFormat="false" ht="15" hidden="false" customHeight="false" outlineLevel="0" collapsed="false">
      <c r="A200" s="36" t="n">
        <f aca="false">IF('Raw Orders'!B197="","",IF(MID('Raw Orders'!B197,5,1)="-",DATE(VALUE(LEFT('Raw Orders'!B197,4)),VALUE(MID('Raw Orders'!B197,6,2)),VALUE(MID('Raw Orders'!B197,9,2))),DATE(VALUE(MID('Raw Orders'!B197,7,4)),VALUE(MID('Raw Orders'!B197,4,2)),VALUE(LEFT('Raw Orders'!B197,2)))))</f>
        <v>46155</v>
      </c>
      <c r="B200" s="36" t="n">
        <f aca="false">IF(A200="","",A200-WEEKDAY(A200,3))</f>
        <v>46153</v>
      </c>
      <c r="C200" s="32" t="n">
        <f aca="false">IF(OR('Raw Orders'!C197&lt;&gt;"Product",'Raw Orders'!K197="Cancelled"),0,'Raw Orders'!G197)</f>
        <v>0</v>
      </c>
      <c r="D200" s="31" t="n">
        <f aca="false">IF(AND('Raw Orders'!C197="Product",'Raw Orders'!K197="Fulfilled",COUNTIFS('Raw Orders'!$A$2:$A197,'Raw Orders'!A197,'Raw Orders'!$C$2:$C197,"Product",'Raw Orders'!$K$2:$K197,"Fulfilled")=1),1,0)</f>
        <v>0</v>
      </c>
      <c r="E200" s="31" t="n">
        <f aca="false">IF(AND('Raw Orders'!C197="Product",'Raw Orders'!K197="Fulfilled"),'Raw Orders'!E197,0)</f>
        <v>0</v>
      </c>
      <c r="F200" s="32" t="n">
        <f aca="false">IF('Raw Orders'!K197="Refunded",'Raw Orders'!G197,0)</f>
        <v>0</v>
      </c>
    </row>
    <row r="201" customFormat="false" ht="15" hidden="false" customHeight="false" outlineLevel="0" collapsed="false">
      <c r="A201" s="36" t="n">
        <f aca="false">IF('Raw Orders'!B198="","",IF(MID('Raw Orders'!B198,5,1)="-",DATE(VALUE(LEFT('Raw Orders'!B198,4)),VALUE(MID('Raw Orders'!B198,6,2)),VALUE(MID('Raw Orders'!B198,9,2))),DATE(VALUE(MID('Raw Orders'!B198,7,4)),VALUE(MID('Raw Orders'!B198,4,2)),VALUE(LEFT('Raw Orders'!B198,2)))))</f>
        <v>46155</v>
      </c>
      <c r="B201" s="36" t="n">
        <f aca="false">IF(A201="","",A201-WEEKDAY(A201,3))</f>
        <v>46153</v>
      </c>
      <c r="C201" s="32" t="n">
        <f aca="false">IF(OR('Raw Orders'!C198&lt;&gt;"Product",'Raw Orders'!K198="Cancelled"),0,'Raw Orders'!G198)</f>
        <v>69</v>
      </c>
      <c r="D201" s="31" t="n">
        <f aca="false">IF(AND('Raw Orders'!C198="Product",'Raw Orders'!K198="Fulfilled",COUNTIFS('Raw Orders'!$A$2:$A198,'Raw Orders'!A198,'Raw Orders'!$C$2:$C198,"Product",'Raw Orders'!$K$2:$K198,"Fulfilled")=1),1,0)</f>
        <v>1</v>
      </c>
      <c r="E201" s="31" t="n">
        <f aca="false">IF(AND('Raw Orders'!C198="Product",'Raw Orders'!K198="Fulfilled"),'Raw Orders'!E198,0)</f>
        <v>1</v>
      </c>
      <c r="F201" s="32" t="n">
        <f aca="false">IF('Raw Orders'!K198="Refunded",'Raw Orders'!G198,0)</f>
        <v>0</v>
      </c>
    </row>
    <row r="202" customFormat="false" ht="15" hidden="false" customHeight="false" outlineLevel="0" collapsed="false">
      <c r="A202" s="36" t="n">
        <f aca="false">IF('Raw Orders'!B199="","",IF(MID('Raw Orders'!B199,5,1)="-",DATE(VALUE(LEFT('Raw Orders'!B199,4)),VALUE(MID('Raw Orders'!B199,6,2)),VALUE(MID('Raw Orders'!B199,9,2))),DATE(VALUE(MID('Raw Orders'!B199,7,4)),VALUE(MID('Raw Orders'!B199,4,2)),VALUE(LEFT('Raw Orders'!B199,2)))))</f>
        <v>46155</v>
      </c>
      <c r="B202" s="36" t="n">
        <f aca="false">IF(A202="","",A202-WEEKDAY(A202,3))</f>
        <v>46153</v>
      </c>
      <c r="C202" s="32" t="n">
        <f aca="false">IF(OR('Raw Orders'!C199&lt;&gt;"Product",'Raw Orders'!K199="Cancelled"),0,'Raw Orders'!G199)</f>
        <v>32</v>
      </c>
      <c r="D202" s="31" t="n">
        <f aca="false">IF(AND('Raw Orders'!C199="Product",'Raw Orders'!K199="Fulfilled",COUNTIFS('Raw Orders'!$A$2:$A199,'Raw Orders'!A199,'Raw Orders'!$C$2:$C199,"Product",'Raw Orders'!$K$2:$K199,"Fulfilled")=1),1,0)</f>
        <v>0</v>
      </c>
      <c r="E202" s="31" t="n">
        <f aca="false">IF(AND('Raw Orders'!C199="Product",'Raw Orders'!K199="Fulfilled"),'Raw Orders'!E199,0)</f>
        <v>1</v>
      </c>
      <c r="F202" s="32" t="n">
        <f aca="false">IF('Raw Orders'!K199="Refunded",'Raw Orders'!G199,0)</f>
        <v>0</v>
      </c>
    </row>
    <row r="203" customFormat="false" ht="15" hidden="false" customHeight="false" outlineLevel="0" collapsed="false">
      <c r="A203" s="36" t="n">
        <f aca="false">IF('Raw Orders'!B200="","",IF(MID('Raw Orders'!B200,5,1)="-",DATE(VALUE(LEFT('Raw Orders'!B200,4)),VALUE(MID('Raw Orders'!B200,6,2)),VALUE(MID('Raw Orders'!B200,9,2))),DATE(VALUE(MID('Raw Orders'!B200,7,4)),VALUE(MID('Raw Orders'!B200,4,2)),VALUE(LEFT('Raw Orders'!B200,2)))))</f>
        <v>46156</v>
      </c>
      <c r="B203" s="36" t="n">
        <f aca="false">IF(A203="","",A203-WEEKDAY(A203,3))</f>
        <v>46153</v>
      </c>
      <c r="C203" s="32" t="n">
        <f aca="false">IF(OR('Raw Orders'!C200&lt;&gt;"Product",'Raw Orders'!K200="Cancelled"),0,'Raw Orders'!G200)</f>
        <v>0</v>
      </c>
      <c r="D203" s="31" t="n">
        <f aca="false">IF(AND('Raw Orders'!C200="Product",'Raw Orders'!K200="Fulfilled",COUNTIFS('Raw Orders'!$A$2:$A200,'Raw Orders'!A200,'Raw Orders'!$C$2:$C200,"Product",'Raw Orders'!$K$2:$K200,"Fulfilled")=1),1,0)</f>
        <v>0</v>
      </c>
      <c r="E203" s="31" t="n">
        <f aca="false">IF(AND('Raw Orders'!C200="Product",'Raw Orders'!K200="Fulfilled"),'Raw Orders'!E200,0)</f>
        <v>0</v>
      </c>
      <c r="F203" s="32" t="n">
        <f aca="false">IF('Raw Orders'!K200="Refunded",'Raw Orders'!G200,0)</f>
        <v>0</v>
      </c>
    </row>
    <row r="204" customFormat="false" ht="15" hidden="false" customHeight="false" outlineLevel="0" collapsed="false">
      <c r="A204" s="36" t="n">
        <f aca="false">IF('Raw Orders'!B201="","",IF(MID('Raw Orders'!B201,5,1)="-",DATE(VALUE(LEFT('Raw Orders'!B201,4)),VALUE(MID('Raw Orders'!B201,6,2)),VALUE(MID('Raw Orders'!B201,9,2))),DATE(VALUE(MID('Raw Orders'!B201,7,4)),VALUE(MID('Raw Orders'!B201,4,2)),VALUE(LEFT('Raw Orders'!B201,2)))))</f>
        <v>46156</v>
      </c>
      <c r="B204" s="36" t="n">
        <f aca="false">IF(A204="","",A204-WEEKDAY(A204,3))</f>
        <v>46153</v>
      </c>
      <c r="C204" s="32" t="n">
        <f aca="false">IF(OR('Raw Orders'!C201&lt;&gt;"Product",'Raw Orders'!K201="Cancelled"),0,'Raw Orders'!G201)</f>
        <v>45</v>
      </c>
      <c r="D204" s="31" t="n">
        <f aca="false">IF(AND('Raw Orders'!C201="Product",'Raw Orders'!K201="Fulfilled",COUNTIFS('Raw Orders'!$A$2:$A201,'Raw Orders'!A201,'Raw Orders'!$C$2:$C201,"Product",'Raw Orders'!$K$2:$K201,"Fulfilled")=1),1,0)</f>
        <v>1</v>
      </c>
      <c r="E204" s="31" t="n">
        <f aca="false">IF(AND('Raw Orders'!C201="Product",'Raw Orders'!K201="Fulfilled"),'Raw Orders'!E201,0)</f>
        <v>1</v>
      </c>
      <c r="F204" s="32" t="n">
        <f aca="false">IF('Raw Orders'!K201="Refunded",'Raw Orders'!G201,0)</f>
        <v>0</v>
      </c>
    </row>
    <row r="205" customFormat="false" ht="15" hidden="false" customHeight="false" outlineLevel="0" collapsed="false">
      <c r="A205" s="36" t="n">
        <f aca="false">IF('Raw Orders'!B202="","",IF(MID('Raw Orders'!B202,5,1)="-",DATE(VALUE(LEFT('Raw Orders'!B202,4)),VALUE(MID('Raw Orders'!B202,6,2)),VALUE(MID('Raw Orders'!B202,9,2))),DATE(VALUE(MID('Raw Orders'!B202,7,4)),VALUE(MID('Raw Orders'!B202,4,2)),VALUE(LEFT('Raw Orders'!B202,2)))))</f>
        <v>46156</v>
      </c>
      <c r="B205" s="36" t="n">
        <f aca="false">IF(A205="","",A205-WEEKDAY(A205,3))</f>
        <v>46153</v>
      </c>
      <c r="C205" s="32" t="n">
        <f aca="false">IF(OR('Raw Orders'!C202&lt;&gt;"Product",'Raw Orders'!K202="Cancelled"),0,'Raw Orders'!G202)</f>
        <v>70</v>
      </c>
      <c r="D205" s="31" t="n">
        <f aca="false">IF(AND('Raw Orders'!C202="Product",'Raw Orders'!K202="Fulfilled",COUNTIFS('Raw Orders'!$A$2:$A202,'Raw Orders'!A202,'Raw Orders'!$C$2:$C202,"Product",'Raw Orders'!$K$2:$K202,"Fulfilled")=1),1,0)</f>
        <v>0</v>
      </c>
      <c r="E205" s="31" t="n">
        <f aca="false">IF(AND('Raw Orders'!C202="Product",'Raw Orders'!K202="Fulfilled"),'Raw Orders'!E202,0)</f>
        <v>2</v>
      </c>
      <c r="F205" s="32" t="n">
        <f aca="false">IF('Raw Orders'!K202="Refunded",'Raw Orders'!G202,0)</f>
        <v>0</v>
      </c>
    </row>
    <row r="206" customFormat="false" ht="15" hidden="false" customHeight="false" outlineLevel="0" collapsed="false">
      <c r="A206" s="36" t="n">
        <f aca="false">IF('Raw Orders'!B203="","",IF(MID('Raw Orders'!B203,5,1)="-",DATE(VALUE(LEFT('Raw Orders'!B203,4)),VALUE(MID('Raw Orders'!B203,6,2)),VALUE(MID('Raw Orders'!B203,9,2))),DATE(VALUE(MID('Raw Orders'!B203,7,4)),VALUE(MID('Raw Orders'!B203,4,2)),VALUE(LEFT('Raw Orders'!B203,2)))))</f>
        <v>46156</v>
      </c>
      <c r="B206" s="36" t="n">
        <f aca="false">IF(A206="","",A206-WEEKDAY(A206,3))</f>
        <v>46153</v>
      </c>
      <c r="C206" s="32" t="n">
        <f aca="false">IF(OR('Raw Orders'!C203&lt;&gt;"Product",'Raw Orders'!K203="Cancelled"),0,'Raw Orders'!G203)</f>
        <v>69</v>
      </c>
      <c r="D206" s="31" t="n">
        <f aca="false">IF(AND('Raw Orders'!C203="Product",'Raw Orders'!K203="Fulfilled",COUNTIFS('Raw Orders'!$A$2:$A203,'Raw Orders'!A203,'Raw Orders'!$C$2:$C203,"Product",'Raw Orders'!$K$2:$K203,"Fulfilled")=1),1,0)</f>
        <v>1</v>
      </c>
      <c r="E206" s="31" t="n">
        <f aca="false">IF(AND('Raw Orders'!C203="Product",'Raw Orders'!K203="Fulfilled"),'Raw Orders'!E203,0)</f>
        <v>1</v>
      </c>
      <c r="F206" s="32" t="n">
        <f aca="false">IF('Raw Orders'!K203="Refunded",'Raw Orders'!G203,0)</f>
        <v>0</v>
      </c>
    </row>
    <row r="207" customFormat="false" ht="15" hidden="false" customHeight="false" outlineLevel="0" collapsed="false">
      <c r="A207" s="36" t="n">
        <f aca="false">IF('Raw Orders'!B204="","",IF(MID('Raw Orders'!B204,5,1)="-",DATE(VALUE(LEFT('Raw Orders'!B204,4)),VALUE(MID('Raw Orders'!B204,6,2)),VALUE(MID('Raw Orders'!B204,9,2))),DATE(VALUE(MID('Raw Orders'!B204,7,4)),VALUE(MID('Raw Orders'!B204,4,2)),VALUE(LEFT('Raw Orders'!B204,2)))))</f>
        <v>46156</v>
      </c>
      <c r="B207" s="36" t="n">
        <f aca="false">IF(A207="","",A207-WEEKDAY(A207,3))</f>
        <v>46153</v>
      </c>
      <c r="C207" s="32" t="n">
        <f aca="false">IF(OR('Raw Orders'!C204&lt;&gt;"Product",'Raw Orders'!K204="Cancelled"),0,'Raw Orders'!G204)</f>
        <v>64</v>
      </c>
      <c r="D207" s="31" t="n">
        <f aca="false">IF(AND('Raw Orders'!C204="Product",'Raw Orders'!K204="Fulfilled",COUNTIFS('Raw Orders'!$A$2:$A204,'Raw Orders'!A204,'Raw Orders'!$C$2:$C204,"Product",'Raw Orders'!$K$2:$K204,"Fulfilled")=1),1,0)</f>
        <v>1</v>
      </c>
      <c r="E207" s="31" t="n">
        <f aca="false">IF(AND('Raw Orders'!C204="Product",'Raw Orders'!K204="Fulfilled"),'Raw Orders'!E204,0)</f>
        <v>2</v>
      </c>
      <c r="F207" s="32" t="n">
        <f aca="false">IF('Raw Orders'!K204="Refunded",'Raw Orders'!G204,0)</f>
        <v>0</v>
      </c>
    </row>
    <row r="208" customFormat="false" ht="15" hidden="false" customHeight="false" outlineLevel="0" collapsed="false">
      <c r="A208" s="36" t="n">
        <f aca="false">IF('Raw Orders'!B205="","",IF(MID('Raw Orders'!B205,5,1)="-",DATE(VALUE(LEFT('Raw Orders'!B205,4)),VALUE(MID('Raw Orders'!B205,6,2)),VALUE(MID('Raw Orders'!B205,9,2))),DATE(VALUE(MID('Raw Orders'!B205,7,4)),VALUE(MID('Raw Orders'!B205,4,2)),VALUE(LEFT('Raw Orders'!B205,2)))))</f>
        <v>46156</v>
      </c>
      <c r="B208" s="36" t="n">
        <f aca="false">IF(A208="","",A208-WEEKDAY(A208,3))</f>
        <v>46153</v>
      </c>
      <c r="C208" s="32" t="n">
        <f aca="false">IF(OR('Raw Orders'!C205&lt;&gt;"Product",'Raw Orders'!K205="Cancelled"),0,'Raw Orders'!G205)</f>
        <v>0</v>
      </c>
      <c r="D208" s="31" t="n">
        <f aca="false">IF(AND('Raw Orders'!C205="Product",'Raw Orders'!K205="Fulfilled",COUNTIFS('Raw Orders'!$A$2:$A205,'Raw Orders'!A205,'Raw Orders'!$C$2:$C205,"Product",'Raw Orders'!$K$2:$K205,"Fulfilled")=1),1,0)</f>
        <v>0</v>
      </c>
      <c r="E208" s="31" t="n">
        <f aca="false">IF(AND('Raw Orders'!C205="Product",'Raw Orders'!K205="Fulfilled"),'Raw Orders'!E205,0)</f>
        <v>0</v>
      </c>
      <c r="F208" s="32" t="n">
        <f aca="false">IF('Raw Orders'!K205="Refunded",'Raw Orders'!G205,0)</f>
        <v>0</v>
      </c>
    </row>
    <row r="209" customFormat="false" ht="15" hidden="false" customHeight="false" outlineLevel="0" collapsed="false">
      <c r="A209" s="36" t="n">
        <f aca="false">IF('Raw Orders'!B206="","",IF(MID('Raw Orders'!B206,5,1)="-",DATE(VALUE(LEFT('Raw Orders'!B206,4)),VALUE(MID('Raw Orders'!B206,6,2)),VALUE(MID('Raw Orders'!B206,9,2))),DATE(VALUE(MID('Raw Orders'!B206,7,4)),VALUE(MID('Raw Orders'!B206,4,2)),VALUE(LEFT('Raw Orders'!B206,2)))))</f>
        <v>46156</v>
      </c>
      <c r="B209" s="36" t="n">
        <f aca="false">IF(A209="","",A209-WEEKDAY(A209,3))</f>
        <v>46153</v>
      </c>
      <c r="C209" s="32" t="n">
        <f aca="false">IF(OR('Raw Orders'!C206&lt;&gt;"Product",'Raw Orders'!K206="Cancelled"),0,'Raw Orders'!G206)</f>
        <v>45</v>
      </c>
      <c r="D209" s="31" t="n">
        <f aca="false">IF(AND('Raw Orders'!C206="Product",'Raw Orders'!K206="Fulfilled",COUNTIFS('Raw Orders'!$A$2:$A206,'Raw Orders'!A206,'Raw Orders'!$C$2:$C206,"Product",'Raw Orders'!$K$2:$K206,"Fulfilled")=1),1,0)</f>
        <v>0</v>
      </c>
      <c r="E209" s="31" t="n">
        <f aca="false">IF(AND('Raw Orders'!C206="Product",'Raw Orders'!K206="Fulfilled"),'Raw Orders'!E206,0)</f>
        <v>1</v>
      </c>
      <c r="F209" s="32" t="n">
        <f aca="false">IF('Raw Orders'!K206="Refunded",'Raw Orders'!G206,0)</f>
        <v>0</v>
      </c>
    </row>
    <row r="210" customFormat="false" ht="15" hidden="false" customHeight="false" outlineLevel="0" collapsed="false">
      <c r="A210" s="36" t="n">
        <f aca="false">IF('Raw Orders'!B207="","",IF(MID('Raw Orders'!B207,5,1)="-",DATE(VALUE(LEFT('Raw Orders'!B207,4)),VALUE(MID('Raw Orders'!B207,6,2)),VALUE(MID('Raw Orders'!B207,9,2))),DATE(VALUE(MID('Raw Orders'!B207,7,4)),VALUE(MID('Raw Orders'!B207,4,2)),VALUE(LEFT('Raw Orders'!B207,2)))))</f>
        <v>46156</v>
      </c>
      <c r="B210" s="36" t="n">
        <f aca="false">IF(A210="","",A210-WEEKDAY(A210,3))</f>
        <v>46153</v>
      </c>
      <c r="C210" s="32" t="n">
        <f aca="false">IF(OR('Raw Orders'!C207&lt;&gt;"Product",'Raw Orders'!K207="Cancelled"),0,'Raw Orders'!G207)</f>
        <v>35</v>
      </c>
      <c r="D210" s="31" t="n">
        <f aca="false">IF(AND('Raw Orders'!C207="Product",'Raw Orders'!K207="Fulfilled",COUNTIFS('Raw Orders'!$A$2:$A207,'Raw Orders'!A207,'Raw Orders'!$C$2:$C207,"Product",'Raw Orders'!$K$2:$K207,"Fulfilled")=1),1,0)</f>
        <v>1</v>
      </c>
      <c r="E210" s="31" t="n">
        <f aca="false">IF(AND('Raw Orders'!C207="Product",'Raw Orders'!K207="Fulfilled"),'Raw Orders'!E207,0)</f>
        <v>1</v>
      </c>
      <c r="F210" s="32" t="n">
        <f aca="false">IF('Raw Orders'!K207="Refunded",'Raw Orders'!G207,0)</f>
        <v>0</v>
      </c>
    </row>
    <row r="211" customFormat="false" ht="15" hidden="false" customHeight="false" outlineLevel="0" collapsed="false">
      <c r="A211" s="36" t="n">
        <f aca="false">IF('Raw Orders'!B208="","",IF(MID('Raw Orders'!B208,5,1)="-",DATE(VALUE(LEFT('Raw Orders'!B208,4)),VALUE(MID('Raw Orders'!B208,6,2)),VALUE(MID('Raw Orders'!B208,9,2))),DATE(VALUE(MID('Raw Orders'!B208,7,4)),VALUE(MID('Raw Orders'!B208,4,2)),VALUE(LEFT('Raw Orders'!B208,2)))))</f>
        <v>46156</v>
      </c>
      <c r="B211" s="36" t="n">
        <f aca="false">IF(A211="","",A211-WEEKDAY(A211,3))</f>
        <v>46153</v>
      </c>
      <c r="C211" s="32" t="n">
        <f aca="false">IF(OR('Raw Orders'!C208&lt;&gt;"Product",'Raw Orders'!K208="Cancelled"),0,'Raw Orders'!G208)</f>
        <v>29</v>
      </c>
      <c r="D211" s="31" t="n">
        <f aca="false">IF(AND('Raw Orders'!C208="Product",'Raw Orders'!K208="Fulfilled",COUNTIFS('Raw Orders'!$A$2:$A208,'Raw Orders'!A208,'Raw Orders'!$C$2:$C208,"Product",'Raw Orders'!$K$2:$K208,"Fulfilled")=1),1,0)</f>
        <v>0</v>
      </c>
      <c r="E211" s="31" t="n">
        <f aca="false">IF(AND('Raw Orders'!C208="Product",'Raw Orders'!K208="Fulfilled"),'Raw Orders'!E208,0)</f>
        <v>1</v>
      </c>
      <c r="F211" s="32" t="n">
        <f aca="false">IF('Raw Orders'!K208="Refunded",'Raw Orders'!G208,0)</f>
        <v>0</v>
      </c>
    </row>
    <row r="212" customFormat="false" ht="15" hidden="false" customHeight="false" outlineLevel="0" collapsed="false">
      <c r="A212" s="36" t="n">
        <f aca="false">IF('Raw Orders'!B209="","",IF(MID('Raw Orders'!B209,5,1)="-",DATE(VALUE(LEFT('Raw Orders'!B209,4)),VALUE(MID('Raw Orders'!B209,6,2)),VALUE(MID('Raw Orders'!B209,9,2))),DATE(VALUE(MID('Raw Orders'!B209,7,4)),VALUE(MID('Raw Orders'!B209,4,2)),VALUE(LEFT('Raw Orders'!B209,2)))))</f>
        <v>46156</v>
      </c>
      <c r="B212" s="36" t="n">
        <f aca="false">IF(A212="","",A212-WEEKDAY(A212,3))</f>
        <v>46153</v>
      </c>
      <c r="C212" s="32" t="n">
        <f aca="false">IF(OR('Raw Orders'!C209&lt;&gt;"Product",'Raw Orders'!K209="Cancelled"),0,'Raw Orders'!G209)</f>
        <v>0</v>
      </c>
      <c r="D212" s="31" t="n">
        <f aca="false">IF(AND('Raw Orders'!C209="Product",'Raw Orders'!K209="Fulfilled",COUNTIFS('Raw Orders'!$A$2:$A209,'Raw Orders'!A209,'Raw Orders'!$C$2:$C209,"Product",'Raw Orders'!$K$2:$K209,"Fulfilled")=1),1,0)</f>
        <v>0</v>
      </c>
      <c r="E212" s="31" t="n">
        <f aca="false">IF(AND('Raw Orders'!C209="Product",'Raw Orders'!K209="Fulfilled"),'Raw Orders'!E209,0)</f>
        <v>0</v>
      </c>
      <c r="F212" s="32" t="n">
        <f aca="false">IF('Raw Orders'!K209="Refunded",'Raw Orders'!G209,0)</f>
        <v>0</v>
      </c>
    </row>
    <row r="213" customFormat="false" ht="15" hidden="false" customHeight="false" outlineLevel="0" collapsed="false">
      <c r="A213" s="36" t="n">
        <f aca="false">IF('Raw Orders'!B210="","",IF(MID('Raw Orders'!B210,5,1)="-",DATE(VALUE(LEFT('Raw Orders'!B210,4)),VALUE(MID('Raw Orders'!B210,6,2)),VALUE(MID('Raw Orders'!B210,9,2))),DATE(VALUE(MID('Raw Orders'!B210,7,4)),VALUE(MID('Raw Orders'!B210,4,2)),VALUE(LEFT('Raw Orders'!B210,2)))))</f>
        <v>46156</v>
      </c>
      <c r="B213" s="36" t="n">
        <f aca="false">IF(A213="","",A213-WEEKDAY(A213,3))</f>
        <v>46153</v>
      </c>
      <c r="C213" s="32" t="n">
        <f aca="false">IF(OR('Raw Orders'!C210&lt;&gt;"Product",'Raw Orders'!K210="Cancelled"),0,'Raw Orders'!G210)</f>
        <v>69</v>
      </c>
      <c r="D213" s="31" t="n">
        <f aca="false">IF(AND('Raw Orders'!C210="Product",'Raw Orders'!K210="Fulfilled",COUNTIFS('Raw Orders'!$A$2:$A210,'Raw Orders'!A210,'Raw Orders'!$C$2:$C210,"Product",'Raw Orders'!$K$2:$K210,"Fulfilled")=1),1,0)</f>
        <v>0</v>
      </c>
      <c r="E213" s="31" t="n">
        <f aca="false">IF(AND('Raw Orders'!C210="Product",'Raw Orders'!K210="Fulfilled"),'Raw Orders'!E210,0)</f>
        <v>1</v>
      </c>
      <c r="F213" s="32" t="n">
        <f aca="false">IF('Raw Orders'!K210="Refunded",'Raw Orders'!G210,0)</f>
        <v>0</v>
      </c>
    </row>
    <row r="214" customFormat="false" ht="15" hidden="false" customHeight="false" outlineLevel="0" collapsed="false">
      <c r="A214" s="36" t="n">
        <f aca="false">IF('Raw Orders'!B211="","",IF(MID('Raw Orders'!B211,5,1)="-",DATE(VALUE(LEFT('Raw Orders'!B211,4)),VALUE(MID('Raw Orders'!B211,6,2)),VALUE(MID('Raw Orders'!B211,9,2))),DATE(VALUE(MID('Raw Orders'!B211,7,4)),VALUE(MID('Raw Orders'!B211,4,2)),VALUE(LEFT('Raw Orders'!B211,2)))))</f>
        <v>46156</v>
      </c>
      <c r="B214" s="36" t="n">
        <f aca="false">IF(A214="","",A214-WEEKDAY(A214,3))</f>
        <v>46153</v>
      </c>
      <c r="C214" s="32" t="n">
        <f aca="false">IF(OR('Raw Orders'!C211&lt;&gt;"Product",'Raw Orders'!K211="Cancelled"),0,'Raw Orders'!G211)</f>
        <v>0</v>
      </c>
      <c r="D214" s="31" t="n">
        <f aca="false">IF(AND('Raw Orders'!C211="Product",'Raw Orders'!K211="Fulfilled",COUNTIFS('Raw Orders'!$A$2:$A211,'Raw Orders'!A211,'Raw Orders'!$C$2:$C211,"Product",'Raw Orders'!$K$2:$K211,"Fulfilled")=1),1,0)</f>
        <v>0</v>
      </c>
      <c r="E214" s="31" t="n">
        <f aca="false">IF(AND('Raw Orders'!C211="Product",'Raw Orders'!K211="Fulfilled"),'Raw Orders'!E211,0)</f>
        <v>0</v>
      </c>
      <c r="F214" s="32" t="n">
        <f aca="false">IF('Raw Orders'!K211="Refunded",'Raw Orders'!G211,0)</f>
        <v>0</v>
      </c>
    </row>
    <row r="215" customFormat="false" ht="15" hidden="false" customHeight="false" outlineLevel="0" collapsed="false">
      <c r="A215" s="36" t="n">
        <f aca="false">IF('Raw Orders'!B212="","",IF(MID('Raw Orders'!B212,5,1)="-",DATE(VALUE(LEFT('Raw Orders'!B212,4)),VALUE(MID('Raw Orders'!B212,6,2)),VALUE(MID('Raw Orders'!B212,9,2))),DATE(VALUE(MID('Raw Orders'!B212,7,4)),VALUE(MID('Raw Orders'!B212,4,2)),VALUE(LEFT('Raw Orders'!B212,2)))))</f>
        <v>46156</v>
      </c>
      <c r="B215" s="36" t="n">
        <f aca="false">IF(A215="","",A215-WEEKDAY(A215,3))</f>
        <v>46153</v>
      </c>
      <c r="C215" s="32" t="n">
        <f aca="false">IF(OR('Raw Orders'!C212&lt;&gt;"Product",'Raw Orders'!K212="Cancelled"),0,'Raw Orders'!G212)</f>
        <v>175</v>
      </c>
      <c r="D215" s="31" t="n">
        <f aca="false">IF(AND('Raw Orders'!C212="Product",'Raw Orders'!K212="Fulfilled",COUNTIFS('Raw Orders'!$A$2:$A212,'Raw Orders'!A212,'Raw Orders'!$C$2:$C212,"Product",'Raw Orders'!$K$2:$K212,"Fulfilled")=1),1,0)</f>
        <v>1</v>
      </c>
      <c r="E215" s="31" t="n">
        <f aca="false">IF(AND('Raw Orders'!C212="Product",'Raw Orders'!K212="Fulfilled"),'Raw Orders'!E212,0)</f>
        <v>5</v>
      </c>
      <c r="F215" s="32" t="n">
        <f aca="false">IF('Raw Orders'!K212="Refunded",'Raw Orders'!G212,0)</f>
        <v>0</v>
      </c>
    </row>
    <row r="216" customFormat="false" ht="15" hidden="false" customHeight="false" outlineLevel="0" collapsed="false">
      <c r="A216" s="36" t="n">
        <f aca="false">IF('Raw Orders'!B213="","",IF(MID('Raw Orders'!B213,5,1)="-",DATE(VALUE(LEFT('Raw Orders'!B213,4)),VALUE(MID('Raw Orders'!B213,6,2)),VALUE(MID('Raw Orders'!B213,9,2))),DATE(VALUE(MID('Raw Orders'!B213,7,4)),VALUE(MID('Raw Orders'!B213,4,2)),VALUE(LEFT('Raw Orders'!B213,2)))))</f>
        <v>46156</v>
      </c>
      <c r="B216" s="36" t="n">
        <f aca="false">IF(A216="","",A216-WEEKDAY(A216,3))</f>
        <v>46153</v>
      </c>
      <c r="C216" s="32" t="n">
        <f aca="false">IF(OR('Raw Orders'!C213&lt;&gt;"Product",'Raw Orders'!K213="Cancelled"),0,'Raw Orders'!G213)</f>
        <v>28</v>
      </c>
      <c r="D216" s="31" t="n">
        <f aca="false">IF(AND('Raw Orders'!C213="Product",'Raw Orders'!K213="Fulfilled",COUNTIFS('Raw Orders'!$A$2:$A213,'Raw Orders'!A213,'Raw Orders'!$C$2:$C213,"Product",'Raw Orders'!$K$2:$K213,"Fulfilled")=1),1,0)</f>
        <v>0</v>
      </c>
      <c r="E216" s="31" t="n">
        <f aca="false">IF(AND('Raw Orders'!C213="Product",'Raw Orders'!K213="Fulfilled"),'Raw Orders'!E213,0)</f>
        <v>2</v>
      </c>
      <c r="F216" s="32" t="n">
        <f aca="false">IF('Raw Orders'!K213="Refunded",'Raw Orders'!G213,0)</f>
        <v>0</v>
      </c>
    </row>
    <row r="217" customFormat="false" ht="15" hidden="false" customHeight="false" outlineLevel="0" collapsed="false">
      <c r="A217" s="36" t="n">
        <f aca="false">IF('Raw Orders'!B214="","",IF(MID('Raw Orders'!B214,5,1)="-",DATE(VALUE(LEFT('Raw Orders'!B214,4)),VALUE(MID('Raw Orders'!B214,6,2)),VALUE(MID('Raw Orders'!B214,9,2))),DATE(VALUE(MID('Raw Orders'!B214,7,4)),VALUE(MID('Raw Orders'!B214,4,2)),VALUE(LEFT('Raw Orders'!B214,2)))))</f>
        <v>46156</v>
      </c>
      <c r="B217" s="36" t="n">
        <f aca="false">IF(A217="","",A217-WEEKDAY(A217,3))</f>
        <v>46153</v>
      </c>
      <c r="C217" s="32" t="n">
        <f aca="false">IF(OR('Raw Orders'!C214&lt;&gt;"Product",'Raw Orders'!K214="Cancelled"),0,'Raw Orders'!G214)</f>
        <v>0</v>
      </c>
      <c r="D217" s="31" t="n">
        <f aca="false">IF(AND('Raw Orders'!C214="Product",'Raw Orders'!K214="Fulfilled",COUNTIFS('Raw Orders'!$A$2:$A214,'Raw Orders'!A214,'Raw Orders'!$C$2:$C214,"Product",'Raw Orders'!$K$2:$K214,"Fulfilled")=1),1,0)</f>
        <v>0</v>
      </c>
      <c r="E217" s="31" t="n">
        <f aca="false">IF(AND('Raw Orders'!C214="Product",'Raw Orders'!K214="Fulfilled"),'Raw Orders'!E214,0)</f>
        <v>0</v>
      </c>
      <c r="F217" s="32" t="n">
        <f aca="false">IF('Raw Orders'!K214="Refunded",'Raw Orders'!G214,0)</f>
        <v>0</v>
      </c>
    </row>
    <row r="218" customFormat="false" ht="15" hidden="false" customHeight="false" outlineLevel="0" collapsed="false">
      <c r="A218" s="36" t="n">
        <f aca="false">IF('Raw Orders'!B215="","",IF(MID('Raw Orders'!B215,5,1)="-",DATE(VALUE(LEFT('Raw Orders'!B215,4)),VALUE(MID('Raw Orders'!B215,6,2)),VALUE(MID('Raw Orders'!B215,9,2))),DATE(VALUE(MID('Raw Orders'!B215,7,4)),VALUE(MID('Raw Orders'!B215,4,2)),VALUE(LEFT('Raw Orders'!B215,2)))))</f>
        <v>46156</v>
      </c>
      <c r="B218" s="36" t="n">
        <f aca="false">IF(A218="","",A218-WEEKDAY(A218,3))</f>
        <v>46153</v>
      </c>
      <c r="C218" s="32" t="n">
        <f aca="false">IF(OR('Raw Orders'!C215&lt;&gt;"Product",'Raw Orders'!K215="Cancelled"),0,'Raw Orders'!G215)</f>
        <v>267</v>
      </c>
      <c r="D218" s="31" t="n">
        <f aca="false">IF(AND('Raw Orders'!C215="Product",'Raw Orders'!K215="Fulfilled",COUNTIFS('Raw Orders'!$A$2:$A215,'Raw Orders'!A215,'Raw Orders'!$C$2:$C215,"Product",'Raw Orders'!$K$2:$K215,"Fulfilled")=1),1,0)</f>
        <v>1</v>
      </c>
      <c r="E218" s="31" t="n">
        <f aca="false">IF(AND('Raw Orders'!C215="Product",'Raw Orders'!K215="Fulfilled"),'Raw Orders'!E215,0)</f>
        <v>3</v>
      </c>
      <c r="F218" s="32" t="n">
        <f aca="false">IF('Raw Orders'!K215="Refunded",'Raw Orders'!G215,0)</f>
        <v>0</v>
      </c>
    </row>
    <row r="219" customFormat="false" ht="15" hidden="false" customHeight="false" outlineLevel="0" collapsed="false">
      <c r="A219" s="36" t="n">
        <f aca="false">IF('Raw Orders'!B216="","",IF(MID('Raw Orders'!B216,5,1)="-",DATE(VALUE(LEFT('Raw Orders'!B216,4)),VALUE(MID('Raw Orders'!B216,6,2)),VALUE(MID('Raw Orders'!B216,9,2))),DATE(VALUE(MID('Raw Orders'!B216,7,4)),VALUE(MID('Raw Orders'!B216,4,2)),VALUE(LEFT('Raw Orders'!B216,2)))))</f>
        <v>46156</v>
      </c>
      <c r="B219" s="36" t="n">
        <f aca="false">IF(A219="","",A219-WEEKDAY(A219,3))</f>
        <v>46153</v>
      </c>
      <c r="C219" s="32" t="n">
        <f aca="false">IF(OR('Raw Orders'!C216&lt;&gt;"Product",'Raw Orders'!K216="Cancelled"),0,'Raw Orders'!G216)</f>
        <v>0</v>
      </c>
      <c r="D219" s="31" t="n">
        <f aca="false">IF(AND('Raw Orders'!C216="Product",'Raw Orders'!K216="Fulfilled",COUNTIFS('Raw Orders'!$A$2:$A216,'Raw Orders'!A216,'Raw Orders'!$C$2:$C216,"Product",'Raw Orders'!$K$2:$K216,"Fulfilled")=1),1,0)</f>
        <v>0</v>
      </c>
      <c r="E219" s="31" t="n">
        <f aca="false">IF(AND('Raw Orders'!C216="Product",'Raw Orders'!K216="Fulfilled"),'Raw Orders'!E216,0)</f>
        <v>0</v>
      </c>
      <c r="F219" s="32" t="n">
        <f aca="false">IF('Raw Orders'!K216="Refunded",'Raw Orders'!G216,0)</f>
        <v>0</v>
      </c>
    </row>
    <row r="220" customFormat="false" ht="15" hidden="false" customHeight="false" outlineLevel="0" collapsed="false">
      <c r="A220" s="36" t="n">
        <f aca="false">IF('Raw Orders'!B217="","",IF(MID('Raw Orders'!B217,5,1)="-",DATE(VALUE(LEFT('Raw Orders'!B217,4)),VALUE(MID('Raw Orders'!B217,6,2)),VALUE(MID('Raw Orders'!B217,9,2))),DATE(VALUE(MID('Raw Orders'!B217,7,4)),VALUE(MID('Raw Orders'!B217,4,2)),VALUE(LEFT('Raw Orders'!B217,2)))))</f>
        <v>46156</v>
      </c>
      <c r="B220" s="36" t="n">
        <f aca="false">IF(A220="","",A220-WEEKDAY(A220,3))</f>
        <v>46153</v>
      </c>
      <c r="C220" s="32" t="n">
        <f aca="false">IF(OR('Raw Orders'!C217&lt;&gt;"Product",'Raw Orders'!K217="Cancelled"),0,'Raw Orders'!G217)</f>
        <v>89</v>
      </c>
      <c r="D220" s="31" t="n">
        <f aca="false">IF(AND('Raw Orders'!C217="Product",'Raw Orders'!K217="Fulfilled",COUNTIFS('Raw Orders'!$A$2:$A217,'Raw Orders'!A217,'Raw Orders'!$C$2:$C217,"Product",'Raw Orders'!$K$2:$K217,"Fulfilled")=1),1,0)</f>
        <v>1</v>
      </c>
      <c r="E220" s="31" t="n">
        <f aca="false">IF(AND('Raw Orders'!C217="Product",'Raw Orders'!K217="Fulfilled"),'Raw Orders'!E217,0)</f>
        <v>1</v>
      </c>
      <c r="F220" s="32" t="n">
        <f aca="false">IF('Raw Orders'!K217="Refunded",'Raw Orders'!G217,0)</f>
        <v>0</v>
      </c>
    </row>
    <row r="221" customFormat="false" ht="15" hidden="false" customHeight="false" outlineLevel="0" collapsed="false">
      <c r="A221" s="36" t="n">
        <f aca="false">IF('Raw Orders'!B218="","",IF(MID('Raw Orders'!B218,5,1)="-",DATE(VALUE(LEFT('Raw Orders'!B218,4)),VALUE(MID('Raw Orders'!B218,6,2)),VALUE(MID('Raw Orders'!B218,9,2))),DATE(VALUE(MID('Raw Orders'!B218,7,4)),VALUE(MID('Raw Orders'!B218,4,2)),VALUE(LEFT('Raw Orders'!B218,2)))))</f>
        <v>46156</v>
      </c>
      <c r="B221" s="36" t="n">
        <f aca="false">IF(A221="","",A221-WEEKDAY(A221,3))</f>
        <v>46153</v>
      </c>
      <c r="C221" s="32" t="n">
        <f aca="false">IF(OR('Raw Orders'!C218&lt;&gt;"Product",'Raw Orders'!K218="Cancelled"),0,'Raw Orders'!G218)</f>
        <v>0</v>
      </c>
      <c r="D221" s="31" t="n">
        <f aca="false">IF(AND('Raw Orders'!C218="Product",'Raw Orders'!K218="Fulfilled",COUNTIFS('Raw Orders'!$A$2:$A218,'Raw Orders'!A218,'Raw Orders'!$C$2:$C218,"Product",'Raw Orders'!$K$2:$K218,"Fulfilled")=1),1,0)</f>
        <v>0</v>
      </c>
      <c r="E221" s="31" t="n">
        <f aca="false">IF(AND('Raw Orders'!C218="Product",'Raw Orders'!K218="Fulfilled"),'Raw Orders'!E218,0)</f>
        <v>0</v>
      </c>
      <c r="F221" s="32" t="n">
        <f aca="false">IF('Raw Orders'!K218="Refunded",'Raw Orders'!G218,0)</f>
        <v>0</v>
      </c>
    </row>
    <row r="222" customFormat="false" ht="15" hidden="false" customHeight="false" outlineLevel="0" collapsed="false">
      <c r="A222" s="36" t="n">
        <f aca="false">IF('Raw Orders'!B219="","",IF(MID('Raw Orders'!B219,5,1)="-",DATE(VALUE(LEFT('Raw Orders'!B219,4)),VALUE(MID('Raw Orders'!B219,6,2)),VALUE(MID('Raw Orders'!B219,9,2))),DATE(VALUE(MID('Raw Orders'!B219,7,4)),VALUE(MID('Raw Orders'!B219,4,2)),VALUE(LEFT('Raw Orders'!B219,2)))))</f>
        <v>46157</v>
      </c>
      <c r="B222" s="36" t="n">
        <f aca="false">IF(A222="","",A222-WEEKDAY(A222,3))</f>
        <v>46153</v>
      </c>
      <c r="C222" s="32" t="n">
        <f aca="false">IF(OR('Raw Orders'!C219&lt;&gt;"Product",'Raw Orders'!K219="Cancelled"),0,'Raw Orders'!G219)</f>
        <v>0</v>
      </c>
      <c r="D222" s="31" t="n">
        <f aca="false">IF(AND('Raw Orders'!C219="Product",'Raw Orders'!K219="Fulfilled",COUNTIFS('Raw Orders'!$A$2:$A219,'Raw Orders'!A219,'Raw Orders'!$C$2:$C219,"Product",'Raw Orders'!$K$2:$K219,"Fulfilled")=1),1,0)</f>
        <v>0</v>
      </c>
      <c r="E222" s="31" t="n">
        <f aca="false">IF(AND('Raw Orders'!C219="Product",'Raw Orders'!K219="Fulfilled"),'Raw Orders'!E219,0)</f>
        <v>0</v>
      </c>
      <c r="F222" s="32" t="n">
        <f aca="false">IF('Raw Orders'!K219="Refunded",'Raw Orders'!G219,0)</f>
        <v>0</v>
      </c>
    </row>
    <row r="223" customFormat="false" ht="15" hidden="false" customHeight="false" outlineLevel="0" collapsed="false">
      <c r="A223" s="36" t="n">
        <f aca="false">IF('Raw Orders'!B220="","",IF(MID('Raw Orders'!B220,5,1)="-",DATE(VALUE(LEFT('Raw Orders'!B220,4)),VALUE(MID('Raw Orders'!B220,6,2)),VALUE(MID('Raw Orders'!B220,9,2))),DATE(VALUE(MID('Raw Orders'!B220,7,4)),VALUE(MID('Raw Orders'!B220,4,2)),VALUE(LEFT('Raw Orders'!B220,2)))))</f>
        <v>46157</v>
      </c>
      <c r="B223" s="36" t="n">
        <f aca="false">IF(A223="","",A223-WEEKDAY(A223,3))</f>
        <v>46153</v>
      </c>
      <c r="C223" s="32" t="n">
        <f aca="false">IF(OR('Raw Orders'!C220&lt;&gt;"Product",'Raw Orders'!K220="Cancelled"),0,'Raw Orders'!G220)</f>
        <v>44</v>
      </c>
      <c r="D223" s="31" t="n">
        <f aca="false">IF(AND('Raw Orders'!C220="Product",'Raw Orders'!K220="Fulfilled",COUNTIFS('Raw Orders'!$A$2:$A220,'Raw Orders'!A220,'Raw Orders'!$C$2:$C220,"Product",'Raw Orders'!$K$2:$K220,"Fulfilled")=1),1,0)</f>
        <v>1</v>
      </c>
      <c r="E223" s="31" t="n">
        <f aca="false">IF(AND('Raw Orders'!C220="Product",'Raw Orders'!K220="Fulfilled"),'Raw Orders'!E220,0)</f>
        <v>2</v>
      </c>
      <c r="F223" s="32" t="n">
        <f aca="false">IF('Raw Orders'!K220="Refunded",'Raw Orders'!G220,0)</f>
        <v>0</v>
      </c>
    </row>
    <row r="224" customFormat="false" ht="15" hidden="false" customHeight="false" outlineLevel="0" collapsed="false">
      <c r="A224" s="36" t="n">
        <f aca="false">IF('Raw Orders'!B221="","",IF(MID('Raw Orders'!B221,5,1)="-",DATE(VALUE(LEFT('Raw Orders'!B221,4)),VALUE(MID('Raw Orders'!B221,6,2)),VALUE(MID('Raw Orders'!B221,9,2))),DATE(VALUE(MID('Raw Orders'!B221,7,4)),VALUE(MID('Raw Orders'!B221,4,2)),VALUE(LEFT('Raw Orders'!B221,2)))))</f>
        <v>46157</v>
      </c>
      <c r="B224" s="36" t="n">
        <f aca="false">IF(A224="","",A224-WEEKDAY(A224,3))</f>
        <v>46153</v>
      </c>
      <c r="C224" s="32" t="n">
        <f aca="false">IF(OR('Raw Orders'!C221&lt;&gt;"Product",'Raw Orders'!K221="Cancelled"),0,'Raw Orders'!G221)</f>
        <v>58</v>
      </c>
      <c r="D224" s="31" t="n">
        <f aca="false">IF(AND('Raw Orders'!C221="Product",'Raw Orders'!K221="Fulfilled",COUNTIFS('Raw Orders'!$A$2:$A221,'Raw Orders'!A221,'Raw Orders'!$C$2:$C221,"Product",'Raw Orders'!$K$2:$K221,"Fulfilled")=1),1,0)</f>
        <v>0</v>
      </c>
      <c r="E224" s="31" t="n">
        <f aca="false">IF(AND('Raw Orders'!C221="Product",'Raw Orders'!K221="Fulfilled"),'Raw Orders'!E221,0)</f>
        <v>2</v>
      </c>
      <c r="F224" s="32" t="n">
        <f aca="false">IF('Raw Orders'!K221="Refunded",'Raw Orders'!G221,0)</f>
        <v>0</v>
      </c>
    </row>
    <row r="225" customFormat="false" ht="15" hidden="false" customHeight="false" outlineLevel="0" collapsed="false">
      <c r="A225" s="36" t="n">
        <f aca="false">IF('Raw Orders'!B222="","",IF(MID('Raw Orders'!B222,5,1)="-",DATE(VALUE(LEFT('Raw Orders'!B222,4)),VALUE(MID('Raw Orders'!B222,6,2)),VALUE(MID('Raw Orders'!B222,9,2))),DATE(VALUE(MID('Raw Orders'!B222,7,4)),VALUE(MID('Raw Orders'!B222,4,2)),VALUE(LEFT('Raw Orders'!B222,2)))))</f>
        <v>46157</v>
      </c>
      <c r="B225" s="36" t="n">
        <f aca="false">IF(A225="","",A225-WEEKDAY(A225,3))</f>
        <v>46153</v>
      </c>
      <c r="C225" s="32" t="n">
        <f aca="false">IF(OR('Raw Orders'!C222&lt;&gt;"Product",'Raw Orders'!K222="Cancelled"),0,'Raw Orders'!G222)</f>
        <v>28</v>
      </c>
      <c r="D225" s="31" t="n">
        <f aca="false">IF(AND('Raw Orders'!C222="Product",'Raw Orders'!K222="Fulfilled",COUNTIFS('Raw Orders'!$A$2:$A222,'Raw Orders'!A222,'Raw Orders'!$C$2:$C222,"Product",'Raw Orders'!$K$2:$K222,"Fulfilled")=1),1,0)</f>
        <v>1</v>
      </c>
      <c r="E225" s="31" t="n">
        <f aca="false">IF(AND('Raw Orders'!C222="Product",'Raw Orders'!K222="Fulfilled"),'Raw Orders'!E222,0)</f>
        <v>2</v>
      </c>
      <c r="F225" s="32" t="n">
        <f aca="false">IF('Raw Orders'!K222="Refunded",'Raw Orders'!G222,0)</f>
        <v>0</v>
      </c>
    </row>
    <row r="226" customFormat="false" ht="15" hidden="false" customHeight="false" outlineLevel="0" collapsed="false">
      <c r="A226" s="36" t="n">
        <f aca="false">IF('Raw Orders'!B223="","",IF(MID('Raw Orders'!B223,5,1)="-",DATE(VALUE(LEFT('Raw Orders'!B223,4)),VALUE(MID('Raw Orders'!B223,6,2)),VALUE(MID('Raw Orders'!B223,9,2))),DATE(VALUE(MID('Raw Orders'!B223,7,4)),VALUE(MID('Raw Orders'!B223,4,2)),VALUE(LEFT('Raw Orders'!B223,2)))))</f>
        <v>46157</v>
      </c>
      <c r="B226" s="36" t="n">
        <f aca="false">IF(A226="","",A226-WEEKDAY(A226,3))</f>
        <v>46153</v>
      </c>
      <c r="C226" s="32" t="n">
        <f aca="false">IF(OR('Raw Orders'!C223&lt;&gt;"Product",'Raw Orders'!K223="Cancelled"),0,'Raw Orders'!G223)</f>
        <v>138</v>
      </c>
      <c r="D226" s="31" t="n">
        <f aca="false">IF(AND('Raw Orders'!C223="Product",'Raw Orders'!K223="Fulfilled",COUNTIFS('Raw Orders'!$A$2:$A223,'Raw Orders'!A223,'Raw Orders'!$C$2:$C223,"Product",'Raw Orders'!$K$2:$K223,"Fulfilled")=1),1,0)</f>
        <v>0</v>
      </c>
      <c r="E226" s="31" t="n">
        <f aca="false">IF(AND('Raw Orders'!C223="Product",'Raw Orders'!K223="Fulfilled"),'Raw Orders'!E223,0)</f>
        <v>2</v>
      </c>
      <c r="F226" s="32" t="n">
        <f aca="false">IF('Raw Orders'!K223="Refunded",'Raw Orders'!G223,0)</f>
        <v>0</v>
      </c>
    </row>
    <row r="227" customFormat="false" ht="15" hidden="false" customHeight="false" outlineLevel="0" collapsed="false">
      <c r="A227" s="36" t="n">
        <f aca="false">IF('Raw Orders'!B224="","",IF(MID('Raw Orders'!B224,5,1)="-",DATE(VALUE(LEFT('Raw Orders'!B224,4)),VALUE(MID('Raw Orders'!B224,6,2)),VALUE(MID('Raw Orders'!B224,9,2))),DATE(VALUE(MID('Raw Orders'!B224,7,4)),VALUE(MID('Raw Orders'!B224,4,2)),VALUE(LEFT('Raw Orders'!B224,2)))))</f>
        <v>46157</v>
      </c>
      <c r="B227" s="36" t="n">
        <f aca="false">IF(A227="","",A227-WEEKDAY(A227,3))</f>
        <v>46153</v>
      </c>
      <c r="C227" s="32" t="n">
        <f aca="false">IF(OR('Raw Orders'!C224&lt;&gt;"Product",'Raw Orders'!K224="Cancelled"),0,'Raw Orders'!G224)</f>
        <v>0</v>
      </c>
      <c r="D227" s="31" t="n">
        <f aca="false">IF(AND('Raw Orders'!C224="Product",'Raw Orders'!K224="Fulfilled",COUNTIFS('Raw Orders'!$A$2:$A224,'Raw Orders'!A224,'Raw Orders'!$C$2:$C224,"Product",'Raw Orders'!$K$2:$K224,"Fulfilled")=1),1,0)</f>
        <v>0</v>
      </c>
      <c r="E227" s="31" t="n">
        <f aca="false">IF(AND('Raw Orders'!C224="Product",'Raw Orders'!K224="Fulfilled"),'Raw Orders'!E224,0)</f>
        <v>0</v>
      </c>
      <c r="F227" s="32" t="n">
        <f aca="false">IF('Raw Orders'!K224="Refunded",'Raw Orders'!G224,0)</f>
        <v>0</v>
      </c>
    </row>
    <row r="228" customFormat="false" ht="15" hidden="false" customHeight="false" outlineLevel="0" collapsed="false">
      <c r="A228" s="36" t="n">
        <f aca="false">IF('Raw Orders'!B225="","",IF(MID('Raw Orders'!B225,5,1)="-",DATE(VALUE(LEFT('Raw Orders'!B225,4)),VALUE(MID('Raw Orders'!B225,6,2)),VALUE(MID('Raw Orders'!B225,9,2))),DATE(VALUE(MID('Raw Orders'!B225,7,4)),VALUE(MID('Raw Orders'!B225,4,2)),VALUE(LEFT('Raw Orders'!B225,2)))))</f>
        <v>46157</v>
      </c>
      <c r="B228" s="36" t="n">
        <f aca="false">IF(A228="","",A228-WEEKDAY(A228,3))</f>
        <v>46153</v>
      </c>
      <c r="C228" s="32" t="n">
        <f aca="false">IF(OR('Raw Orders'!C225&lt;&gt;"Product",'Raw Orders'!K225="Cancelled"),0,'Raw Orders'!G225)</f>
        <v>69</v>
      </c>
      <c r="D228" s="31" t="n">
        <f aca="false">IF(AND('Raw Orders'!C225="Product",'Raw Orders'!K225="Fulfilled",COUNTIFS('Raw Orders'!$A$2:$A225,'Raw Orders'!A225,'Raw Orders'!$C$2:$C225,"Product",'Raw Orders'!$K$2:$K225,"Fulfilled")=1),1,0)</f>
        <v>1</v>
      </c>
      <c r="E228" s="31" t="n">
        <f aca="false">IF(AND('Raw Orders'!C225="Product",'Raw Orders'!K225="Fulfilled"),'Raw Orders'!E225,0)</f>
        <v>1</v>
      </c>
      <c r="F228" s="32" t="n">
        <f aca="false">IF('Raw Orders'!K225="Refunded",'Raw Orders'!G225,0)</f>
        <v>0</v>
      </c>
    </row>
    <row r="229" customFormat="false" ht="15" hidden="false" customHeight="false" outlineLevel="0" collapsed="false">
      <c r="A229" s="36" t="n">
        <f aca="false">IF('Raw Orders'!B226="","",IF(MID('Raw Orders'!B226,5,1)="-",DATE(VALUE(LEFT('Raw Orders'!B226,4)),VALUE(MID('Raw Orders'!B226,6,2)),VALUE(MID('Raw Orders'!B226,9,2))),DATE(VALUE(MID('Raw Orders'!B226,7,4)),VALUE(MID('Raw Orders'!B226,4,2)),VALUE(LEFT('Raw Orders'!B226,2)))))</f>
        <v>46157</v>
      </c>
      <c r="B229" s="36" t="n">
        <f aca="false">IF(A229="","",A229-WEEKDAY(A229,3))</f>
        <v>46153</v>
      </c>
      <c r="C229" s="32" t="n">
        <f aca="false">IF(OR('Raw Orders'!C226&lt;&gt;"Product",'Raw Orders'!K226="Cancelled"),0,'Raw Orders'!G226)</f>
        <v>0</v>
      </c>
      <c r="D229" s="31" t="n">
        <f aca="false">IF(AND('Raw Orders'!C226="Product",'Raw Orders'!K226="Fulfilled",COUNTIFS('Raw Orders'!$A$2:$A226,'Raw Orders'!A226,'Raw Orders'!$C$2:$C226,"Product",'Raw Orders'!$K$2:$K226,"Fulfilled")=1),1,0)</f>
        <v>0</v>
      </c>
      <c r="E229" s="31" t="n">
        <f aca="false">IF(AND('Raw Orders'!C226="Product",'Raw Orders'!K226="Fulfilled"),'Raw Orders'!E226,0)</f>
        <v>0</v>
      </c>
      <c r="F229" s="32" t="n">
        <f aca="false">IF('Raw Orders'!K226="Refunded",'Raw Orders'!G226,0)</f>
        <v>0</v>
      </c>
    </row>
    <row r="230" customFormat="false" ht="15" hidden="false" customHeight="false" outlineLevel="0" collapsed="false">
      <c r="A230" s="36" t="n">
        <f aca="false">IF('Raw Orders'!B227="","",IF(MID('Raw Orders'!B227,5,1)="-",DATE(VALUE(LEFT('Raw Orders'!B227,4)),VALUE(MID('Raw Orders'!B227,6,2)),VALUE(MID('Raw Orders'!B227,9,2))),DATE(VALUE(MID('Raw Orders'!B227,7,4)),VALUE(MID('Raw Orders'!B227,4,2)),VALUE(LEFT('Raw Orders'!B227,2)))))</f>
        <v>46157</v>
      </c>
      <c r="B230" s="36" t="n">
        <f aca="false">IF(A230="","",A230-WEEKDAY(A230,3))</f>
        <v>46153</v>
      </c>
      <c r="C230" s="32" t="n">
        <f aca="false">IF(OR('Raw Orders'!C227&lt;&gt;"Product",'Raw Orders'!K227="Cancelled"),0,'Raw Orders'!G227)</f>
        <v>69</v>
      </c>
      <c r="D230" s="31" t="n">
        <f aca="false">IF(AND('Raw Orders'!C227="Product",'Raw Orders'!K227="Fulfilled",COUNTIFS('Raw Orders'!$A$2:$A227,'Raw Orders'!A227,'Raw Orders'!$C$2:$C227,"Product",'Raw Orders'!$K$2:$K227,"Fulfilled")=1),1,0)</f>
        <v>1</v>
      </c>
      <c r="E230" s="31" t="n">
        <f aca="false">IF(AND('Raw Orders'!C227="Product",'Raw Orders'!K227="Fulfilled"),'Raw Orders'!E227,0)</f>
        <v>1</v>
      </c>
      <c r="F230" s="32" t="n">
        <f aca="false">IF('Raw Orders'!K227="Refunded",'Raw Orders'!G227,0)</f>
        <v>0</v>
      </c>
    </row>
    <row r="231" customFormat="false" ht="15" hidden="false" customHeight="false" outlineLevel="0" collapsed="false">
      <c r="A231" s="36" t="n">
        <f aca="false">IF('Raw Orders'!B228="","",IF(MID('Raw Orders'!B228,5,1)="-",DATE(VALUE(LEFT('Raw Orders'!B228,4)),VALUE(MID('Raw Orders'!B228,6,2)),VALUE(MID('Raw Orders'!B228,9,2))),DATE(VALUE(MID('Raw Orders'!B228,7,4)),VALUE(MID('Raw Orders'!B228,4,2)),VALUE(LEFT('Raw Orders'!B228,2)))))</f>
        <v>46157</v>
      </c>
      <c r="B231" s="36" t="n">
        <f aca="false">IF(A231="","",A231-WEEKDAY(A231,3))</f>
        <v>46153</v>
      </c>
      <c r="C231" s="32" t="n">
        <f aca="false">IF(OR('Raw Orders'!C228&lt;&gt;"Product",'Raw Orders'!K228="Cancelled"),0,'Raw Orders'!G228)</f>
        <v>35</v>
      </c>
      <c r="D231" s="31" t="n">
        <f aca="false">IF(AND('Raw Orders'!C228="Product",'Raw Orders'!K228="Fulfilled",COUNTIFS('Raw Orders'!$A$2:$A228,'Raw Orders'!A228,'Raw Orders'!$C$2:$C228,"Product",'Raw Orders'!$K$2:$K228,"Fulfilled")=1),1,0)</f>
        <v>0</v>
      </c>
      <c r="E231" s="31" t="n">
        <f aca="false">IF(AND('Raw Orders'!C228="Product",'Raw Orders'!K228="Fulfilled"),'Raw Orders'!E228,0)</f>
        <v>1</v>
      </c>
      <c r="F231" s="32" t="n">
        <f aca="false">IF('Raw Orders'!K228="Refunded",'Raw Orders'!G228,0)</f>
        <v>0</v>
      </c>
    </row>
    <row r="232" customFormat="false" ht="15" hidden="false" customHeight="false" outlineLevel="0" collapsed="false">
      <c r="A232" s="36" t="n">
        <f aca="false">IF('Raw Orders'!B229="","",IF(MID('Raw Orders'!B229,5,1)="-",DATE(VALUE(LEFT('Raw Orders'!B229,4)),VALUE(MID('Raw Orders'!B229,6,2)),VALUE(MID('Raw Orders'!B229,9,2))),DATE(VALUE(MID('Raw Orders'!B229,7,4)),VALUE(MID('Raw Orders'!B229,4,2)),VALUE(LEFT('Raw Orders'!B229,2)))))</f>
        <v>46157</v>
      </c>
      <c r="B232" s="36" t="n">
        <f aca="false">IF(A232="","",A232-WEEKDAY(A232,3))</f>
        <v>46153</v>
      </c>
      <c r="C232" s="32" t="n">
        <f aca="false">IF(OR('Raw Orders'!C229&lt;&gt;"Product",'Raw Orders'!K229="Cancelled"),0,'Raw Orders'!G229)</f>
        <v>178</v>
      </c>
      <c r="D232" s="31" t="n">
        <f aca="false">IF(AND('Raw Orders'!C229="Product",'Raw Orders'!K229="Fulfilled",COUNTIFS('Raw Orders'!$A$2:$A229,'Raw Orders'!A229,'Raw Orders'!$C$2:$C229,"Product",'Raw Orders'!$K$2:$K229,"Fulfilled")=1),1,0)</f>
        <v>0</v>
      </c>
      <c r="E232" s="31" t="n">
        <f aca="false">IF(AND('Raw Orders'!C229="Product",'Raw Orders'!K229="Fulfilled"),'Raw Orders'!E229,0)</f>
        <v>2</v>
      </c>
      <c r="F232" s="32" t="n">
        <f aca="false">IF('Raw Orders'!K229="Refunded",'Raw Orders'!G229,0)</f>
        <v>0</v>
      </c>
    </row>
    <row r="233" customFormat="false" ht="15" hidden="false" customHeight="false" outlineLevel="0" collapsed="false">
      <c r="A233" s="36" t="n">
        <f aca="false">IF('Raw Orders'!B230="","",IF(MID('Raw Orders'!B230,5,1)="-",DATE(VALUE(LEFT('Raw Orders'!B230,4)),VALUE(MID('Raw Orders'!B230,6,2)),VALUE(MID('Raw Orders'!B230,9,2))),DATE(VALUE(MID('Raw Orders'!B230,7,4)),VALUE(MID('Raw Orders'!B230,4,2)),VALUE(LEFT('Raw Orders'!B230,2)))))</f>
        <v>46157</v>
      </c>
      <c r="B233" s="36" t="n">
        <f aca="false">IF(A233="","",A233-WEEKDAY(A233,3))</f>
        <v>46153</v>
      </c>
      <c r="C233" s="32" t="n">
        <f aca="false">IF(OR('Raw Orders'!C230&lt;&gt;"Product",'Raw Orders'!K230="Cancelled"),0,'Raw Orders'!G230)</f>
        <v>22</v>
      </c>
      <c r="D233" s="31" t="n">
        <f aca="false">IF(AND('Raw Orders'!C230="Product",'Raw Orders'!K230="Fulfilled",COUNTIFS('Raw Orders'!$A$2:$A230,'Raw Orders'!A230,'Raw Orders'!$C$2:$C230,"Product",'Raw Orders'!$K$2:$K230,"Fulfilled")=1),1,0)</f>
        <v>1</v>
      </c>
      <c r="E233" s="31" t="n">
        <f aca="false">IF(AND('Raw Orders'!C230="Product",'Raw Orders'!K230="Fulfilled"),'Raw Orders'!E230,0)</f>
        <v>1</v>
      </c>
      <c r="F233" s="32" t="n">
        <f aca="false">IF('Raw Orders'!K230="Refunded",'Raw Orders'!G230,0)</f>
        <v>0</v>
      </c>
    </row>
    <row r="234" customFormat="false" ht="15" hidden="false" customHeight="false" outlineLevel="0" collapsed="false">
      <c r="A234" s="36" t="n">
        <f aca="false">IF('Raw Orders'!B231="","",IF(MID('Raw Orders'!B231,5,1)="-",DATE(VALUE(LEFT('Raw Orders'!B231,4)),VALUE(MID('Raw Orders'!B231,6,2)),VALUE(MID('Raw Orders'!B231,9,2))),DATE(VALUE(MID('Raw Orders'!B231,7,4)),VALUE(MID('Raw Orders'!B231,4,2)),VALUE(LEFT('Raw Orders'!B231,2)))))</f>
        <v>46157</v>
      </c>
      <c r="B234" s="36" t="n">
        <f aca="false">IF(A234="","",A234-WEEKDAY(A234,3))</f>
        <v>46153</v>
      </c>
      <c r="C234" s="32" t="n">
        <f aca="false">IF(OR('Raw Orders'!C231&lt;&gt;"Product",'Raw Orders'!K231="Cancelled"),0,'Raw Orders'!G231)</f>
        <v>0</v>
      </c>
      <c r="D234" s="31" t="n">
        <f aca="false">IF(AND('Raw Orders'!C231="Product",'Raw Orders'!K231="Fulfilled",COUNTIFS('Raw Orders'!$A$2:$A231,'Raw Orders'!A231,'Raw Orders'!$C$2:$C231,"Product",'Raw Orders'!$K$2:$K231,"Fulfilled")=1),1,0)</f>
        <v>0</v>
      </c>
      <c r="E234" s="31" t="n">
        <f aca="false">IF(AND('Raw Orders'!C231="Product",'Raw Orders'!K231="Fulfilled"),'Raw Orders'!E231,0)</f>
        <v>0</v>
      </c>
      <c r="F234" s="32" t="n">
        <f aca="false">IF('Raw Orders'!K231="Refunded",'Raw Orders'!G231,0)</f>
        <v>0</v>
      </c>
    </row>
    <row r="235" customFormat="false" ht="15" hidden="false" customHeight="false" outlineLevel="0" collapsed="false">
      <c r="A235" s="36" t="n">
        <f aca="false">IF('Raw Orders'!B232="","",IF(MID('Raw Orders'!B232,5,1)="-",DATE(VALUE(LEFT('Raw Orders'!B232,4)),VALUE(MID('Raw Orders'!B232,6,2)),VALUE(MID('Raw Orders'!B232,9,2))),DATE(VALUE(MID('Raw Orders'!B232,7,4)),VALUE(MID('Raw Orders'!B232,4,2)),VALUE(LEFT('Raw Orders'!B232,2)))))</f>
        <v>46157</v>
      </c>
      <c r="B235" s="36" t="n">
        <f aca="false">IF(A235="","",A235-WEEKDAY(A235,3))</f>
        <v>46153</v>
      </c>
      <c r="C235" s="32" t="n">
        <f aca="false">IF(OR('Raw Orders'!C232&lt;&gt;"Product",'Raw Orders'!K232="Cancelled"),0,'Raw Orders'!G232)</f>
        <v>0</v>
      </c>
      <c r="D235" s="31" t="n">
        <f aca="false">IF(AND('Raw Orders'!C232="Product",'Raw Orders'!K232="Fulfilled",COUNTIFS('Raw Orders'!$A$2:$A232,'Raw Orders'!A232,'Raw Orders'!$C$2:$C232,"Product",'Raw Orders'!$K$2:$K232,"Fulfilled")=1),1,0)</f>
        <v>0</v>
      </c>
      <c r="E235" s="31" t="n">
        <f aca="false">IF(AND('Raw Orders'!C232="Product",'Raw Orders'!K232="Fulfilled"),'Raw Orders'!E232,0)</f>
        <v>0</v>
      </c>
      <c r="F235" s="32" t="n">
        <f aca="false">IF('Raw Orders'!K232="Refunded",'Raw Orders'!G232,0)</f>
        <v>0</v>
      </c>
    </row>
    <row r="236" customFormat="false" ht="15" hidden="false" customHeight="false" outlineLevel="0" collapsed="false">
      <c r="A236" s="36" t="n">
        <f aca="false">IF('Raw Orders'!B233="","",IF(MID('Raw Orders'!B233,5,1)="-",DATE(VALUE(LEFT('Raw Orders'!B233,4)),VALUE(MID('Raw Orders'!B233,6,2)),VALUE(MID('Raw Orders'!B233,9,2))),DATE(VALUE(MID('Raw Orders'!B233,7,4)),VALUE(MID('Raw Orders'!B233,4,2)),VALUE(LEFT('Raw Orders'!B233,2)))))</f>
        <v>46157</v>
      </c>
      <c r="B236" s="36" t="n">
        <f aca="false">IF(A236="","",A236-WEEKDAY(A236,3))</f>
        <v>46153</v>
      </c>
      <c r="C236" s="32" t="n">
        <f aca="false">IF(OR('Raw Orders'!C233&lt;&gt;"Product",'Raw Orders'!K233="Cancelled"),0,'Raw Orders'!G233)</f>
        <v>23.4</v>
      </c>
      <c r="D236" s="31" t="n">
        <f aca="false">IF(AND('Raw Orders'!C233="Product",'Raw Orders'!K233="Fulfilled",COUNTIFS('Raw Orders'!$A$2:$A233,'Raw Orders'!A233,'Raw Orders'!$C$2:$C233,"Product",'Raw Orders'!$K$2:$K233,"Fulfilled")=1),1,0)</f>
        <v>1</v>
      </c>
      <c r="E236" s="31" t="n">
        <f aca="false">IF(AND('Raw Orders'!C233="Product",'Raw Orders'!K233="Fulfilled"),'Raw Orders'!E233,0)</f>
        <v>1</v>
      </c>
      <c r="F236" s="32" t="n">
        <f aca="false">IF('Raw Orders'!K233="Refunded",'Raw Orders'!G233,0)</f>
        <v>0</v>
      </c>
    </row>
    <row r="237" customFormat="false" ht="15" hidden="false" customHeight="false" outlineLevel="0" collapsed="false">
      <c r="A237" s="36" t="n">
        <f aca="false">IF('Raw Orders'!B234="","",IF(MID('Raw Orders'!B234,5,1)="-",DATE(VALUE(LEFT('Raw Orders'!B234,4)),VALUE(MID('Raw Orders'!B234,6,2)),VALUE(MID('Raw Orders'!B234,9,2))),DATE(VALUE(MID('Raw Orders'!B234,7,4)),VALUE(MID('Raw Orders'!B234,4,2)),VALUE(LEFT('Raw Orders'!B234,2)))))</f>
        <v>46157</v>
      </c>
      <c r="B237" s="36" t="n">
        <f aca="false">IF(A237="","",A237-WEEKDAY(A237,3))</f>
        <v>46153</v>
      </c>
      <c r="C237" s="32" t="n">
        <f aca="false">IF(OR('Raw Orders'!C234&lt;&gt;"Product",'Raw Orders'!K234="Cancelled"),0,'Raw Orders'!G234)</f>
        <v>0</v>
      </c>
      <c r="D237" s="31" t="n">
        <f aca="false">IF(AND('Raw Orders'!C234="Product",'Raw Orders'!K234="Fulfilled",COUNTIFS('Raw Orders'!$A$2:$A234,'Raw Orders'!A234,'Raw Orders'!$C$2:$C234,"Product",'Raw Orders'!$K$2:$K234,"Fulfilled")=1),1,0)</f>
        <v>0</v>
      </c>
      <c r="E237" s="31" t="n">
        <f aca="false">IF(AND('Raw Orders'!C234="Product",'Raw Orders'!K234="Fulfilled"),'Raw Orders'!E234,0)</f>
        <v>0</v>
      </c>
      <c r="F237" s="32" t="n">
        <f aca="false">IF('Raw Orders'!K234="Refunded",'Raw Orders'!G234,0)</f>
        <v>0</v>
      </c>
    </row>
    <row r="238" customFormat="false" ht="15" hidden="false" customHeight="false" outlineLevel="0" collapsed="false">
      <c r="A238" s="36" t="n">
        <f aca="false">IF('Raw Orders'!B235="","",IF(MID('Raw Orders'!B235,5,1)="-",DATE(VALUE(LEFT('Raw Orders'!B235,4)),VALUE(MID('Raw Orders'!B235,6,2)),VALUE(MID('Raw Orders'!B235,9,2))),DATE(VALUE(MID('Raw Orders'!B235,7,4)),VALUE(MID('Raw Orders'!B235,4,2)),VALUE(LEFT('Raw Orders'!B235,2)))))</f>
        <v>46157</v>
      </c>
      <c r="B238" s="36" t="n">
        <f aca="false">IF(A238="","",A238-WEEKDAY(A238,3))</f>
        <v>46153</v>
      </c>
      <c r="C238" s="32" t="n">
        <f aca="false">IF(OR('Raw Orders'!C235&lt;&gt;"Product",'Raw Orders'!K235="Cancelled"),0,'Raw Orders'!G235)</f>
        <v>0</v>
      </c>
      <c r="D238" s="31" t="n">
        <f aca="false">IF(AND('Raw Orders'!C235="Product",'Raw Orders'!K235="Fulfilled",COUNTIFS('Raw Orders'!$A$2:$A235,'Raw Orders'!A235,'Raw Orders'!$C$2:$C235,"Product",'Raw Orders'!$K$2:$K235,"Fulfilled")=1),1,0)</f>
        <v>0</v>
      </c>
      <c r="E238" s="31" t="n">
        <f aca="false">IF(AND('Raw Orders'!C235="Product",'Raw Orders'!K235="Fulfilled"),'Raw Orders'!E235,0)</f>
        <v>0</v>
      </c>
      <c r="F238" s="32" t="n">
        <f aca="false">IF('Raw Orders'!K235="Refunded",'Raw Orders'!G235,0)</f>
        <v>0</v>
      </c>
    </row>
    <row r="239" customFormat="false" ht="15" hidden="false" customHeight="false" outlineLevel="0" collapsed="false">
      <c r="A239" s="36" t="n">
        <f aca="false">IF('Raw Orders'!B236="","",IF(MID('Raw Orders'!B236,5,1)="-",DATE(VALUE(LEFT('Raw Orders'!B236,4)),VALUE(MID('Raw Orders'!B236,6,2)),VALUE(MID('Raw Orders'!B236,9,2))),DATE(VALUE(MID('Raw Orders'!B236,7,4)),VALUE(MID('Raw Orders'!B236,4,2)),VALUE(LEFT('Raw Orders'!B236,2)))))</f>
        <v>46158</v>
      </c>
      <c r="B239" s="36" t="n">
        <f aca="false">IF(A239="","",A239-WEEKDAY(A239,3))</f>
        <v>46153</v>
      </c>
      <c r="C239" s="32" t="n">
        <f aca="false">IF(OR('Raw Orders'!C236&lt;&gt;"Product",'Raw Orders'!K236="Cancelled"),0,'Raw Orders'!G236)</f>
        <v>0</v>
      </c>
      <c r="D239" s="31" t="n">
        <f aca="false">IF(AND('Raw Orders'!C236="Product",'Raw Orders'!K236="Fulfilled",COUNTIFS('Raw Orders'!$A$2:$A236,'Raw Orders'!A236,'Raw Orders'!$C$2:$C236,"Product",'Raw Orders'!$K$2:$K236,"Fulfilled")=1),1,0)</f>
        <v>0</v>
      </c>
      <c r="E239" s="31" t="n">
        <f aca="false">IF(AND('Raw Orders'!C236="Product",'Raw Orders'!K236="Fulfilled"),'Raw Orders'!E236,0)</f>
        <v>0</v>
      </c>
      <c r="F239" s="32" t="n">
        <f aca="false">IF('Raw Orders'!K236="Refunded",'Raw Orders'!G236,0)</f>
        <v>0</v>
      </c>
    </row>
    <row r="240" customFormat="false" ht="15" hidden="false" customHeight="false" outlineLevel="0" collapsed="false">
      <c r="A240" s="36" t="n">
        <f aca="false">IF('Raw Orders'!B237="","",IF(MID('Raw Orders'!B237,5,1)="-",DATE(VALUE(LEFT('Raw Orders'!B237,4)),VALUE(MID('Raw Orders'!B237,6,2)),VALUE(MID('Raw Orders'!B237,9,2))),DATE(VALUE(MID('Raw Orders'!B237,7,4)),VALUE(MID('Raw Orders'!B237,4,2)),VALUE(LEFT('Raw Orders'!B237,2)))))</f>
        <v>46158</v>
      </c>
      <c r="B240" s="36" t="n">
        <f aca="false">IF(A240="","",A240-WEEKDAY(A240,3))</f>
        <v>46153</v>
      </c>
      <c r="C240" s="32" t="n">
        <f aca="false">IF(OR('Raw Orders'!C237&lt;&gt;"Product",'Raw Orders'!K237="Cancelled"),0,'Raw Orders'!G237)</f>
        <v>44</v>
      </c>
      <c r="D240" s="31" t="n">
        <f aca="false">IF(AND('Raw Orders'!C237="Product",'Raw Orders'!K237="Fulfilled",COUNTIFS('Raw Orders'!$A$2:$A237,'Raw Orders'!A237,'Raw Orders'!$C$2:$C237,"Product",'Raw Orders'!$K$2:$K237,"Fulfilled")=1),1,0)</f>
        <v>1</v>
      </c>
      <c r="E240" s="31" t="n">
        <f aca="false">IF(AND('Raw Orders'!C237="Product",'Raw Orders'!K237="Fulfilled"),'Raw Orders'!E237,0)</f>
        <v>2</v>
      </c>
      <c r="F240" s="32" t="n">
        <f aca="false">IF('Raw Orders'!K237="Refunded",'Raw Orders'!G237,0)</f>
        <v>0</v>
      </c>
    </row>
    <row r="241" customFormat="false" ht="15" hidden="false" customHeight="false" outlineLevel="0" collapsed="false">
      <c r="A241" s="36" t="n">
        <f aca="false">IF('Raw Orders'!B238="","",IF(MID('Raw Orders'!B238,5,1)="-",DATE(VALUE(LEFT('Raw Orders'!B238,4)),VALUE(MID('Raw Orders'!B238,6,2)),VALUE(MID('Raw Orders'!B238,9,2))),DATE(VALUE(MID('Raw Orders'!B238,7,4)),VALUE(MID('Raw Orders'!B238,4,2)),VALUE(LEFT('Raw Orders'!B238,2)))))</f>
        <v>46158</v>
      </c>
      <c r="B241" s="36" t="n">
        <f aca="false">IF(A241="","",A241-WEEKDAY(A241,3))</f>
        <v>46153</v>
      </c>
      <c r="C241" s="32" t="n">
        <f aca="false">IF(OR('Raw Orders'!C238&lt;&gt;"Product",'Raw Orders'!K238="Cancelled"),0,'Raw Orders'!G238)</f>
        <v>0</v>
      </c>
      <c r="D241" s="31" t="n">
        <f aca="false">IF(AND('Raw Orders'!C238="Product",'Raw Orders'!K238="Fulfilled",COUNTIFS('Raw Orders'!$A$2:$A238,'Raw Orders'!A238,'Raw Orders'!$C$2:$C238,"Product",'Raw Orders'!$K$2:$K238,"Fulfilled")=1),1,0)</f>
        <v>0</v>
      </c>
      <c r="E241" s="31" t="n">
        <f aca="false">IF(AND('Raw Orders'!C238="Product",'Raw Orders'!K238="Fulfilled"),'Raw Orders'!E238,0)</f>
        <v>0</v>
      </c>
      <c r="F241" s="32" t="n">
        <f aca="false">IF('Raw Orders'!K238="Refunded",'Raw Orders'!G238,0)</f>
        <v>0</v>
      </c>
    </row>
    <row r="242" customFormat="false" ht="15" hidden="false" customHeight="false" outlineLevel="0" collapsed="false">
      <c r="A242" s="36" t="n">
        <f aca="false">IF('Raw Orders'!B239="","",IF(MID('Raw Orders'!B239,5,1)="-",DATE(VALUE(LEFT('Raw Orders'!B239,4)),VALUE(MID('Raw Orders'!B239,6,2)),VALUE(MID('Raw Orders'!B239,9,2))),DATE(VALUE(MID('Raw Orders'!B239,7,4)),VALUE(MID('Raw Orders'!B239,4,2)),VALUE(LEFT('Raw Orders'!B239,2)))))</f>
        <v>46158</v>
      </c>
      <c r="B242" s="36" t="n">
        <f aca="false">IF(A242="","",A242-WEEKDAY(A242,3))</f>
        <v>46153</v>
      </c>
      <c r="C242" s="32" t="n">
        <f aca="false">IF(OR('Raw Orders'!C239&lt;&gt;"Product",'Raw Orders'!K239="Cancelled"),0,'Raw Orders'!G239)</f>
        <v>39</v>
      </c>
      <c r="D242" s="31" t="n">
        <f aca="false">IF(AND('Raw Orders'!C239="Product",'Raw Orders'!K239="Fulfilled",COUNTIFS('Raw Orders'!$A$2:$A239,'Raw Orders'!A239,'Raw Orders'!$C$2:$C239,"Product",'Raw Orders'!$K$2:$K239,"Fulfilled")=1),1,0)</f>
        <v>1</v>
      </c>
      <c r="E242" s="31" t="n">
        <f aca="false">IF(AND('Raw Orders'!C239="Product",'Raw Orders'!K239="Fulfilled"),'Raw Orders'!E239,0)</f>
        <v>1</v>
      </c>
      <c r="F242" s="32" t="n">
        <f aca="false">IF('Raw Orders'!K239="Refunded",'Raw Orders'!G239,0)</f>
        <v>0</v>
      </c>
    </row>
    <row r="243" customFormat="false" ht="15" hidden="false" customHeight="false" outlineLevel="0" collapsed="false">
      <c r="A243" s="36" t="n">
        <f aca="false">IF('Raw Orders'!B240="","",IF(MID('Raw Orders'!B240,5,1)="-",DATE(VALUE(LEFT('Raw Orders'!B240,4)),VALUE(MID('Raw Orders'!B240,6,2)),VALUE(MID('Raw Orders'!B240,9,2))),DATE(VALUE(MID('Raw Orders'!B240,7,4)),VALUE(MID('Raw Orders'!B240,4,2)),VALUE(LEFT('Raw Orders'!B240,2)))))</f>
        <v>46158</v>
      </c>
      <c r="B243" s="36" t="n">
        <f aca="false">IF(A243="","",A243-WEEKDAY(A243,3))</f>
        <v>46153</v>
      </c>
      <c r="C243" s="32" t="n">
        <f aca="false">IF(OR('Raw Orders'!C240&lt;&gt;"Product",'Raw Orders'!K240="Cancelled"),0,'Raw Orders'!G240)</f>
        <v>0</v>
      </c>
      <c r="D243" s="31" t="n">
        <f aca="false">IF(AND('Raw Orders'!C240="Product",'Raw Orders'!K240="Fulfilled",COUNTIFS('Raw Orders'!$A$2:$A240,'Raw Orders'!A240,'Raw Orders'!$C$2:$C240,"Product",'Raw Orders'!$K$2:$K240,"Fulfilled")=1),1,0)</f>
        <v>0</v>
      </c>
      <c r="E243" s="31" t="n">
        <f aca="false">IF(AND('Raw Orders'!C240="Product",'Raw Orders'!K240="Fulfilled"),'Raw Orders'!E240,0)</f>
        <v>0</v>
      </c>
      <c r="F243" s="32" t="n">
        <f aca="false">IF('Raw Orders'!K240="Refunded",'Raw Orders'!G240,0)</f>
        <v>0</v>
      </c>
    </row>
    <row r="244" customFormat="false" ht="15" hidden="false" customHeight="false" outlineLevel="0" collapsed="false">
      <c r="A244" s="36" t="n">
        <f aca="false">IF('Raw Orders'!B241="","",IF(MID('Raw Orders'!B241,5,1)="-",DATE(VALUE(LEFT('Raw Orders'!B241,4)),VALUE(MID('Raw Orders'!B241,6,2)),VALUE(MID('Raw Orders'!B241,9,2))),DATE(VALUE(MID('Raw Orders'!B241,7,4)),VALUE(MID('Raw Orders'!B241,4,2)),VALUE(LEFT('Raw Orders'!B241,2)))))</f>
        <v>46159</v>
      </c>
      <c r="B244" s="36" t="n">
        <f aca="false">IF(A244="","",A244-WEEKDAY(A244,3))</f>
        <v>46153</v>
      </c>
      <c r="C244" s="32" t="n">
        <f aca="false">IF(OR('Raw Orders'!C241&lt;&gt;"Product",'Raw Orders'!K241="Cancelled"),0,'Raw Orders'!G241)</f>
        <v>-39</v>
      </c>
      <c r="D244" s="31" t="n">
        <f aca="false">IF(AND('Raw Orders'!C241="Product",'Raw Orders'!K241="Fulfilled",COUNTIFS('Raw Orders'!$A$2:$A241,'Raw Orders'!A241,'Raw Orders'!$C$2:$C241,"Product",'Raw Orders'!$K$2:$K241,"Fulfilled")=1),1,0)</f>
        <v>0</v>
      </c>
      <c r="E244" s="31" t="n">
        <f aca="false">IF(AND('Raw Orders'!C241="Product",'Raw Orders'!K241="Fulfilled"),'Raw Orders'!E241,0)</f>
        <v>0</v>
      </c>
      <c r="F244" s="32" t="n">
        <f aca="false">IF('Raw Orders'!K241="Refunded",'Raw Orders'!G241,0)</f>
        <v>-39</v>
      </c>
    </row>
    <row r="245" customFormat="false" ht="15" hidden="false" customHeight="false" outlineLevel="0" collapsed="false">
      <c r="A245" s="36" t="n">
        <f aca="false">IF('Raw Orders'!B242="","",IF(MID('Raw Orders'!B242,5,1)="-",DATE(VALUE(LEFT('Raw Orders'!B242,4)),VALUE(MID('Raw Orders'!B242,6,2)),VALUE(MID('Raw Orders'!B242,9,2))),DATE(VALUE(MID('Raw Orders'!B242,7,4)),VALUE(MID('Raw Orders'!B242,4,2)),VALUE(LEFT('Raw Orders'!B242,2)))))</f>
        <v>46159</v>
      </c>
      <c r="B245" s="36" t="n">
        <f aca="false">IF(A245="","",A245-WEEKDAY(A245,3))</f>
        <v>46153</v>
      </c>
      <c r="C245" s="32" t="n">
        <f aca="false">IF(OR('Raw Orders'!C242&lt;&gt;"Product",'Raw Orders'!K242="Cancelled"),0,'Raw Orders'!G242)</f>
        <v>14</v>
      </c>
      <c r="D245" s="31" t="n">
        <f aca="false">IF(AND('Raw Orders'!C242="Product",'Raw Orders'!K242="Fulfilled",COUNTIFS('Raw Orders'!$A$2:$A242,'Raw Orders'!A242,'Raw Orders'!$C$2:$C242,"Product",'Raw Orders'!$K$2:$K242,"Fulfilled")=1),1,0)</f>
        <v>1</v>
      </c>
      <c r="E245" s="31" t="n">
        <f aca="false">IF(AND('Raw Orders'!C242="Product",'Raw Orders'!K242="Fulfilled"),'Raw Orders'!E242,0)</f>
        <v>1</v>
      </c>
      <c r="F245" s="32" t="n">
        <f aca="false">IF('Raw Orders'!K242="Refunded",'Raw Orders'!G242,0)</f>
        <v>0</v>
      </c>
    </row>
    <row r="246" customFormat="false" ht="15" hidden="false" customHeight="false" outlineLevel="0" collapsed="false">
      <c r="A246" s="36" t="n">
        <f aca="false">IF('Raw Orders'!B243="","",IF(MID('Raw Orders'!B243,5,1)="-",DATE(VALUE(LEFT('Raw Orders'!B243,4)),VALUE(MID('Raw Orders'!B243,6,2)),VALUE(MID('Raw Orders'!B243,9,2))),DATE(VALUE(MID('Raw Orders'!B243,7,4)),VALUE(MID('Raw Orders'!B243,4,2)),VALUE(LEFT('Raw Orders'!B243,2)))))</f>
        <v>46159</v>
      </c>
      <c r="B246" s="36" t="n">
        <f aca="false">IF(A246="","",A246-WEEKDAY(A246,3))</f>
        <v>46153</v>
      </c>
      <c r="C246" s="32" t="n">
        <f aca="false">IF(OR('Raw Orders'!C243&lt;&gt;"Product",'Raw Orders'!K243="Cancelled"),0,'Raw Orders'!G243)</f>
        <v>20.8</v>
      </c>
      <c r="D246" s="31" t="n">
        <f aca="false">IF(AND('Raw Orders'!C243="Product",'Raw Orders'!K243="Fulfilled",COUNTIFS('Raw Orders'!$A$2:$A243,'Raw Orders'!A243,'Raw Orders'!$C$2:$C243,"Product",'Raw Orders'!$K$2:$K243,"Fulfilled")=1),1,0)</f>
        <v>0</v>
      </c>
      <c r="E246" s="31" t="n">
        <f aca="false">IF(AND('Raw Orders'!C243="Product",'Raw Orders'!K243="Fulfilled"),'Raw Orders'!E243,0)</f>
        <v>1</v>
      </c>
      <c r="F246" s="32" t="n">
        <f aca="false">IF('Raw Orders'!K243="Refunded",'Raw Orders'!G243,0)</f>
        <v>0</v>
      </c>
    </row>
    <row r="247" customFormat="false" ht="15" hidden="false" customHeight="false" outlineLevel="0" collapsed="false">
      <c r="A247" s="36" t="n">
        <f aca="false">IF('Raw Orders'!B244="","",IF(MID('Raw Orders'!B244,5,1)="-",DATE(VALUE(LEFT('Raw Orders'!B244,4)),VALUE(MID('Raw Orders'!B244,6,2)),VALUE(MID('Raw Orders'!B244,9,2))),DATE(VALUE(MID('Raw Orders'!B244,7,4)),VALUE(MID('Raw Orders'!B244,4,2)),VALUE(LEFT('Raw Orders'!B244,2)))))</f>
        <v>46159</v>
      </c>
      <c r="B247" s="36" t="n">
        <f aca="false">IF(A247="","",A247-WEEKDAY(A247,3))</f>
        <v>46153</v>
      </c>
      <c r="C247" s="32" t="n">
        <f aca="false">IF(OR('Raw Orders'!C244&lt;&gt;"Product",'Raw Orders'!K244="Cancelled"),0,'Raw Orders'!G244)</f>
        <v>0</v>
      </c>
      <c r="D247" s="31" t="n">
        <f aca="false">IF(AND('Raw Orders'!C244="Product",'Raw Orders'!K244="Fulfilled",COUNTIFS('Raw Orders'!$A$2:$A244,'Raw Orders'!A244,'Raw Orders'!$C$2:$C244,"Product",'Raw Orders'!$K$2:$K244,"Fulfilled")=1),1,0)</f>
        <v>0</v>
      </c>
      <c r="E247" s="31" t="n">
        <f aca="false">IF(AND('Raw Orders'!C244="Product",'Raw Orders'!K244="Fulfilled"),'Raw Orders'!E244,0)</f>
        <v>0</v>
      </c>
      <c r="F247" s="32" t="n">
        <f aca="false">IF('Raw Orders'!K244="Refunded",'Raw Orders'!G244,0)</f>
        <v>0</v>
      </c>
    </row>
    <row r="248" customFormat="false" ht="15" hidden="false" customHeight="false" outlineLevel="0" collapsed="false">
      <c r="A248" s="36" t="n">
        <f aca="false">IF('Raw Orders'!B245="","",IF(MID('Raw Orders'!B245,5,1)="-",DATE(VALUE(LEFT('Raw Orders'!B245,4)),VALUE(MID('Raw Orders'!B245,6,2)),VALUE(MID('Raw Orders'!B245,9,2))),DATE(VALUE(MID('Raw Orders'!B245,7,4)),VALUE(MID('Raw Orders'!B245,4,2)),VALUE(LEFT('Raw Orders'!B245,2)))))</f>
        <v>46159</v>
      </c>
      <c r="B248" s="36" t="n">
        <f aca="false">IF(A248="","",A248-WEEKDAY(A248,3))</f>
        <v>46153</v>
      </c>
      <c r="C248" s="32" t="n">
        <f aca="false">IF(OR('Raw Orders'!C245&lt;&gt;"Product",'Raw Orders'!K245="Cancelled"),0,'Raw Orders'!G245)</f>
        <v>0</v>
      </c>
      <c r="D248" s="31" t="n">
        <f aca="false">IF(AND('Raw Orders'!C245="Product",'Raw Orders'!K245="Fulfilled",COUNTIFS('Raw Orders'!$A$2:$A245,'Raw Orders'!A245,'Raw Orders'!$C$2:$C245,"Product",'Raw Orders'!$K$2:$K245,"Fulfilled")=1),1,0)</f>
        <v>0</v>
      </c>
      <c r="E248" s="31" t="n">
        <f aca="false">IF(AND('Raw Orders'!C245="Product",'Raw Orders'!K245="Fulfilled"),'Raw Orders'!E245,0)</f>
        <v>0</v>
      </c>
      <c r="F248" s="32" t="n">
        <f aca="false">IF('Raw Orders'!K245="Refunded",'Raw Orders'!G245,0)</f>
        <v>0</v>
      </c>
    </row>
    <row r="249" customFormat="false" ht="15" hidden="false" customHeight="false" outlineLevel="0" collapsed="false">
      <c r="A249" s="36" t="n">
        <f aca="false">IF('Raw Orders'!B246="","",IF(MID('Raw Orders'!B246,5,1)="-",DATE(VALUE(LEFT('Raw Orders'!B246,4)),VALUE(MID('Raw Orders'!B246,6,2)),VALUE(MID('Raw Orders'!B246,9,2))),DATE(VALUE(MID('Raw Orders'!B246,7,4)),VALUE(MID('Raw Orders'!B246,4,2)),VALUE(LEFT('Raw Orders'!B246,2)))))</f>
        <v>46159</v>
      </c>
      <c r="B249" s="36" t="n">
        <f aca="false">IF(A249="","",A249-WEEKDAY(A249,3))</f>
        <v>46153</v>
      </c>
      <c r="C249" s="32" t="n">
        <f aca="false">IF(OR('Raw Orders'!C246&lt;&gt;"Product",'Raw Orders'!K246="Cancelled"),0,'Raw Orders'!G246)</f>
        <v>178</v>
      </c>
      <c r="D249" s="31" t="n">
        <f aca="false">IF(AND('Raw Orders'!C246="Product",'Raw Orders'!K246="Fulfilled",COUNTIFS('Raw Orders'!$A$2:$A246,'Raw Orders'!A246,'Raw Orders'!$C$2:$C246,"Product",'Raw Orders'!$K$2:$K246,"Fulfilled")=1),1,0)</f>
        <v>1</v>
      </c>
      <c r="E249" s="31" t="n">
        <f aca="false">IF(AND('Raw Orders'!C246="Product",'Raw Orders'!K246="Fulfilled"),'Raw Orders'!E246,0)</f>
        <v>2</v>
      </c>
      <c r="F249" s="32" t="n">
        <f aca="false">IF('Raw Orders'!K246="Refunded",'Raw Orders'!G246,0)</f>
        <v>0</v>
      </c>
    </row>
    <row r="250" customFormat="false" ht="15" hidden="false" customHeight="false" outlineLevel="0" collapsed="false">
      <c r="A250" s="36" t="n">
        <f aca="false">IF('Raw Orders'!B247="","",IF(MID('Raw Orders'!B247,5,1)="-",DATE(VALUE(LEFT('Raw Orders'!B247,4)),VALUE(MID('Raw Orders'!B247,6,2)),VALUE(MID('Raw Orders'!B247,9,2))),DATE(VALUE(MID('Raw Orders'!B247,7,4)),VALUE(MID('Raw Orders'!B247,4,2)),VALUE(LEFT('Raw Orders'!B247,2)))))</f>
        <v>46159</v>
      </c>
      <c r="B250" s="36" t="n">
        <f aca="false">IF(A250="","",A250-WEEKDAY(A250,3))</f>
        <v>46153</v>
      </c>
      <c r="C250" s="32" t="n">
        <f aca="false">IF(OR('Raw Orders'!C247&lt;&gt;"Product",'Raw Orders'!K247="Cancelled"),0,'Raw Orders'!G247)</f>
        <v>0</v>
      </c>
      <c r="D250" s="31" t="n">
        <f aca="false">IF(AND('Raw Orders'!C247="Product",'Raw Orders'!K247="Fulfilled",COUNTIFS('Raw Orders'!$A$2:$A247,'Raw Orders'!A247,'Raw Orders'!$C$2:$C247,"Product",'Raw Orders'!$K$2:$K247,"Fulfilled")=1),1,0)</f>
        <v>0</v>
      </c>
      <c r="E250" s="31" t="n">
        <f aca="false">IF(AND('Raw Orders'!C247="Product",'Raw Orders'!K247="Fulfilled"),'Raw Orders'!E247,0)</f>
        <v>0</v>
      </c>
      <c r="F250" s="32" t="n">
        <f aca="false">IF('Raw Orders'!K247="Refunded",'Raw Orders'!G247,0)</f>
        <v>0</v>
      </c>
    </row>
    <row r="251" customFormat="false" ht="15" hidden="false" customHeight="false" outlineLevel="0" collapsed="false">
      <c r="A251" s="36" t="n">
        <f aca="false">IF('Raw Orders'!B248="","",IF(MID('Raw Orders'!B248,5,1)="-",DATE(VALUE(LEFT('Raw Orders'!B248,4)),VALUE(MID('Raw Orders'!B248,6,2)),VALUE(MID('Raw Orders'!B248,9,2))),DATE(VALUE(MID('Raw Orders'!B248,7,4)),VALUE(MID('Raw Orders'!B248,4,2)),VALUE(LEFT('Raw Orders'!B248,2)))))</f>
        <v>46159</v>
      </c>
      <c r="B251" s="36" t="n">
        <f aca="false">IF(A251="","",A251-WEEKDAY(A251,3))</f>
        <v>46153</v>
      </c>
      <c r="C251" s="32" t="n">
        <f aca="false">IF(OR('Raw Orders'!C248&lt;&gt;"Product",'Raw Orders'!K248="Cancelled"),0,'Raw Orders'!G248)</f>
        <v>75.65</v>
      </c>
      <c r="D251" s="31" t="n">
        <f aca="false">IF(AND('Raw Orders'!C248="Product",'Raw Orders'!K248="Fulfilled",COUNTIFS('Raw Orders'!$A$2:$A248,'Raw Orders'!A248,'Raw Orders'!$C$2:$C248,"Product",'Raw Orders'!$K$2:$K248,"Fulfilled")=1),1,0)</f>
        <v>1</v>
      </c>
      <c r="E251" s="31" t="n">
        <f aca="false">IF(AND('Raw Orders'!C248="Product",'Raw Orders'!K248="Fulfilled"),'Raw Orders'!E248,0)</f>
        <v>1</v>
      </c>
      <c r="F251" s="32" t="n">
        <f aca="false">IF('Raw Orders'!K248="Refunded",'Raw Orders'!G248,0)</f>
        <v>0</v>
      </c>
    </row>
    <row r="252" customFormat="false" ht="15" hidden="false" customHeight="false" outlineLevel="0" collapsed="false">
      <c r="A252" s="36" t="n">
        <f aca="false">IF('Raw Orders'!B249="","",IF(MID('Raw Orders'!B249,5,1)="-",DATE(VALUE(LEFT('Raw Orders'!B249,4)),VALUE(MID('Raw Orders'!B249,6,2)),VALUE(MID('Raw Orders'!B249,9,2))),DATE(VALUE(MID('Raw Orders'!B249,7,4)),VALUE(MID('Raw Orders'!B249,4,2)),VALUE(LEFT('Raw Orders'!B249,2)))))</f>
        <v>46160</v>
      </c>
      <c r="B252" s="36" t="n">
        <f aca="false">IF(A252="","",A252-WEEKDAY(A252,3))</f>
        <v>46160</v>
      </c>
      <c r="C252" s="32" t="n">
        <f aca="false">IF(OR('Raw Orders'!C249&lt;&gt;"Product",'Raw Orders'!K249="Cancelled"),0,'Raw Orders'!G249)</f>
        <v>69</v>
      </c>
      <c r="D252" s="31" t="n">
        <f aca="false">IF(AND('Raw Orders'!C249="Product",'Raw Orders'!K249="Fulfilled",COUNTIFS('Raw Orders'!$A$2:$A249,'Raw Orders'!A249,'Raw Orders'!$C$2:$C249,"Product",'Raw Orders'!$K$2:$K249,"Fulfilled")=1),1,0)</f>
        <v>1</v>
      </c>
      <c r="E252" s="31" t="n">
        <f aca="false">IF(AND('Raw Orders'!C249="Product",'Raw Orders'!K249="Fulfilled"),'Raw Orders'!E249,0)</f>
        <v>1</v>
      </c>
      <c r="F252" s="32" t="n">
        <f aca="false">IF('Raw Orders'!K249="Refunded",'Raw Orders'!G249,0)</f>
        <v>0</v>
      </c>
    </row>
    <row r="253" customFormat="false" ht="15" hidden="false" customHeight="false" outlineLevel="0" collapsed="false">
      <c r="A253" s="36" t="n">
        <f aca="false">IF('Raw Orders'!B250="","",IF(MID('Raw Orders'!B250,5,1)="-",DATE(VALUE(LEFT('Raw Orders'!B250,4)),VALUE(MID('Raw Orders'!B250,6,2)),VALUE(MID('Raw Orders'!B250,9,2))),DATE(VALUE(MID('Raw Orders'!B250,7,4)),VALUE(MID('Raw Orders'!B250,4,2)),VALUE(LEFT('Raw Orders'!B250,2)))))</f>
        <v>46160</v>
      </c>
      <c r="B253" s="36" t="n">
        <f aca="false">IF(A253="","",A253-WEEKDAY(A253,3))</f>
        <v>46160</v>
      </c>
      <c r="C253" s="32" t="n">
        <f aca="false">IF(OR('Raw Orders'!C250&lt;&gt;"Product",'Raw Orders'!K250="Cancelled"),0,'Raw Orders'!G250)</f>
        <v>69</v>
      </c>
      <c r="D253" s="31" t="n">
        <f aca="false">IF(AND('Raw Orders'!C250="Product",'Raw Orders'!K250="Fulfilled",COUNTIFS('Raw Orders'!$A$2:$A250,'Raw Orders'!A250,'Raw Orders'!$C$2:$C250,"Product",'Raw Orders'!$K$2:$K250,"Fulfilled")=1),1,0)</f>
        <v>0</v>
      </c>
      <c r="E253" s="31" t="n">
        <f aca="false">IF(AND('Raw Orders'!C250="Product",'Raw Orders'!K250="Fulfilled"),'Raw Orders'!E250,0)</f>
        <v>1</v>
      </c>
      <c r="F253" s="32" t="n">
        <f aca="false">IF('Raw Orders'!K250="Refunded",'Raw Orders'!G250,0)</f>
        <v>0</v>
      </c>
    </row>
    <row r="254" customFormat="false" ht="15" hidden="false" customHeight="false" outlineLevel="0" collapsed="false">
      <c r="A254" s="36" t="n">
        <f aca="false">IF('Raw Orders'!B251="","",IF(MID('Raw Orders'!B251,5,1)="-",DATE(VALUE(LEFT('Raw Orders'!B251,4)),VALUE(MID('Raw Orders'!B251,6,2)),VALUE(MID('Raw Orders'!B251,9,2))),DATE(VALUE(MID('Raw Orders'!B251,7,4)),VALUE(MID('Raw Orders'!B251,4,2)),VALUE(LEFT('Raw Orders'!B251,2)))))</f>
        <v>46160</v>
      </c>
      <c r="B254" s="36" t="n">
        <f aca="false">IF(A254="","",A254-WEEKDAY(A254,3))</f>
        <v>46160</v>
      </c>
      <c r="C254" s="32" t="n">
        <f aca="false">IF(OR('Raw Orders'!C251&lt;&gt;"Product",'Raw Orders'!K251="Cancelled"),0,'Raw Orders'!G251)</f>
        <v>0</v>
      </c>
      <c r="D254" s="31" t="n">
        <f aca="false">IF(AND('Raw Orders'!C251="Product",'Raw Orders'!K251="Fulfilled",COUNTIFS('Raw Orders'!$A$2:$A251,'Raw Orders'!A251,'Raw Orders'!$C$2:$C251,"Product",'Raw Orders'!$K$2:$K251,"Fulfilled")=1),1,0)</f>
        <v>0</v>
      </c>
      <c r="E254" s="31" t="n">
        <f aca="false">IF(AND('Raw Orders'!C251="Product",'Raw Orders'!K251="Fulfilled"),'Raw Orders'!E251,0)</f>
        <v>0</v>
      </c>
      <c r="F254" s="32" t="n">
        <f aca="false">IF('Raw Orders'!K251="Refunded",'Raw Orders'!G251,0)</f>
        <v>0</v>
      </c>
    </row>
    <row r="255" customFormat="false" ht="15" hidden="false" customHeight="false" outlineLevel="0" collapsed="false">
      <c r="A255" s="36" t="n">
        <f aca="false">IF('Raw Orders'!B252="","",IF(MID('Raw Orders'!B252,5,1)="-",DATE(VALUE(LEFT('Raw Orders'!B252,4)),VALUE(MID('Raw Orders'!B252,6,2)),VALUE(MID('Raw Orders'!B252,9,2))),DATE(VALUE(MID('Raw Orders'!B252,7,4)),VALUE(MID('Raw Orders'!B252,4,2)),VALUE(LEFT('Raw Orders'!B252,2)))))</f>
        <v>46160</v>
      </c>
      <c r="B255" s="36" t="n">
        <f aca="false">IF(A255="","",A255-WEEKDAY(A255,3))</f>
        <v>46160</v>
      </c>
      <c r="C255" s="32" t="n">
        <f aca="false">IF(OR('Raw Orders'!C252&lt;&gt;"Product",'Raw Orders'!K252="Cancelled"),0,'Raw Orders'!G252)</f>
        <v>0</v>
      </c>
      <c r="D255" s="31" t="n">
        <f aca="false">IF(AND('Raw Orders'!C252="Product",'Raw Orders'!K252="Fulfilled",COUNTIFS('Raw Orders'!$A$2:$A252,'Raw Orders'!A252,'Raw Orders'!$C$2:$C252,"Product",'Raw Orders'!$K$2:$K252,"Fulfilled")=1),1,0)</f>
        <v>0</v>
      </c>
      <c r="E255" s="31" t="n">
        <f aca="false">IF(AND('Raw Orders'!C252="Product",'Raw Orders'!K252="Fulfilled"),'Raw Orders'!E252,0)</f>
        <v>0</v>
      </c>
      <c r="F255" s="32" t="n">
        <f aca="false">IF('Raw Orders'!K252="Refunded",'Raw Orders'!G252,0)</f>
        <v>0</v>
      </c>
    </row>
    <row r="256" customFormat="false" ht="15" hidden="false" customHeight="false" outlineLevel="0" collapsed="false">
      <c r="A256" s="36" t="n">
        <f aca="false">IF('Raw Orders'!B253="","",IF(MID('Raw Orders'!B253,5,1)="-",DATE(VALUE(LEFT('Raw Orders'!B253,4)),VALUE(MID('Raw Orders'!B253,6,2)),VALUE(MID('Raw Orders'!B253,9,2))),DATE(VALUE(MID('Raw Orders'!B253,7,4)),VALUE(MID('Raw Orders'!B253,4,2)),VALUE(LEFT('Raw Orders'!B253,2)))))</f>
        <v>46160</v>
      </c>
      <c r="B256" s="36" t="n">
        <f aca="false">IF(A256="","",A256-WEEKDAY(A256,3))</f>
        <v>46160</v>
      </c>
      <c r="C256" s="32" t="n">
        <f aca="false">IF(OR('Raw Orders'!C253&lt;&gt;"Product",'Raw Orders'!K253="Cancelled"),0,'Raw Orders'!G253)</f>
        <v>0</v>
      </c>
      <c r="D256" s="31" t="n">
        <f aca="false">IF(AND('Raw Orders'!C253="Product",'Raw Orders'!K253="Fulfilled",COUNTIFS('Raw Orders'!$A$2:$A253,'Raw Orders'!A253,'Raw Orders'!$C$2:$C253,"Product",'Raw Orders'!$K$2:$K253,"Fulfilled")=1),1,0)</f>
        <v>0</v>
      </c>
      <c r="E256" s="31" t="n">
        <f aca="false">IF(AND('Raw Orders'!C253="Product",'Raw Orders'!K253="Fulfilled"),'Raw Orders'!E253,0)</f>
        <v>0</v>
      </c>
      <c r="F256" s="32" t="n">
        <f aca="false">IF('Raw Orders'!K253="Refunded",'Raw Orders'!G253,0)</f>
        <v>0</v>
      </c>
    </row>
    <row r="257" customFormat="false" ht="15" hidden="false" customHeight="false" outlineLevel="0" collapsed="false">
      <c r="A257" s="36" t="n">
        <f aca="false">IF('Raw Orders'!B254="","",IF(MID('Raw Orders'!B254,5,1)="-",DATE(VALUE(LEFT('Raw Orders'!B254,4)),VALUE(MID('Raw Orders'!B254,6,2)),VALUE(MID('Raw Orders'!B254,9,2))),DATE(VALUE(MID('Raw Orders'!B254,7,4)),VALUE(MID('Raw Orders'!B254,4,2)),VALUE(LEFT('Raw Orders'!B254,2)))))</f>
        <v>46160</v>
      </c>
      <c r="B257" s="36" t="n">
        <f aca="false">IF(A257="","",A257-WEEKDAY(A257,3))</f>
        <v>46160</v>
      </c>
      <c r="C257" s="32" t="n">
        <f aca="false">IF(OR('Raw Orders'!C254&lt;&gt;"Product",'Raw Orders'!K254="Cancelled"),0,'Raw Orders'!G254)</f>
        <v>138</v>
      </c>
      <c r="D257" s="31" t="n">
        <f aca="false">IF(AND('Raw Orders'!C254="Product",'Raw Orders'!K254="Fulfilled",COUNTIFS('Raw Orders'!$A$2:$A254,'Raw Orders'!A254,'Raw Orders'!$C$2:$C254,"Product",'Raw Orders'!$K$2:$K254,"Fulfilled")=1),1,0)</f>
        <v>1</v>
      </c>
      <c r="E257" s="31" t="n">
        <f aca="false">IF(AND('Raw Orders'!C254="Product",'Raw Orders'!K254="Fulfilled"),'Raw Orders'!E254,0)</f>
        <v>2</v>
      </c>
      <c r="F257" s="32" t="n">
        <f aca="false">IF('Raw Orders'!K254="Refunded",'Raw Orders'!G254,0)</f>
        <v>0</v>
      </c>
    </row>
    <row r="258" customFormat="false" ht="15" hidden="false" customHeight="false" outlineLevel="0" collapsed="false">
      <c r="A258" s="36" t="n">
        <f aca="false">IF('Raw Orders'!B255="","",IF(MID('Raw Orders'!B255,5,1)="-",DATE(VALUE(LEFT('Raw Orders'!B255,4)),VALUE(MID('Raw Orders'!B255,6,2)),VALUE(MID('Raw Orders'!B255,9,2))),DATE(VALUE(MID('Raw Orders'!B255,7,4)),VALUE(MID('Raw Orders'!B255,4,2)),VALUE(LEFT('Raw Orders'!B255,2)))))</f>
        <v>46160</v>
      </c>
      <c r="B258" s="36" t="n">
        <f aca="false">IF(A258="","",A258-WEEKDAY(A258,3))</f>
        <v>46160</v>
      </c>
      <c r="C258" s="32" t="n">
        <f aca="false">IF(OR('Raw Orders'!C255&lt;&gt;"Product",'Raw Orders'!K255="Cancelled"),0,'Raw Orders'!G255)</f>
        <v>135</v>
      </c>
      <c r="D258" s="31" t="n">
        <f aca="false">IF(AND('Raw Orders'!C255="Product",'Raw Orders'!K255="Fulfilled",COUNTIFS('Raw Orders'!$A$2:$A255,'Raw Orders'!A255,'Raw Orders'!$C$2:$C255,"Product",'Raw Orders'!$K$2:$K255,"Fulfilled")=1),1,0)</f>
        <v>0</v>
      </c>
      <c r="E258" s="31" t="n">
        <f aca="false">IF(AND('Raw Orders'!C255="Product",'Raw Orders'!K255="Fulfilled"),'Raw Orders'!E255,0)</f>
        <v>3</v>
      </c>
      <c r="F258" s="32" t="n">
        <f aca="false">IF('Raw Orders'!K255="Refunded",'Raw Orders'!G255,0)</f>
        <v>0</v>
      </c>
    </row>
    <row r="259" customFormat="false" ht="15" hidden="false" customHeight="false" outlineLevel="0" collapsed="false">
      <c r="A259" s="36" t="n">
        <f aca="false">IF('Raw Orders'!B256="","",IF(MID('Raw Orders'!B256,5,1)="-",DATE(VALUE(LEFT('Raw Orders'!B256,4)),VALUE(MID('Raw Orders'!B256,6,2)),VALUE(MID('Raw Orders'!B256,9,2))),DATE(VALUE(MID('Raw Orders'!B256,7,4)),VALUE(MID('Raw Orders'!B256,4,2)),VALUE(LEFT('Raw Orders'!B256,2)))))</f>
        <v>46160</v>
      </c>
      <c r="B259" s="36" t="n">
        <f aca="false">IF(A259="","",A259-WEEKDAY(A259,3))</f>
        <v>46160</v>
      </c>
      <c r="C259" s="32" t="n">
        <f aca="false">IF(OR('Raw Orders'!C256&lt;&gt;"Product",'Raw Orders'!K256="Cancelled"),0,'Raw Orders'!G256)</f>
        <v>0</v>
      </c>
      <c r="D259" s="31" t="n">
        <f aca="false">IF(AND('Raw Orders'!C256="Product",'Raw Orders'!K256="Fulfilled",COUNTIFS('Raw Orders'!$A$2:$A256,'Raw Orders'!A256,'Raw Orders'!$C$2:$C256,"Product",'Raw Orders'!$K$2:$K256,"Fulfilled")=1),1,0)</f>
        <v>0</v>
      </c>
      <c r="E259" s="31" t="n">
        <f aca="false">IF(AND('Raw Orders'!C256="Product",'Raw Orders'!K256="Fulfilled"),'Raw Orders'!E256,0)</f>
        <v>0</v>
      </c>
      <c r="F259" s="32" t="n">
        <f aca="false">IF('Raw Orders'!K256="Refunded",'Raw Orders'!G256,0)</f>
        <v>0</v>
      </c>
    </row>
    <row r="260" customFormat="false" ht="15" hidden="false" customHeight="false" outlineLevel="0" collapsed="false">
      <c r="A260" s="36" t="n">
        <f aca="false">IF('Raw Orders'!B257="","",IF(MID('Raw Orders'!B257,5,1)="-",DATE(VALUE(LEFT('Raw Orders'!B257,4)),VALUE(MID('Raw Orders'!B257,6,2)),VALUE(MID('Raw Orders'!B257,9,2))),DATE(VALUE(MID('Raw Orders'!B257,7,4)),VALUE(MID('Raw Orders'!B257,4,2)),VALUE(LEFT('Raw Orders'!B257,2)))))</f>
        <v>46160</v>
      </c>
      <c r="B260" s="36" t="n">
        <f aca="false">IF(A260="","",A260-WEEKDAY(A260,3))</f>
        <v>46160</v>
      </c>
      <c r="C260" s="32" t="n">
        <f aca="false">IF(OR('Raw Orders'!C257&lt;&gt;"Product",'Raw Orders'!K257="Cancelled"),0,'Raw Orders'!G257)</f>
        <v>-69</v>
      </c>
      <c r="D260" s="31" t="n">
        <f aca="false">IF(AND('Raw Orders'!C257="Product",'Raw Orders'!K257="Fulfilled",COUNTIFS('Raw Orders'!$A$2:$A257,'Raw Orders'!A257,'Raw Orders'!$C$2:$C257,"Product",'Raw Orders'!$K$2:$K257,"Fulfilled")=1),1,0)</f>
        <v>0</v>
      </c>
      <c r="E260" s="31" t="n">
        <f aca="false">IF(AND('Raw Orders'!C257="Product",'Raw Orders'!K257="Fulfilled"),'Raw Orders'!E257,0)</f>
        <v>0</v>
      </c>
      <c r="F260" s="32" t="n">
        <f aca="false">IF('Raw Orders'!K257="Refunded",'Raw Orders'!G257,0)</f>
        <v>-69</v>
      </c>
    </row>
    <row r="261" customFormat="false" ht="15" hidden="false" customHeight="false" outlineLevel="0" collapsed="false">
      <c r="A261" s="36" t="n">
        <f aca="false">IF('Raw Orders'!B258="","",IF(MID('Raw Orders'!B258,5,1)="-",DATE(VALUE(LEFT('Raw Orders'!B258,4)),VALUE(MID('Raw Orders'!B258,6,2)),VALUE(MID('Raw Orders'!B258,9,2))),DATE(VALUE(MID('Raw Orders'!B258,7,4)),VALUE(MID('Raw Orders'!B258,4,2)),VALUE(LEFT('Raw Orders'!B258,2)))))</f>
        <v>46160</v>
      </c>
      <c r="B261" s="36" t="n">
        <f aca="false">IF(A261="","",A261-WEEKDAY(A261,3))</f>
        <v>46160</v>
      </c>
      <c r="C261" s="32" t="n">
        <f aca="false">IF(OR('Raw Orders'!C258&lt;&gt;"Product",'Raw Orders'!K258="Cancelled"),0,'Raw Orders'!G258)</f>
        <v>45</v>
      </c>
      <c r="D261" s="31" t="n">
        <f aca="false">IF(AND('Raw Orders'!C258="Product",'Raw Orders'!K258="Fulfilled",COUNTIFS('Raw Orders'!$A$2:$A258,'Raw Orders'!A258,'Raw Orders'!$C$2:$C258,"Product",'Raw Orders'!$K$2:$K258,"Fulfilled")=1),1,0)</f>
        <v>1</v>
      </c>
      <c r="E261" s="31" t="n">
        <f aca="false">IF(AND('Raw Orders'!C258="Product",'Raw Orders'!K258="Fulfilled"),'Raw Orders'!E258,0)</f>
        <v>1</v>
      </c>
      <c r="F261" s="32" t="n">
        <f aca="false">IF('Raw Orders'!K258="Refunded",'Raw Orders'!G258,0)</f>
        <v>0</v>
      </c>
    </row>
    <row r="262" customFormat="false" ht="15" hidden="false" customHeight="false" outlineLevel="0" collapsed="false">
      <c r="A262" s="36" t="n">
        <f aca="false">IF('Raw Orders'!B259="","",IF(MID('Raw Orders'!B259,5,1)="-",DATE(VALUE(LEFT('Raw Orders'!B259,4)),VALUE(MID('Raw Orders'!B259,6,2)),VALUE(MID('Raw Orders'!B259,9,2))),DATE(VALUE(MID('Raw Orders'!B259,7,4)),VALUE(MID('Raw Orders'!B259,4,2)),VALUE(LEFT('Raw Orders'!B259,2)))))</f>
        <v>46160</v>
      </c>
      <c r="B262" s="36" t="n">
        <f aca="false">IF(A262="","",A262-WEEKDAY(A262,3))</f>
        <v>46160</v>
      </c>
      <c r="C262" s="32" t="n">
        <f aca="false">IF(OR('Raw Orders'!C259&lt;&gt;"Product",'Raw Orders'!K259="Cancelled"),0,'Raw Orders'!G259)</f>
        <v>0</v>
      </c>
      <c r="D262" s="31" t="n">
        <f aca="false">IF(AND('Raw Orders'!C259="Product",'Raw Orders'!K259="Fulfilled",COUNTIFS('Raw Orders'!$A$2:$A259,'Raw Orders'!A259,'Raw Orders'!$C$2:$C259,"Product",'Raw Orders'!$K$2:$K259,"Fulfilled")=1),1,0)</f>
        <v>0</v>
      </c>
      <c r="E262" s="31" t="n">
        <f aca="false">IF(AND('Raw Orders'!C259="Product",'Raw Orders'!K259="Fulfilled"),'Raw Orders'!E259,0)</f>
        <v>0</v>
      </c>
      <c r="F262" s="32" t="n">
        <f aca="false">IF('Raw Orders'!K259="Refunded",'Raw Orders'!G259,0)</f>
        <v>0</v>
      </c>
    </row>
    <row r="263" customFormat="false" ht="15" hidden="false" customHeight="false" outlineLevel="0" collapsed="false">
      <c r="A263" s="36" t="n">
        <f aca="false">IF('Raw Orders'!B260="","",IF(MID('Raw Orders'!B260,5,1)="-",DATE(VALUE(LEFT('Raw Orders'!B260,4)),VALUE(MID('Raw Orders'!B260,6,2)),VALUE(MID('Raw Orders'!B260,9,2))),DATE(VALUE(MID('Raw Orders'!B260,7,4)),VALUE(MID('Raw Orders'!B260,4,2)),VALUE(LEFT('Raw Orders'!B260,2)))))</f>
        <v>46160</v>
      </c>
      <c r="B263" s="36" t="n">
        <f aca="false">IF(A263="","",A263-WEEKDAY(A263,3))</f>
        <v>46160</v>
      </c>
      <c r="C263" s="32" t="n">
        <f aca="false">IF(OR('Raw Orders'!C260&lt;&gt;"Product",'Raw Orders'!K260="Cancelled"),0,'Raw Orders'!G260)</f>
        <v>14</v>
      </c>
      <c r="D263" s="31" t="n">
        <f aca="false">IF(AND('Raw Orders'!C260="Product",'Raw Orders'!K260="Fulfilled",COUNTIFS('Raw Orders'!$A$2:$A260,'Raw Orders'!A260,'Raw Orders'!$C$2:$C260,"Product",'Raw Orders'!$K$2:$K260,"Fulfilled")=1),1,0)</f>
        <v>0</v>
      </c>
      <c r="E263" s="31" t="n">
        <f aca="false">IF(AND('Raw Orders'!C260="Product",'Raw Orders'!K260="Fulfilled"),'Raw Orders'!E260,0)</f>
        <v>1</v>
      </c>
      <c r="F263" s="32" t="n">
        <f aca="false">IF('Raw Orders'!K260="Refunded",'Raw Orders'!G260,0)</f>
        <v>0</v>
      </c>
    </row>
    <row r="264" customFormat="false" ht="15" hidden="false" customHeight="false" outlineLevel="0" collapsed="false">
      <c r="A264" s="36" t="n">
        <f aca="false">IF('Raw Orders'!B261="","",IF(MID('Raw Orders'!B261,5,1)="-",DATE(VALUE(LEFT('Raw Orders'!B261,4)),VALUE(MID('Raw Orders'!B261,6,2)),VALUE(MID('Raw Orders'!B261,9,2))),DATE(VALUE(MID('Raw Orders'!B261,7,4)),VALUE(MID('Raw Orders'!B261,4,2)),VALUE(LEFT('Raw Orders'!B261,2)))))</f>
        <v>46160</v>
      </c>
      <c r="B264" s="36" t="n">
        <f aca="false">IF(A264="","",A264-WEEKDAY(A264,3))</f>
        <v>46160</v>
      </c>
      <c r="C264" s="32" t="n">
        <f aca="false">IF(OR('Raw Orders'!C261&lt;&gt;"Product",'Raw Orders'!K261="Cancelled"),0,'Raw Orders'!G261)</f>
        <v>32</v>
      </c>
      <c r="D264" s="31" t="n">
        <f aca="false">IF(AND('Raw Orders'!C261="Product",'Raw Orders'!K261="Fulfilled",COUNTIFS('Raw Orders'!$A$2:$A261,'Raw Orders'!A261,'Raw Orders'!$C$2:$C261,"Product",'Raw Orders'!$K$2:$K261,"Fulfilled")=1),1,0)</f>
        <v>0</v>
      </c>
      <c r="E264" s="31" t="n">
        <f aca="false">IF(AND('Raw Orders'!C261="Product",'Raw Orders'!K261="Fulfilled"),'Raw Orders'!E261,0)</f>
        <v>1</v>
      </c>
      <c r="F264" s="32" t="n">
        <f aca="false">IF('Raw Orders'!K261="Refunded",'Raw Orders'!G261,0)</f>
        <v>0</v>
      </c>
    </row>
    <row r="265" customFormat="false" ht="15" hidden="false" customHeight="false" outlineLevel="0" collapsed="false">
      <c r="A265" s="36" t="n">
        <f aca="false">IF('Raw Orders'!B262="","",IF(MID('Raw Orders'!B262,5,1)="-",DATE(VALUE(LEFT('Raw Orders'!B262,4)),VALUE(MID('Raw Orders'!B262,6,2)),VALUE(MID('Raw Orders'!B262,9,2))),DATE(VALUE(MID('Raw Orders'!B262,7,4)),VALUE(MID('Raw Orders'!B262,4,2)),VALUE(LEFT('Raw Orders'!B262,2)))))</f>
        <v>46160</v>
      </c>
      <c r="B265" s="36" t="n">
        <f aca="false">IF(A265="","",A265-WEEKDAY(A265,3))</f>
        <v>46160</v>
      </c>
      <c r="C265" s="32" t="n">
        <f aca="false">IF(OR('Raw Orders'!C262&lt;&gt;"Product",'Raw Orders'!K262="Cancelled"),0,'Raw Orders'!G262)</f>
        <v>0</v>
      </c>
      <c r="D265" s="31" t="n">
        <f aca="false">IF(AND('Raw Orders'!C262="Product",'Raw Orders'!K262="Fulfilled",COUNTIFS('Raw Orders'!$A$2:$A262,'Raw Orders'!A262,'Raw Orders'!$C$2:$C262,"Product",'Raw Orders'!$K$2:$K262,"Fulfilled")=1),1,0)</f>
        <v>0</v>
      </c>
      <c r="E265" s="31" t="n">
        <f aca="false">IF(AND('Raw Orders'!C262="Product",'Raw Orders'!K262="Fulfilled"),'Raw Orders'!E262,0)</f>
        <v>0</v>
      </c>
      <c r="F265" s="32" t="n">
        <f aca="false">IF('Raw Orders'!K262="Refunded",'Raw Orders'!G262,0)</f>
        <v>0</v>
      </c>
    </row>
    <row r="266" customFormat="false" ht="15" hidden="false" customHeight="false" outlineLevel="0" collapsed="false">
      <c r="A266" s="36" t="n">
        <f aca="false">IF('Raw Orders'!B263="","",IF(MID('Raw Orders'!B263,5,1)="-",DATE(VALUE(LEFT('Raw Orders'!B263,4)),VALUE(MID('Raw Orders'!B263,6,2)),VALUE(MID('Raw Orders'!B263,9,2))),DATE(VALUE(MID('Raw Orders'!B263,7,4)),VALUE(MID('Raw Orders'!B263,4,2)),VALUE(LEFT('Raw Orders'!B263,2)))))</f>
        <v>46160</v>
      </c>
      <c r="B266" s="36" t="n">
        <f aca="false">IF(A266="","",A266-WEEKDAY(A266,3))</f>
        <v>46160</v>
      </c>
      <c r="C266" s="32" t="n">
        <f aca="false">IF(OR('Raw Orders'!C263&lt;&gt;"Product",'Raw Orders'!K263="Cancelled"),0,'Raw Orders'!G263)</f>
        <v>32</v>
      </c>
      <c r="D266" s="31" t="n">
        <f aca="false">IF(AND('Raw Orders'!C263="Product",'Raw Orders'!K263="Fulfilled",COUNTIFS('Raw Orders'!$A$2:$A263,'Raw Orders'!A263,'Raw Orders'!$C$2:$C263,"Product",'Raw Orders'!$K$2:$K263,"Fulfilled")=1),1,0)</f>
        <v>1</v>
      </c>
      <c r="E266" s="31" t="n">
        <f aca="false">IF(AND('Raw Orders'!C263="Product",'Raw Orders'!K263="Fulfilled"),'Raw Orders'!E263,0)</f>
        <v>1</v>
      </c>
      <c r="F266" s="32" t="n">
        <f aca="false">IF('Raw Orders'!K263="Refunded",'Raw Orders'!G263,0)</f>
        <v>0</v>
      </c>
    </row>
    <row r="267" customFormat="false" ht="15" hidden="false" customHeight="false" outlineLevel="0" collapsed="false">
      <c r="A267" s="36" t="n">
        <f aca="false">IF('Raw Orders'!B264="","",IF(MID('Raw Orders'!B264,5,1)="-",DATE(VALUE(LEFT('Raw Orders'!B264,4)),VALUE(MID('Raw Orders'!B264,6,2)),VALUE(MID('Raw Orders'!B264,9,2))),DATE(VALUE(MID('Raw Orders'!B264,7,4)),VALUE(MID('Raw Orders'!B264,4,2)),VALUE(LEFT('Raw Orders'!B264,2)))))</f>
        <v>46160</v>
      </c>
      <c r="B267" s="36" t="n">
        <f aca="false">IF(A267="","",A267-WEEKDAY(A267,3))</f>
        <v>46160</v>
      </c>
      <c r="C267" s="32" t="n">
        <f aca="false">IF(OR('Raw Orders'!C264&lt;&gt;"Product",'Raw Orders'!K264="Cancelled"),0,'Raw Orders'!G264)</f>
        <v>89</v>
      </c>
      <c r="D267" s="31" t="n">
        <f aca="false">IF(AND('Raw Orders'!C264="Product",'Raw Orders'!K264="Fulfilled",COUNTIFS('Raw Orders'!$A$2:$A264,'Raw Orders'!A264,'Raw Orders'!$C$2:$C264,"Product",'Raw Orders'!$K$2:$K264,"Fulfilled")=1),1,0)</f>
        <v>1</v>
      </c>
      <c r="E267" s="31" t="n">
        <f aca="false">IF(AND('Raw Orders'!C264="Product",'Raw Orders'!K264="Fulfilled"),'Raw Orders'!E264,0)</f>
        <v>1</v>
      </c>
      <c r="F267" s="32" t="n">
        <f aca="false">IF('Raw Orders'!K264="Refunded",'Raw Orders'!G264,0)</f>
        <v>0</v>
      </c>
    </row>
    <row r="268" customFormat="false" ht="15" hidden="false" customHeight="false" outlineLevel="0" collapsed="false">
      <c r="A268" s="36" t="n">
        <f aca="false">IF('Raw Orders'!B265="","",IF(MID('Raw Orders'!B265,5,1)="-",DATE(VALUE(LEFT('Raw Orders'!B265,4)),VALUE(MID('Raw Orders'!B265,6,2)),VALUE(MID('Raw Orders'!B265,9,2))),DATE(VALUE(MID('Raw Orders'!B265,7,4)),VALUE(MID('Raw Orders'!B265,4,2)),VALUE(LEFT('Raw Orders'!B265,2)))))</f>
        <v>46161</v>
      </c>
      <c r="B268" s="36" t="n">
        <f aca="false">IF(A268="","",A268-WEEKDAY(A268,3))</f>
        <v>46160</v>
      </c>
      <c r="C268" s="32" t="n">
        <f aca="false">IF(OR('Raw Orders'!C265&lt;&gt;"Product",'Raw Orders'!K265="Cancelled"),0,'Raw Orders'!G265)</f>
        <v>0</v>
      </c>
      <c r="D268" s="31" t="n">
        <f aca="false">IF(AND('Raw Orders'!C265="Product",'Raw Orders'!K265="Fulfilled",COUNTIFS('Raw Orders'!$A$2:$A265,'Raw Orders'!A265,'Raw Orders'!$C$2:$C265,"Product",'Raw Orders'!$K$2:$K265,"Fulfilled")=1),1,0)</f>
        <v>0</v>
      </c>
      <c r="E268" s="31" t="n">
        <f aca="false">IF(AND('Raw Orders'!C265="Product",'Raw Orders'!K265="Fulfilled"),'Raw Orders'!E265,0)</f>
        <v>0</v>
      </c>
      <c r="F268" s="32" t="n">
        <f aca="false">IF('Raw Orders'!K265="Refunded",'Raw Orders'!G265,0)</f>
        <v>0</v>
      </c>
    </row>
    <row r="269" customFormat="false" ht="15" hidden="false" customHeight="false" outlineLevel="0" collapsed="false">
      <c r="A269" s="36" t="n">
        <f aca="false">IF('Raw Orders'!B266="","",IF(MID('Raw Orders'!B266,5,1)="-",DATE(VALUE(LEFT('Raw Orders'!B266,4)),VALUE(MID('Raw Orders'!B266,6,2)),VALUE(MID('Raw Orders'!B266,9,2))),DATE(VALUE(MID('Raw Orders'!B266,7,4)),VALUE(MID('Raw Orders'!B266,4,2)),VALUE(LEFT('Raw Orders'!B266,2)))))</f>
        <v>46161</v>
      </c>
      <c r="B269" s="36" t="n">
        <f aca="false">IF(A269="","",A269-WEEKDAY(A269,3))</f>
        <v>46160</v>
      </c>
      <c r="C269" s="32" t="n">
        <f aca="false">IF(OR('Raw Orders'!C266&lt;&gt;"Product",'Raw Orders'!K266="Cancelled"),0,'Raw Orders'!G266)</f>
        <v>44</v>
      </c>
      <c r="D269" s="31" t="n">
        <f aca="false">IF(AND('Raw Orders'!C266="Product",'Raw Orders'!K266="Fulfilled",COUNTIFS('Raw Orders'!$A$2:$A266,'Raw Orders'!A266,'Raw Orders'!$C$2:$C266,"Product",'Raw Orders'!$K$2:$K266,"Fulfilled")=1),1,0)</f>
        <v>1</v>
      </c>
      <c r="E269" s="31" t="n">
        <f aca="false">IF(AND('Raw Orders'!C266="Product",'Raw Orders'!K266="Fulfilled"),'Raw Orders'!E266,0)</f>
        <v>2</v>
      </c>
      <c r="F269" s="32" t="n">
        <f aca="false">IF('Raw Orders'!K266="Refunded",'Raw Orders'!G266,0)</f>
        <v>0</v>
      </c>
    </row>
    <row r="270" customFormat="false" ht="15" hidden="false" customHeight="false" outlineLevel="0" collapsed="false">
      <c r="A270" s="36" t="n">
        <f aca="false">IF('Raw Orders'!B267="","",IF(MID('Raw Orders'!B267,5,1)="-",DATE(VALUE(LEFT('Raw Orders'!B267,4)),VALUE(MID('Raw Orders'!B267,6,2)),VALUE(MID('Raw Orders'!B267,9,2))),DATE(VALUE(MID('Raw Orders'!B267,7,4)),VALUE(MID('Raw Orders'!B267,4,2)),VALUE(LEFT('Raw Orders'!B267,2)))))</f>
        <v>46161</v>
      </c>
      <c r="B270" s="36" t="n">
        <f aca="false">IF(A270="","",A270-WEEKDAY(A270,3))</f>
        <v>46160</v>
      </c>
      <c r="C270" s="32" t="n">
        <f aca="false">IF(OR('Raw Orders'!C267&lt;&gt;"Product",'Raw Orders'!K267="Cancelled"),0,'Raw Orders'!G267)</f>
        <v>45</v>
      </c>
      <c r="D270" s="31" t="n">
        <f aca="false">IF(AND('Raw Orders'!C267="Product",'Raw Orders'!K267="Fulfilled",COUNTIFS('Raw Orders'!$A$2:$A267,'Raw Orders'!A267,'Raw Orders'!$C$2:$C267,"Product",'Raw Orders'!$K$2:$K267,"Fulfilled")=1),1,0)</f>
        <v>1</v>
      </c>
      <c r="E270" s="31" t="n">
        <f aca="false">IF(AND('Raw Orders'!C267="Product",'Raw Orders'!K267="Fulfilled"),'Raw Orders'!E267,0)</f>
        <v>1</v>
      </c>
      <c r="F270" s="32" t="n">
        <f aca="false">IF('Raw Orders'!K267="Refunded",'Raw Orders'!G267,0)</f>
        <v>0</v>
      </c>
    </row>
    <row r="271" customFormat="false" ht="15" hidden="false" customHeight="false" outlineLevel="0" collapsed="false">
      <c r="A271" s="36" t="n">
        <f aca="false">IF('Raw Orders'!B268="","",IF(MID('Raw Orders'!B268,5,1)="-",DATE(VALUE(LEFT('Raw Orders'!B268,4)),VALUE(MID('Raw Orders'!B268,6,2)),VALUE(MID('Raw Orders'!B268,9,2))),DATE(VALUE(MID('Raw Orders'!B268,7,4)),VALUE(MID('Raw Orders'!B268,4,2)),VALUE(LEFT('Raw Orders'!B268,2)))))</f>
        <v>46161</v>
      </c>
      <c r="B271" s="36" t="n">
        <f aca="false">IF(A271="","",A271-WEEKDAY(A271,3))</f>
        <v>46160</v>
      </c>
      <c r="C271" s="32" t="n">
        <f aca="false">IF(OR('Raw Orders'!C268&lt;&gt;"Product",'Raw Orders'!K268="Cancelled"),0,'Raw Orders'!G268)</f>
        <v>58</v>
      </c>
      <c r="D271" s="31" t="n">
        <f aca="false">IF(AND('Raw Orders'!C268="Product",'Raw Orders'!K268="Fulfilled",COUNTIFS('Raw Orders'!$A$2:$A268,'Raw Orders'!A268,'Raw Orders'!$C$2:$C268,"Product",'Raw Orders'!$K$2:$K268,"Fulfilled")=1),1,0)</f>
        <v>0</v>
      </c>
      <c r="E271" s="31" t="n">
        <f aca="false">IF(AND('Raw Orders'!C268="Product",'Raw Orders'!K268="Fulfilled"),'Raw Orders'!E268,0)</f>
        <v>2</v>
      </c>
      <c r="F271" s="32" t="n">
        <f aca="false">IF('Raw Orders'!K268="Refunded",'Raw Orders'!G268,0)</f>
        <v>0</v>
      </c>
    </row>
    <row r="272" customFormat="false" ht="15" hidden="false" customHeight="false" outlineLevel="0" collapsed="false">
      <c r="A272" s="36" t="n">
        <f aca="false">IF('Raw Orders'!B269="","",IF(MID('Raw Orders'!B269,5,1)="-",DATE(VALUE(LEFT('Raw Orders'!B269,4)),VALUE(MID('Raw Orders'!B269,6,2)),VALUE(MID('Raw Orders'!B269,9,2))),DATE(VALUE(MID('Raw Orders'!B269,7,4)),VALUE(MID('Raw Orders'!B269,4,2)),VALUE(LEFT('Raw Orders'!B269,2)))))</f>
        <v>46161</v>
      </c>
      <c r="B272" s="36" t="n">
        <f aca="false">IF(A272="","",A272-WEEKDAY(A272,3))</f>
        <v>46160</v>
      </c>
      <c r="C272" s="32" t="n">
        <f aca="false">IF(OR('Raw Orders'!C269&lt;&gt;"Product",'Raw Orders'!K269="Cancelled"),0,'Raw Orders'!G269)</f>
        <v>63</v>
      </c>
      <c r="D272" s="31" t="n">
        <f aca="false">IF(AND('Raw Orders'!C269="Product",'Raw Orders'!K269="Fulfilled",COUNTIFS('Raw Orders'!$A$2:$A269,'Raw Orders'!A269,'Raw Orders'!$C$2:$C269,"Product",'Raw Orders'!$K$2:$K269,"Fulfilled")=1),1,0)</f>
        <v>1</v>
      </c>
      <c r="E272" s="31" t="n">
        <f aca="false">IF(AND('Raw Orders'!C269="Product",'Raw Orders'!K269="Fulfilled"),'Raw Orders'!E269,0)</f>
        <v>2</v>
      </c>
      <c r="F272" s="32" t="n">
        <f aca="false">IF('Raw Orders'!K269="Refunded",'Raw Orders'!G269,0)</f>
        <v>0</v>
      </c>
    </row>
    <row r="273" customFormat="false" ht="15" hidden="false" customHeight="false" outlineLevel="0" collapsed="false">
      <c r="A273" s="36" t="n">
        <f aca="false">IF('Raw Orders'!B270="","",IF(MID('Raw Orders'!B270,5,1)="-",DATE(VALUE(LEFT('Raw Orders'!B270,4)),VALUE(MID('Raw Orders'!B270,6,2)),VALUE(MID('Raw Orders'!B270,9,2))),DATE(VALUE(MID('Raw Orders'!B270,7,4)),VALUE(MID('Raw Orders'!B270,4,2)),VALUE(LEFT('Raw Orders'!B270,2)))))</f>
        <v>46161</v>
      </c>
      <c r="B273" s="36" t="n">
        <f aca="false">IF(A273="","",A273-WEEKDAY(A273,3))</f>
        <v>46160</v>
      </c>
      <c r="C273" s="32" t="n">
        <f aca="false">IF(OR('Raw Orders'!C270&lt;&gt;"Product",'Raw Orders'!K270="Cancelled"),0,'Raw Orders'!G270)</f>
        <v>0</v>
      </c>
      <c r="D273" s="31" t="n">
        <f aca="false">IF(AND('Raw Orders'!C270="Product",'Raw Orders'!K270="Fulfilled",COUNTIFS('Raw Orders'!$A$2:$A270,'Raw Orders'!A270,'Raw Orders'!$C$2:$C270,"Product",'Raw Orders'!$K$2:$K270,"Fulfilled")=1),1,0)</f>
        <v>0</v>
      </c>
      <c r="E273" s="31" t="n">
        <f aca="false">IF(AND('Raw Orders'!C270="Product",'Raw Orders'!K270="Fulfilled"),'Raw Orders'!E270,0)</f>
        <v>0</v>
      </c>
      <c r="F273" s="32" t="n">
        <f aca="false">IF('Raw Orders'!K270="Refunded",'Raw Orders'!G270,0)</f>
        <v>0</v>
      </c>
    </row>
    <row r="274" customFormat="false" ht="15" hidden="false" customHeight="false" outlineLevel="0" collapsed="false">
      <c r="A274" s="36" t="n">
        <f aca="false">IF('Raw Orders'!B271="","",IF(MID('Raw Orders'!B271,5,1)="-",DATE(VALUE(LEFT('Raw Orders'!B271,4)),VALUE(MID('Raw Orders'!B271,6,2)),VALUE(MID('Raw Orders'!B271,9,2))),DATE(VALUE(MID('Raw Orders'!B271,7,4)),VALUE(MID('Raw Orders'!B271,4,2)),VALUE(LEFT('Raw Orders'!B271,2)))))</f>
        <v>46161</v>
      </c>
      <c r="B274" s="36" t="n">
        <f aca="false">IF(A274="","",A274-WEEKDAY(A274,3))</f>
        <v>46160</v>
      </c>
      <c r="C274" s="32" t="n">
        <f aca="false">IF(OR('Raw Orders'!C271&lt;&gt;"Product",'Raw Orders'!K271="Cancelled"),0,'Raw Orders'!G271)</f>
        <v>90</v>
      </c>
      <c r="D274" s="31" t="n">
        <f aca="false">IF(AND('Raw Orders'!C271="Product",'Raw Orders'!K271="Fulfilled",COUNTIFS('Raw Orders'!$A$2:$A271,'Raw Orders'!A271,'Raw Orders'!$C$2:$C271,"Product",'Raw Orders'!$K$2:$K271,"Fulfilled")=1),1,0)</f>
        <v>1</v>
      </c>
      <c r="E274" s="31" t="n">
        <f aca="false">IF(AND('Raw Orders'!C271="Product",'Raw Orders'!K271="Fulfilled"),'Raw Orders'!E271,0)</f>
        <v>2</v>
      </c>
      <c r="F274" s="32" t="n">
        <f aca="false">IF('Raw Orders'!K271="Refunded",'Raw Orders'!G271,0)</f>
        <v>0</v>
      </c>
    </row>
    <row r="275" customFormat="false" ht="15" hidden="false" customHeight="false" outlineLevel="0" collapsed="false">
      <c r="A275" s="36" t="n">
        <f aca="false">IF('Raw Orders'!B272="","",IF(MID('Raw Orders'!B272,5,1)="-",DATE(VALUE(LEFT('Raw Orders'!B272,4)),VALUE(MID('Raw Orders'!B272,6,2)),VALUE(MID('Raw Orders'!B272,9,2))),DATE(VALUE(MID('Raw Orders'!B272,7,4)),VALUE(MID('Raw Orders'!B272,4,2)),VALUE(LEFT('Raw Orders'!B272,2)))))</f>
        <v>46161</v>
      </c>
      <c r="B275" s="36" t="n">
        <f aca="false">IF(A275="","",A275-WEEKDAY(A275,3))</f>
        <v>46160</v>
      </c>
      <c r="C275" s="32" t="n">
        <f aca="false">IF(OR('Raw Orders'!C272&lt;&gt;"Product",'Raw Orders'!K272="Cancelled"),0,'Raw Orders'!G272)</f>
        <v>69</v>
      </c>
      <c r="D275" s="31" t="n">
        <f aca="false">IF(AND('Raw Orders'!C272="Product",'Raw Orders'!K272="Fulfilled",COUNTIFS('Raw Orders'!$A$2:$A272,'Raw Orders'!A272,'Raw Orders'!$C$2:$C272,"Product",'Raw Orders'!$K$2:$K272,"Fulfilled")=1),1,0)</f>
        <v>0</v>
      </c>
      <c r="E275" s="31" t="n">
        <f aca="false">IF(AND('Raw Orders'!C272="Product",'Raw Orders'!K272="Fulfilled"),'Raw Orders'!E272,0)</f>
        <v>1</v>
      </c>
      <c r="F275" s="32" t="n">
        <f aca="false">IF('Raw Orders'!K272="Refunded",'Raw Orders'!G272,0)</f>
        <v>0</v>
      </c>
    </row>
    <row r="276" customFormat="false" ht="15" hidden="false" customHeight="false" outlineLevel="0" collapsed="false">
      <c r="A276" s="36" t="n">
        <f aca="false">IF('Raw Orders'!B273="","",IF(MID('Raw Orders'!B273,5,1)="-",DATE(VALUE(LEFT('Raw Orders'!B273,4)),VALUE(MID('Raw Orders'!B273,6,2)),VALUE(MID('Raw Orders'!B273,9,2))),DATE(VALUE(MID('Raw Orders'!B273,7,4)),VALUE(MID('Raw Orders'!B273,4,2)),VALUE(LEFT('Raw Orders'!B273,2)))))</f>
        <v>46161</v>
      </c>
      <c r="B276" s="36" t="n">
        <f aca="false">IF(A276="","",A276-WEEKDAY(A276,3))</f>
        <v>46160</v>
      </c>
      <c r="C276" s="32" t="n">
        <f aca="false">IF(OR('Raw Orders'!C273&lt;&gt;"Product",'Raw Orders'!K273="Cancelled"),0,'Raw Orders'!G273)</f>
        <v>0</v>
      </c>
      <c r="D276" s="31" t="n">
        <f aca="false">IF(AND('Raw Orders'!C273="Product",'Raw Orders'!K273="Fulfilled",COUNTIFS('Raw Orders'!$A$2:$A273,'Raw Orders'!A273,'Raw Orders'!$C$2:$C273,"Product",'Raw Orders'!$K$2:$K273,"Fulfilled")=1),1,0)</f>
        <v>0</v>
      </c>
      <c r="E276" s="31" t="n">
        <f aca="false">IF(AND('Raw Orders'!C273="Product",'Raw Orders'!K273="Fulfilled"),'Raw Orders'!E273,0)</f>
        <v>0</v>
      </c>
      <c r="F276" s="32" t="n">
        <f aca="false">IF('Raw Orders'!K273="Refunded",'Raw Orders'!G273,0)</f>
        <v>0</v>
      </c>
    </row>
    <row r="277" customFormat="false" ht="15" hidden="false" customHeight="false" outlineLevel="0" collapsed="false">
      <c r="A277" s="36" t="n">
        <f aca="false">IF('Raw Orders'!B274="","",IF(MID('Raw Orders'!B274,5,1)="-",DATE(VALUE(LEFT('Raw Orders'!B274,4)),VALUE(MID('Raw Orders'!B274,6,2)),VALUE(MID('Raw Orders'!B274,9,2))),DATE(VALUE(MID('Raw Orders'!B274,7,4)),VALUE(MID('Raw Orders'!B274,4,2)),VALUE(LEFT('Raw Orders'!B274,2)))))</f>
        <v>46161</v>
      </c>
      <c r="B277" s="36" t="n">
        <f aca="false">IF(A277="","",A277-WEEKDAY(A277,3))</f>
        <v>46160</v>
      </c>
      <c r="C277" s="32" t="n">
        <f aca="false">IF(OR('Raw Orders'!C274&lt;&gt;"Product",'Raw Orders'!K274="Cancelled"),0,'Raw Orders'!G274)</f>
        <v>39</v>
      </c>
      <c r="D277" s="31" t="n">
        <f aca="false">IF(AND('Raw Orders'!C274="Product",'Raw Orders'!K274="Fulfilled",COUNTIFS('Raw Orders'!$A$2:$A274,'Raw Orders'!A274,'Raw Orders'!$C$2:$C274,"Product",'Raw Orders'!$K$2:$K274,"Fulfilled")=1),1,0)</f>
        <v>1</v>
      </c>
      <c r="E277" s="31" t="n">
        <f aca="false">IF(AND('Raw Orders'!C274="Product",'Raw Orders'!K274="Fulfilled"),'Raw Orders'!E274,0)</f>
        <v>1</v>
      </c>
      <c r="F277" s="32" t="n">
        <f aca="false">IF('Raw Orders'!K274="Refunded",'Raw Orders'!G274,0)</f>
        <v>0</v>
      </c>
    </row>
    <row r="278" customFormat="false" ht="15" hidden="false" customHeight="false" outlineLevel="0" collapsed="false">
      <c r="A278" s="36" t="n">
        <f aca="false">IF('Raw Orders'!B275="","",IF(MID('Raw Orders'!B275,5,1)="-",DATE(VALUE(LEFT('Raw Orders'!B275,4)),VALUE(MID('Raw Orders'!B275,6,2)),VALUE(MID('Raw Orders'!B275,9,2))),DATE(VALUE(MID('Raw Orders'!B275,7,4)),VALUE(MID('Raw Orders'!B275,4,2)),VALUE(LEFT('Raw Orders'!B275,2)))))</f>
        <v>46161</v>
      </c>
      <c r="B278" s="36" t="n">
        <f aca="false">IF(A278="","",A278-WEEKDAY(A278,3))</f>
        <v>46160</v>
      </c>
      <c r="C278" s="32" t="n">
        <f aca="false">IF(OR('Raw Orders'!C275&lt;&gt;"Product",'Raw Orders'!K275="Cancelled"),0,'Raw Orders'!G275)</f>
        <v>39</v>
      </c>
      <c r="D278" s="31" t="n">
        <f aca="false">IF(AND('Raw Orders'!C275="Product",'Raw Orders'!K275="Fulfilled",COUNTIFS('Raw Orders'!$A$2:$A275,'Raw Orders'!A275,'Raw Orders'!$C$2:$C275,"Product",'Raw Orders'!$K$2:$K275,"Fulfilled")=1),1,0)</f>
        <v>1</v>
      </c>
      <c r="E278" s="31" t="n">
        <f aca="false">IF(AND('Raw Orders'!C275="Product",'Raw Orders'!K275="Fulfilled"),'Raw Orders'!E275,0)</f>
        <v>1</v>
      </c>
      <c r="F278" s="32" t="n">
        <f aca="false">IF('Raw Orders'!K275="Refunded",'Raw Orders'!G275,0)</f>
        <v>0</v>
      </c>
    </row>
    <row r="279" customFormat="false" ht="15" hidden="false" customHeight="false" outlineLevel="0" collapsed="false">
      <c r="A279" s="36" t="n">
        <f aca="false">IF('Raw Orders'!B276="","",IF(MID('Raw Orders'!B276,5,1)="-",DATE(VALUE(LEFT('Raw Orders'!B276,4)),VALUE(MID('Raw Orders'!B276,6,2)),VALUE(MID('Raw Orders'!B276,9,2))),DATE(VALUE(MID('Raw Orders'!B276,7,4)),VALUE(MID('Raw Orders'!B276,4,2)),VALUE(LEFT('Raw Orders'!B276,2)))))</f>
        <v>46161</v>
      </c>
      <c r="B279" s="36" t="n">
        <f aca="false">IF(A279="","",A279-WEEKDAY(A279,3))</f>
        <v>46160</v>
      </c>
      <c r="C279" s="32" t="n">
        <f aca="false">IF(OR('Raw Orders'!C276&lt;&gt;"Product",'Raw Orders'!K276="Cancelled"),0,'Raw Orders'!G276)</f>
        <v>28</v>
      </c>
      <c r="D279" s="31" t="n">
        <f aca="false">IF(AND('Raw Orders'!C276="Product",'Raw Orders'!K276="Fulfilled",COUNTIFS('Raw Orders'!$A$2:$A276,'Raw Orders'!A276,'Raw Orders'!$C$2:$C276,"Product",'Raw Orders'!$K$2:$K276,"Fulfilled")=1),1,0)</f>
        <v>0</v>
      </c>
      <c r="E279" s="31" t="n">
        <f aca="false">IF(AND('Raw Orders'!C276="Product",'Raw Orders'!K276="Fulfilled"),'Raw Orders'!E276,0)</f>
        <v>2</v>
      </c>
      <c r="F279" s="32" t="n">
        <f aca="false">IF('Raw Orders'!K276="Refunded",'Raw Orders'!G276,0)</f>
        <v>0</v>
      </c>
    </row>
    <row r="280" customFormat="false" ht="15" hidden="false" customHeight="false" outlineLevel="0" collapsed="false">
      <c r="A280" s="36" t="n">
        <f aca="false">IF('Raw Orders'!B277="","",IF(MID('Raw Orders'!B277,5,1)="-",DATE(VALUE(LEFT('Raw Orders'!B277,4)),VALUE(MID('Raw Orders'!B277,6,2)),VALUE(MID('Raw Orders'!B277,9,2))),DATE(VALUE(MID('Raw Orders'!B277,7,4)),VALUE(MID('Raw Orders'!B277,4,2)),VALUE(LEFT('Raw Orders'!B277,2)))))</f>
        <v>46161</v>
      </c>
      <c r="B280" s="36" t="n">
        <f aca="false">IF(A280="","",A280-WEEKDAY(A280,3))</f>
        <v>46160</v>
      </c>
      <c r="C280" s="32" t="n">
        <f aca="false">IF(OR('Raw Orders'!C277&lt;&gt;"Product",'Raw Orders'!K277="Cancelled"),0,'Raw Orders'!G277)</f>
        <v>0</v>
      </c>
      <c r="D280" s="31" t="n">
        <f aca="false">IF(AND('Raw Orders'!C277="Product",'Raw Orders'!K277="Fulfilled",COUNTIFS('Raw Orders'!$A$2:$A277,'Raw Orders'!A277,'Raw Orders'!$C$2:$C277,"Product",'Raw Orders'!$K$2:$K277,"Fulfilled")=1),1,0)</f>
        <v>0</v>
      </c>
      <c r="E280" s="31" t="n">
        <f aca="false">IF(AND('Raw Orders'!C277="Product",'Raw Orders'!K277="Fulfilled"),'Raw Orders'!E277,0)</f>
        <v>0</v>
      </c>
      <c r="F280" s="32" t="n">
        <f aca="false">IF('Raw Orders'!K277="Refunded",'Raw Orders'!G277,0)</f>
        <v>0</v>
      </c>
    </row>
    <row r="281" customFormat="false" ht="15" hidden="false" customHeight="false" outlineLevel="0" collapsed="false">
      <c r="A281" s="36" t="n">
        <f aca="false">IF('Raw Orders'!B278="","",IF(MID('Raw Orders'!B278,5,1)="-",DATE(VALUE(LEFT('Raw Orders'!B278,4)),VALUE(MID('Raw Orders'!B278,6,2)),VALUE(MID('Raw Orders'!B278,9,2))),DATE(VALUE(MID('Raw Orders'!B278,7,4)),VALUE(MID('Raw Orders'!B278,4,2)),VALUE(LEFT('Raw Orders'!B278,2)))))</f>
        <v>46161</v>
      </c>
      <c r="B281" s="36" t="n">
        <f aca="false">IF(A281="","",A281-WEEKDAY(A281,3))</f>
        <v>46160</v>
      </c>
      <c r="C281" s="32" t="n">
        <f aca="false">IF(OR('Raw Orders'!C278&lt;&gt;"Product",'Raw Orders'!K278="Cancelled"),0,'Raw Orders'!G278)</f>
        <v>0</v>
      </c>
      <c r="D281" s="31" t="n">
        <f aca="false">IF(AND('Raw Orders'!C278="Product",'Raw Orders'!K278="Fulfilled",COUNTIFS('Raw Orders'!$A$2:$A278,'Raw Orders'!A278,'Raw Orders'!$C$2:$C278,"Product",'Raw Orders'!$K$2:$K278,"Fulfilled")=1),1,0)</f>
        <v>0</v>
      </c>
      <c r="E281" s="31" t="n">
        <f aca="false">IF(AND('Raw Orders'!C278="Product",'Raw Orders'!K278="Fulfilled"),'Raw Orders'!E278,0)</f>
        <v>0</v>
      </c>
      <c r="F281" s="32" t="n">
        <f aca="false">IF('Raw Orders'!K278="Refunded",'Raw Orders'!G278,0)</f>
        <v>0</v>
      </c>
    </row>
    <row r="282" customFormat="false" ht="15" hidden="false" customHeight="false" outlineLevel="0" collapsed="false">
      <c r="A282" s="36" t="n">
        <f aca="false">IF('Raw Orders'!B279="","",IF(MID('Raw Orders'!B279,5,1)="-",DATE(VALUE(LEFT('Raw Orders'!B279,4)),VALUE(MID('Raw Orders'!B279,6,2)),VALUE(MID('Raw Orders'!B279,9,2))),DATE(VALUE(MID('Raw Orders'!B279,7,4)),VALUE(MID('Raw Orders'!B279,4,2)),VALUE(LEFT('Raw Orders'!B279,2)))))</f>
        <v>46161</v>
      </c>
      <c r="B282" s="36" t="n">
        <f aca="false">IF(A282="","",A282-WEEKDAY(A282,3))</f>
        <v>46160</v>
      </c>
      <c r="C282" s="32" t="n">
        <f aca="false">IF(OR('Raw Orders'!C279&lt;&gt;"Product",'Raw Orders'!K279="Cancelled"),0,'Raw Orders'!G279)</f>
        <v>150</v>
      </c>
      <c r="D282" s="31" t="n">
        <f aca="false">IF(AND('Raw Orders'!C279="Product",'Raw Orders'!K279="Fulfilled",COUNTIFS('Raw Orders'!$A$2:$A279,'Raw Orders'!A279,'Raw Orders'!$C$2:$C279,"Product",'Raw Orders'!$K$2:$K279,"Fulfilled")=1),1,0)</f>
        <v>1</v>
      </c>
      <c r="E282" s="31" t="n">
        <f aca="false">IF(AND('Raw Orders'!C279="Product",'Raw Orders'!K279="Fulfilled"),'Raw Orders'!E279,0)</f>
        <v>2</v>
      </c>
      <c r="F282" s="32" t="n">
        <f aca="false">IF('Raw Orders'!K279="Refunded",'Raw Orders'!G279,0)</f>
        <v>0</v>
      </c>
    </row>
    <row r="283" customFormat="false" ht="15" hidden="false" customHeight="false" outlineLevel="0" collapsed="false">
      <c r="A283" s="36" t="n">
        <f aca="false">IF('Raw Orders'!B280="","",IF(MID('Raw Orders'!B280,5,1)="-",DATE(VALUE(LEFT('Raw Orders'!B280,4)),VALUE(MID('Raw Orders'!B280,6,2)),VALUE(MID('Raw Orders'!B280,9,2))),DATE(VALUE(MID('Raw Orders'!B280,7,4)),VALUE(MID('Raw Orders'!B280,4,2)),VALUE(LEFT('Raw Orders'!B280,2)))))</f>
        <v>46161</v>
      </c>
      <c r="B283" s="36" t="n">
        <f aca="false">IF(A283="","",A283-WEEKDAY(A283,3))</f>
        <v>46160</v>
      </c>
      <c r="C283" s="32" t="n">
        <f aca="false">IF(OR('Raw Orders'!C280&lt;&gt;"Product",'Raw Orders'!K280="Cancelled"),0,'Raw Orders'!G280)</f>
        <v>0</v>
      </c>
      <c r="D283" s="31" t="n">
        <f aca="false">IF(AND('Raw Orders'!C280="Product",'Raw Orders'!K280="Fulfilled",COUNTIFS('Raw Orders'!$A$2:$A280,'Raw Orders'!A280,'Raw Orders'!$C$2:$C280,"Product",'Raw Orders'!$K$2:$K280,"Fulfilled")=1),1,0)</f>
        <v>0</v>
      </c>
      <c r="E283" s="31" t="n">
        <f aca="false">IF(AND('Raw Orders'!C280="Product",'Raw Orders'!K280="Fulfilled"),'Raw Orders'!E280,0)</f>
        <v>0</v>
      </c>
      <c r="F283" s="32" t="n">
        <f aca="false">IF('Raw Orders'!K280="Refunded",'Raw Orders'!G280,0)</f>
        <v>0</v>
      </c>
    </row>
    <row r="284" customFormat="false" ht="15" hidden="false" customHeight="false" outlineLevel="0" collapsed="false">
      <c r="A284" s="36" t="n">
        <f aca="false">IF('Raw Orders'!B281="","",IF(MID('Raw Orders'!B281,5,1)="-",DATE(VALUE(LEFT('Raw Orders'!B281,4)),VALUE(MID('Raw Orders'!B281,6,2)),VALUE(MID('Raw Orders'!B281,9,2))),DATE(VALUE(MID('Raw Orders'!B281,7,4)),VALUE(MID('Raw Orders'!B281,4,2)),VALUE(LEFT('Raw Orders'!B281,2)))))</f>
        <v>46161</v>
      </c>
      <c r="B284" s="36" t="n">
        <f aca="false">IF(A284="","",A284-WEEKDAY(A284,3))</f>
        <v>46160</v>
      </c>
      <c r="C284" s="32" t="n">
        <f aca="false">IF(OR('Raw Orders'!C281&lt;&gt;"Product",'Raw Orders'!K281="Cancelled"),0,'Raw Orders'!G281)</f>
        <v>14</v>
      </c>
      <c r="D284" s="31" t="n">
        <f aca="false">IF(AND('Raw Orders'!C281="Product",'Raw Orders'!K281="Fulfilled",COUNTIFS('Raw Orders'!$A$2:$A281,'Raw Orders'!A281,'Raw Orders'!$C$2:$C281,"Product",'Raw Orders'!$K$2:$K281,"Fulfilled")=1),1,0)</f>
        <v>1</v>
      </c>
      <c r="E284" s="31" t="n">
        <f aca="false">IF(AND('Raw Orders'!C281="Product",'Raw Orders'!K281="Fulfilled"),'Raw Orders'!E281,0)</f>
        <v>1</v>
      </c>
      <c r="F284" s="32" t="n">
        <f aca="false">IF('Raw Orders'!K281="Refunded",'Raw Orders'!G281,0)</f>
        <v>0</v>
      </c>
    </row>
    <row r="285" customFormat="false" ht="15" hidden="false" customHeight="false" outlineLevel="0" collapsed="false">
      <c r="A285" s="36" t="n">
        <f aca="false">IF('Raw Orders'!B282="","",IF(MID('Raw Orders'!B282,5,1)="-",DATE(VALUE(LEFT('Raw Orders'!B282,4)),VALUE(MID('Raw Orders'!B282,6,2)),VALUE(MID('Raw Orders'!B282,9,2))),DATE(VALUE(MID('Raw Orders'!B282,7,4)),VALUE(MID('Raw Orders'!B282,4,2)),VALUE(LEFT('Raw Orders'!B282,2)))))</f>
        <v>46161</v>
      </c>
      <c r="B285" s="36" t="n">
        <f aca="false">IF(A285="","",A285-WEEKDAY(A285,3))</f>
        <v>46160</v>
      </c>
      <c r="C285" s="32" t="n">
        <f aca="false">IF(OR('Raw Orders'!C282&lt;&gt;"Product",'Raw Orders'!K282="Cancelled"),0,'Raw Orders'!G282)</f>
        <v>0</v>
      </c>
      <c r="D285" s="31" t="n">
        <f aca="false">IF(AND('Raw Orders'!C282="Product",'Raw Orders'!K282="Fulfilled",COUNTIFS('Raw Orders'!$A$2:$A282,'Raw Orders'!A282,'Raw Orders'!$C$2:$C282,"Product",'Raw Orders'!$K$2:$K282,"Fulfilled")=1),1,0)</f>
        <v>0</v>
      </c>
      <c r="E285" s="31" t="n">
        <f aca="false">IF(AND('Raw Orders'!C282="Product",'Raw Orders'!K282="Fulfilled"),'Raw Orders'!E282,0)</f>
        <v>0</v>
      </c>
      <c r="F285" s="32" t="n">
        <f aca="false">IF('Raw Orders'!K282="Refunded",'Raw Orders'!G282,0)</f>
        <v>0</v>
      </c>
    </row>
    <row r="286" customFormat="false" ht="15" hidden="false" customHeight="false" outlineLevel="0" collapsed="false">
      <c r="A286" s="36" t="n">
        <f aca="false">IF('Raw Orders'!B283="","",IF(MID('Raw Orders'!B283,5,1)="-",DATE(VALUE(LEFT('Raw Orders'!B283,4)),VALUE(MID('Raw Orders'!B283,6,2)),VALUE(MID('Raw Orders'!B283,9,2))),DATE(VALUE(MID('Raw Orders'!B283,7,4)),VALUE(MID('Raw Orders'!B283,4,2)),VALUE(LEFT('Raw Orders'!B283,2)))))</f>
        <v>46162</v>
      </c>
      <c r="B286" s="36" t="n">
        <f aca="false">IF(A286="","",A286-WEEKDAY(A286,3))</f>
        <v>46160</v>
      </c>
      <c r="C286" s="32" t="n">
        <f aca="false">IF(OR('Raw Orders'!C283&lt;&gt;"Product",'Raw Orders'!K283="Cancelled"),0,'Raw Orders'!G283)</f>
        <v>0</v>
      </c>
      <c r="D286" s="31" t="n">
        <f aca="false">IF(AND('Raw Orders'!C283="Product",'Raw Orders'!K283="Fulfilled",COUNTIFS('Raw Orders'!$A$2:$A283,'Raw Orders'!A283,'Raw Orders'!$C$2:$C283,"Product",'Raw Orders'!$K$2:$K283,"Fulfilled")=1),1,0)</f>
        <v>0</v>
      </c>
      <c r="E286" s="31" t="n">
        <f aca="false">IF(AND('Raw Orders'!C283="Product",'Raw Orders'!K283="Fulfilled"),'Raw Orders'!E283,0)</f>
        <v>0</v>
      </c>
      <c r="F286" s="32" t="n">
        <f aca="false">IF('Raw Orders'!K283="Refunded",'Raw Orders'!G283,0)</f>
        <v>0</v>
      </c>
    </row>
    <row r="287" customFormat="false" ht="15" hidden="false" customHeight="false" outlineLevel="0" collapsed="false">
      <c r="A287" s="36" t="n">
        <f aca="false">IF('Raw Orders'!B284="","",IF(MID('Raw Orders'!B284,5,1)="-",DATE(VALUE(LEFT('Raw Orders'!B284,4)),VALUE(MID('Raw Orders'!B284,6,2)),VALUE(MID('Raw Orders'!B284,9,2))),DATE(VALUE(MID('Raw Orders'!B284,7,4)),VALUE(MID('Raw Orders'!B284,4,2)),VALUE(LEFT('Raw Orders'!B284,2)))))</f>
        <v>46162</v>
      </c>
      <c r="B287" s="36" t="n">
        <f aca="false">IF(A287="","",A287-WEEKDAY(A287,3))</f>
        <v>46160</v>
      </c>
      <c r="C287" s="32" t="n">
        <f aca="false">IF(OR('Raw Orders'!C284&lt;&gt;"Product",'Raw Orders'!K284="Cancelled"),0,'Raw Orders'!G284)</f>
        <v>89</v>
      </c>
      <c r="D287" s="31" t="n">
        <f aca="false">IF(AND('Raw Orders'!C284="Product",'Raw Orders'!K284="Fulfilled",COUNTIFS('Raw Orders'!$A$2:$A284,'Raw Orders'!A284,'Raw Orders'!$C$2:$C284,"Product",'Raw Orders'!$K$2:$K284,"Fulfilled")=1),1,0)</f>
        <v>1</v>
      </c>
      <c r="E287" s="31" t="n">
        <f aca="false">IF(AND('Raw Orders'!C284="Product",'Raw Orders'!K284="Fulfilled"),'Raw Orders'!E284,0)</f>
        <v>1</v>
      </c>
      <c r="F287" s="32" t="n">
        <f aca="false">IF('Raw Orders'!K284="Refunded",'Raw Orders'!G284,0)</f>
        <v>0</v>
      </c>
    </row>
    <row r="288" customFormat="false" ht="15" hidden="false" customHeight="false" outlineLevel="0" collapsed="false">
      <c r="A288" s="36" t="n">
        <f aca="false">IF('Raw Orders'!B285="","",IF(MID('Raw Orders'!B285,5,1)="-",DATE(VALUE(LEFT('Raw Orders'!B285,4)),VALUE(MID('Raw Orders'!B285,6,2)),VALUE(MID('Raw Orders'!B285,9,2))),DATE(VALUE(MID('Raw Orders'!B285,7,4)),VALUE(MID('Raw Orders'!B285,4,2)),VALUE(LEFT('Raw Orders'!B285,2)))))</f>
        <v>46162</v>
      </c>
      <c r="B288" s="36" t="n">
        <f aca="false">IF(A288="","",A288-WEEKDAY(A288,3))</f>
        <v>46160</v>
      </c>
      <c r="C288" s="32" t="n">
        <f aca="false">IF(OR('Raw Orders'!C285&lt;&gt;"Product",'Raw Orders'!K285="Cancelled"),0,'Raw Orders'!G285)</f>
        <v>39</v>
      </c>
      <c r="D288" s="31" t="n">
        <f aca="false">IF(AND('Raw Orders'!C285="Product",'Raw Orders'!K285="Fulfilled",COUNTIFS('Raw Orders'!$A$2:$A285,'Raw Orders'!A285,'Raw Orders'!$C$2:$C285,"Product",'Raw Orders'!$K$2:$K285,"Fulfilled")=1),1,0)</f>
        <v>0</v>
      </c>
      <c r="E288" s="31" t="n">
        <f aca="false">IF(AND('Raw Orders'!C285="Product",'Raw Orders'!K285="Fulfilled"),'Raw Orders'!E285,0)</f>
        <v>1</v>
      </c>
      <c r="F288" s="32" t="n">
        <f aca="false">IF('Raw Orders'!K285="Refunded",'Raw Orders'!G285,0)</f>
        <v>0</v>
      </c>
    </row>
    <row r="289" customFormat="false" ht="15" hidden="false" customHeight="false" outlineLevel="0" collapsed="false">
      <c r="A289" s="36" t="n">
        <f aca="false">IF('Raw Orders'!B286="","",IF(MID('Raw Orders'!B286,5,1)="-",DATE(VALUE(LEFT('Raw Orders'!B286,4)),VALUE(MID('Raw Orders'!B286,6,2)),VALUE(MID('Raw Orders'!B286,9,2))),DATE(VALUE(MID('Raw Orders'!B286,7,4)),VALUE(MID('Raw Orders'!B286,4,2)),VALUE(LEFT('Raw Orders'!B286,2)))))</f>
        <v>46162</v>
      </c>
      <c r="B289" s="36" t="n">
        <f aca="false">IF(A289="","",A289-WEEKDAY(A289,3))</f>
        <v>46160</v>
      </c>
      <c r="C289" s="32" t="n">
        <f aca="false">IF(OR('Raw Orders'!C286&lt;&gt;"Product",'Raw Orders'!K286="Cancelled"),0,'Raw Orders'!G286)</f>
        <v>0</v>
      </c>
      <c r="D289" s="31" t="n">
        <f aca="false">IF(AND('Raw Orders'!C286="Product",'Raw Orders'!K286="Fulfilled",COUNTIFS('Raw Orders'!$A$2:$A286,'Raw Orders'!A286,'Raw Orders'!$C$2:$C286,"Product",'Raw Orders'!$K$2:$K286,"Fulfilled")=1),1,0)</f>
        <v>0</v>
      </c>
      <c r="E289" s="31" t="n">
        <f aca="false">IF(AND('Raw Orders'!C286="Product",'Raw Orders'!K286="Fulfilled"),'Raw Orders'!E286,0)</f>
        <v>0</v>
      </c>
      <c r="F289" s="32" t="n">
        <f aca="false">IF('Raw Orders'!K286="Refunded",'Raw Orders'!G286,0)</f>
        <v>0</v>
      </c>
    </row>
    <row r="290" customFormat="false" ht="15" hidden="false" customHeight="false" outlineLevel="0" collapsed="false">
      <c r="A290" s="36" t="n">
        <f aca="false">IF('Raw Orders'!B287="","",IF(MID('Raw Orders'!B287,5,1)="-",DATE(VALUE(LEFT('Raw Orders'!B287,4)),VALUE(MID('Raw Orders'!B287,6,2)),VALUE(MID('Raw Orders'!B287,9,2))),DATE(VALUE(MID('Raw Orders'!B287,7,4)),VALUE(MID('Raw Orders'!B287,4,2)),VALUE(LEFT('Raw Orders'!B287,2)))))</f>
        <v>46162</v>
      </c>
      <c r="B290" s="36" t="n">
        <f aca="false">IF(A290="","",A290-WEEKDAY(A290,3))</f>
        <v>46160</v>
      </c>
      <c r="C290" s="32" t="n">
        <f aca="false">IF(OR('Raw Orders'!C287&lt;&gt;"Product",'Raw Orders'!K287="Cancelled"),0,'Raw Orders'!G287)</f>
        <v>90</v>
      </c>
      <c r="D290" s="31" t="n">
        <f aca="false">IF(AND('Raw Orders'!C287="Product",'Raw Orders'!K287="Fulfilled",COUNTIFS('Raw Orders'!$A$2:$A287,'Raw Orders'!A287,'Raw Orders'!$C$2:$C287,"Product",'Raw Orders'!$K$2:$K287,"Fulfilled")=1),1,0)</f>
        <v>1</v>
      </c>
      <c r="E290" s="31" t="n">
        <f aca="false">IF(AND('Raw Orders'!C287="Product",'Raw Orders'!K287="Fulfilled"),'Raw Orders'!E287,0)</f>
        <v>2</v>
      </c>
      <c r="F290" s="32" t="n">
        <f aca="false">IF('Raw Orders'!K287="Refunded",'Raw Orders'!G287,0)</f>
        <v>0</v>
      </c>
    </row>
    <row r="291" customFormat="false" ht="15" hidden="false" customHeight="false" outlineLevel="0" collapsed="false">
      <c r="A291" s="36" t="n">
        <f aca="false">IF('Raw Orders'!B288="","",IF(MID('Raw Orders'!B288,5,1)="-",DATE(VALUE(LEFT('Raw Orders'!B288,4)),VALUE(MID('Raw Orders'!B288,6,2)),VALUE(MID('Raw Orders'!B288,9,2))),DATE(VALUE(MID('Raw Orders'!B288,7,4)),VALUE(MID('Raw Orders'!B288,4,2)),VALUE(LEFT('Raw Orders'!B288,2)))))</f>
        <v>46162</v>
      </c>
      <c r="B291" s="36" t="n">
        <f aca="false">IF(A291="","",A291-WEEKDAY(A291,3))</f>
        <v>46160</v>
      </c>
      <c r="C291" s="32" t="n">
        <f aca="false">IF(OR('Raw Orders'!C288&lt;&gt;"Product",'Raw Orders'!K288="Cancelled"),0,'Raw Orders'!G288)</f>
        <v>0</v>
      </c>
      <c r="D291" s="31" t="n">
        <f aca="false">IF(AND('Raw Orders'!C288="Product",'Raw Orders'!K288="Fulfilled",COUNTIFS('Raw Orders'!$A$2:$A288,'Raw Orders'!A288,'Raw Orders'!$C$2:$C288,"Product",'Raw Orders'!$K$2:$K288,"Fulfilled")=1),1,0)</f>
        <v>0</v>
      </c>
      <c r="E291" s="31" t="n">
        <f aca="false">IF(AND('Raw Orders'!C288="Product",'Raw Orders'!K288="Fulfilled"),'Raw Orders'!E288,0)</f>
        <v>0</v>
      </c>
      <c r="F291" s="32" t="n">
        <f aca="false">IF('Raw Orders'!K288="Refunded",'Raw Orders'!G288,0)</f>
        <v>0</v>
      </c>
    </row>
    <row r="292" customFormat="false" ht="15" hidden="false" customHeight="false" outlineLevel="0" collapsed="false">
      <c r="A292" s="36" t="n">
        <f aca="false">IF('Raw Orders'!B289="","",IF(MID('Raw Orders'!B289,5,1)="-",DATE(VALUE(LEFT('Raw Orders'!B289,4)),VALUE(MID('Raw Orders'!B289,6,2)),VALUE(MID('Raw Orders'!B289,9,2))),DATE(VALUE(MID('Raw Orders'!B289,7,4)),VALUE(MID('Raw Orders'!B289,4,2)),VALUE(LEFT('Raw Orders'!B289,2)))))</f>
        <v>46162</v>
      </c>
      <c r="B292" s="36" t="n">
        <f aca="false">IF(A292="","",A292-WEEKDAY(A292,3))</f>
        <v>46160</v>
      </c>
      <c r="C292" s="32" t="n">
        <f aca="false">IF(OR('Raw Orders'!C289&lt;&gt;"Product",'Raw Orders'!K289="Cancelled"),0,'Raw Orders'!G289)</f>
        <v>32</v>
      </c>
      <c r="D292" s="31" t="n">
        <f aca="false">IF(AND('Raw Orders'!C289="Product",'Raw Orders'!K289="Fulfilled",COUNTIFS('Raw Orders'!$A$2:$A289,'Raw Orders'!A289,'Raw Orders'!$C$2:$C289,"Product",'Raw Orders'!$K$2:$K289,"Fulfilled")=1),1,0)</f>
        <v>0</v>
      </c>
      <c r="E292" s="31" t="n">
        <f aca="false">IF(AND('Raw Orders'!C289="Product",'Raw Orders'!K289="Fulfilled"),'Raw Orders'!E289,0)</f>
        <v>1</v>
      </c>
      <c r="F292" s="32" t="n">
        <f aca="false">IF('Raw Orders'!K289="Refunded",'Raw Orders'!G289,0)</f>
        <v>0</v>
      </c>
    </row>
    <row r="293" customFormat="false" ht="15" hidden="false" customHeight="false" outlineLevel="0" collapsed="false">
      <c r="A293" s="36" t="n">
        <f aca="false">IF('Raw Orders'!B290="","",IF(MID('Raw Orders'!B290,5,1)="-",DATE(VALUE(LEFT('Raw Orders'!B290,4)),VALUE(MID('Raw Orders'!B290,6,2)),VALUE(MID('Raw Orders'!B290,9,2))),DATE(VALUE(MID('Raw Orders'!B290,7,4)),VALUE(MID('Raw Orders'!B290,4,2)),VALUE(LEFT('Raw Orders'!B290,2)))))</f>
        <v>46162</v>
      </c>
      <c r="B293" s="36" t="n">
        <f aca="false">IF(A293="","",A293-WEEKDAY(A293,3))</f>
        <v>46160</v>
      </c>
      <c r="C293" s="32" t="n">
        <f aca="false">IF(OR('Raw Orders'!C290&lt;&gt;"Product",'Raw Orders'!K290="Cancelled"),0,'Raw Orders'!G290)</f>
        <v>-44</v>
      </c>
      <c r="D293" s="31" t="n">
        <f aca="false">IF(AND('Raw Orders'!C290="Product",'Raw Orders'!K290="Fulfilled",COUNTIFS('Raw Orders'!$A$2:$A290,'Raw Orders'!A290,'Raw Orders'!$C$2:$C290,"Product",'Raw Orders'!$K$2:$K290,"Fulfilled")=1),1,0)</f>
        <v>0</v>
      </c>
      <c r="E293" s="31" t="n">
        <f aca="false">IF(AND('Raw Orders'!C290="Product",'Raw Orders'!K290="Fulfilled"),'Raw Orders'!E290,0)</f>
        <v>0</v>
      </c>
      <c r="F293" s="32" t="n">
        <f aca="false">IF('Raw Orders'!K290="Refunded",'Raw Orders'!G290,0)</f>
        <v>-44</v>
      </c>
    </row>
    <row r="294" customFormat="false" ht="15" hidden="false" customHeight="false" outlineLevel="0" collapsed="false">
      <c r="A294" s="36" t="n">
        <f aca="false">IF('Raw Orders'!B291="","",IF(MID('Raw Orders'!B291,5,1)="-",DATE(VALUE(LEFT('Raw Orders'!B291,4)),VALUE(MID('Raw Orders'!B291,6,2)),VALUE(MID('Raw Orders'!B291,9,2))),DATE(VALUE(MID('Raw Orders'!B291,7,4)),VALUE(MID('Raw Orders'!B291,4,2)),VALUE(LEFT('Raw Orders'!B291,2)))))</f>
        <v>46162</v>
      </c>
      <c r="B294" s="36" t="n">
        <f aca="false">IF(A294="","",A294-WEEKDAY(A294,3))</f>
        <v>46160</v>
      </c>
      <c r="C294" s="32" t="n">
        <f aca="false">IF(OR('Raw Orders'!C291&lt;&gt;"Product",'Raw Orders'!K291="Cancelled"),0,'Raw Orders'!G291)</f>
        <v>0</v>
      </c>
      <c r="D294" s="31" t="n">
        <f aca="false">IF(AND('Raw Orders'!C291="Product",'Raw Orders'!K291="Fulfilled",COUNTIFS('Raw Orders'!$A$2:$A291,'Raw Orders'!A291,'Raw Orders'!$C$2:$C291,"Product",'Raw Orders'!$K$2:$K291,"Fulfilled")=1),1,0)</f>
        <v>0</v>
      </c>
      <c r="E294" s="31" t="n">
        <f aca="false">IF(AND('Raw Orders'!C291="Product",'Raw Orders'!K291="Fulfilled"),'Raw Orders'!E291,0)</f>
        <v>0</v>
      </c>
      <c r="F294" s="32" t="n">
        <f aca="false">IF('Raw Orders'!K291="Refunded",'Raw Orders'!G291,0)</f>
        <v>0</v>
      </c>
    </row>
    <row r="295" customFormat="false" ht="15" hidden="false" customHeight="false" outlineLevel="0" collapsed="false">
      <c r="A295" s="36" t="n">
        <f aca="false">IF('Raw Orders'!B292="","",IF(MID('Raw Orders'!B292,5,1)="-",DATE(VALUE(LEFT('Raw Orders'!B292,4)),VALUE(MID('Raw Orders'!B292,6,2)),VALUE(MID('Raw Orders'!B292,9,2))),DATE(VALUE(MID('Raw Orders'!B292,7,4)),VALUE(MID('Raw Orders'!B292,4,2)),VALUE(LEFT('Raw Orders'!B292,2)))))</f>
        <v>46162</v>
      </c>
      <c r="B295" s="36" t="n">
        <f aca="false">IF(A295="","",A295-WEEKDAY(A295,3))</f>
        <v>46160</v>
      </c>
      <c r="C295" s="32" t="n">
        <f aca="false">IF(OR('Raw Orders'!C292&lt;&gt;"Product",'Raw Orders'!K292="Cancelled"),0,'Raw Orders'!G292)</f>
        <v>29</v>
      </c>
      <c r="D295" s="31" t="n">
        <f aca="false">IF(AND('Raw Orders'!C292="Product",'Raw Orders'!K292="Fulfilled",COUNTIFS('Raw Orders'!$A$2:$A292,'Raw Orders'!A292,'Raw Orders'!$C$2:$C292,"Product",'Raw Orders'!$K$2:$K292,"Fulfilled")=1),1,0)</f>
        <v>1</v>
      </c>
      <c r="E295" s="31" t="n">
        <f aca="false">IF(AND('Raw Orders'!C292="Product",'Raw Orders'!K292="Fulfilled"),'Raw Orders'!E292,0)</f>
        <v>1</v>
      </c>
      <c r="F295" s="32" t="n">
        <f aca="false">IF('Raw Orders'!K292="Refunded",'Raw Orders'!G292,0)</f>
        <v>0</v>
      </c>
    </row>
    <row r="296" customFormat="false" ht="15" hidden="false" customHeight="false" outlineLevel="0" collapsed="false">
      <c r="A296" s="36" t="n">
        <f aca="false">IF('Raw Orders'!B293="","",IF(MID('Raw Orders'!B293,5,1)="-",DATE(VALUE(LEFT('Raw Orders'!B293,4)),VALUE(MID('Raw Orders'!B293,6,2)),VALUE(MID('Raw Orders'!B293,9,2))),DATE(VALUE(MID('Raw Orders'!B293,7,4)),VALUE(MID('Raw Orders'!B293,4,2)),VALUE(LEFT('Raw Orders'!B293,2)))))</f>
        <v>46162</v>
      </c>
      <c r="B296" s="36" t="n">
        <f aca="false">IF(A296="","",A296-WEEKDAY(A296,3))</f>
        <v>46160</v>
      </c>
      <c r="C296" s="32" t="n">
        <f aca="false">IF(OR('Raw Orders'!C293&lt;&gt;"Product",'Raw Orders'!K293="Cancelled"),0,'Raw Orders'!G293)</f>
        <v>14</v>
      </c>
      <c r="D296" s="31" t="n">
        <f aca="false">IF(AND('Raw Orders'!C293="Product",'Raw Orders'!K293="Fulfilled",COUNTIFS('Raw Orders'!$A$2:$A293,'Raw Orders'!A293,'Raw Orders'!$C$2:$C293,"Product",'Raw Orders'!$K$2:$K293,"Fulfilled")=1),1,0)</f>
        <v>1</v>
      </c>
      <c r="E296" s="31" t="n">
        <f aca="false">IF(AND('Raw Orders'!C293="Product",'Raw Orders'!K293="Fulfilled"),'Raw Orders'!E293,0)</f>
        <v>1</v>
      </c>
      <c r="F296" s="32" t="n">
        <f aca="false">IF('Raw Orders'!K293="Refunded",'Raw Orders'!G293,0)</f>
        <v>0</v>
      </c>
    </row>
    <row r="297" customFormat="false" ht="15" hidden="false" customHeight="false" outlineLevel="0" collapsed="false">
      <c r="A297" s="36" t="n">
        <f aca="false">IF('Raw Orders'!B294="","",IF(MID('Raw Orders'!B294,5,1)="-",DATE(VALUE(LEFT('Raw Orders'!B294,4)),VALUE(MID('Raw Orders'!B294,6,2)),VALUE(MID('Raw Orders'!B294,9,2))),DATE(VALUE(MID('Raw Orders'!B294,7,4)),VALUE(MID('Raw Orders'!B294,4,2)),VALUE(LEFT('Raw Orders'!B294,2)))))</f>
        <v>46162</v>
      </c>
      <c r="B297" s="36" t="n">
        <f aca="false">IF(A297="","",A297-WEEKDAY(A297,3))</f>
        <v>46160</v>
      </c>
      <c r="C297" s="32" t="n">
        <f aca="false">IF(OR('Raw Orders'!C294&lt;&gt;"Product",'Raw Orders'!K294="Cancelled"),0,'Raw Orders'!G294)</f>
        <v>29</v>
      </c>
      <c r="D297" s="31" t="n">
        <f aca="false">IF(AND('Raw Orders'!C294="Product",'Raw Orders'!K294="Fulfilled",COUNTIFS('Raw Orders'!$A$2:$A294,'Raw Orders'!A294,'Raw Orders'!$C$2:$C294,"Product",'Raw Orders'!$K$2:$K294,"Fulfilled")=1),1,0)</f>
        <v>0</v>
      </c>
      <c r="E297" s="31" t="n">
        <f aca="false">IF(AND('Raw Orders'!C294="Product",'Raw Orders'!K294="Fulfilled"),'Raw Orders'!E294,0)</f>
        <v>1</v>
      </c>
      <c r="F297" s="32" t="n">
        <f aca="false">IF('Raw Orders'!K294="Refunded",'Raw Orders'!G294,0)</f>
        <v>0</v>
      </c>
    </row>
    <row r="298" customFormat="false" ht="15" hidden="false" customHeight="false" outlineLevel="0" collapsed="false">
      <c r="A298" s="36" t="n">
        <f aca="false">IF('Raw Orders'!B295="","",IF(MID('Raw Orders'!B295,5,1)="-",DATE(VALUE(LEFT('Raw Orders'!B295,4)),VALUE(MID('Raw Orders'!B295,6,2)),VALUE(MID('Raw Orders'!B295,9,2))),DATE(VALUE(MID('Raw Orders'!B295,7,4)),VALUE(MID('Raw Orders'!B295,4,2)),VALUE(LEFT('Raw Orders'!B295,2)))))</f>
        <v>46162</v>
      </c>
      <c r="B298" s="36" t="n">
        <f aca="false">IF(A298="","",A298-WEEKDAY(A298,3))</f>
        <v>46160</v>
      </c>
      <c r="C298" s="32" t="n">
        <f aca="false">IF(OR('Raw Orders'!C295&lt;&gt;"Product",'Raw Orders'!K295="Cancelled"),0,'Raw Orders'!G295)</f>
        <v>90</v>
      </c>
      <c r="D298" s="31" t="n">
        <f aca="false">IF(AND('Raw Orders'!C295="Product",'Raw Orders'!K295="Fulfilled",COUNTIFS('Raw Orders'!$A$2:$A295,'Raw Orders'!A295,'Raw Orders'!$C$2:$C295,"Product",'Raw Orders'!$K$2:$K295,"Fulfilled")=1),1,0)</f>
        <v>1</v>
      </c>
      <c r="E298" s="31" t="n">
        <f aca="false">IF(AND('Raw Orders'!C295="Product",'Raw Orders'!K295="Fulfilled"),'Raw Orders'!E295,0)</f>
        <v>2</v>
      </c>
      <c r="F298" s="32" t="n">
        <f aca="false">IF('Raw Orders'!K295="Refunded",'Raw Orders'!G295,0)</f>
        <v>0</v>
      </c>
    </row>
    <row r="299" customFormat="false" ht="15" hidden="false" customHeight="false" outlineLevel="0" collapsed="false">
      <c r="A299" s="36" t="n">
        <f aca="false">IF('Raw Orders'!B296="","",IF(MID('Raw Orders'!B296,5,1)="-",DATE(VALUE(LEFT('Raw Orders'!B296,4)),VALUE(MID('Raw Orders'!B296,6,2)),VALUE(MID('Raw Orders'!B296,9,2))),DATE(VALUE(MID('Raw Orders'!B296,7,4)),VALUE(MID('Raw Orders'!B296,4,2)),VALUE(LEFT('Raw Orders'!B296,2)))))</f>
        <v>46162</v>
      </c>
      <c r="B299" s="36" t="n">
        <f aca="false">IF(A299="","",A299-WEEKDAY(A299,3))</f>
        <v>46160</v>
      </c>
      <c r="C299" s="32" t="n">
        <f aca="false">IF(OR('Raw Orders'!C296&lt;&gt;"Product",'Raw Orders'!K296="Cancelled"),0,'Raw Orders'!G296)</f>
        <v>138</v>
      </c>
      <c r="D299" s="31" t="n">
        <f aca="false">IF(AND('Raw Orders'!C296="Product",'Raw Orders'!K296="Fulfilled",COUNTIFS('Raw Orders'!$A$2:$A296,'Raw Orders'!A296,'Raw Orders'!$C$2:$C296,"Product",'Raw Orders'!$K$2:$K296,"Fulfilled")=1),1,0)</f>
        <v>0</v>
      </c>
      <c r="E299" s="31" t="n">
        <f aca="false">IF(AND('Raw Orders'!C296="Product",'Raw Orders'!K296="Fulfilled"),'Raw Orders'!E296,0)</f>
        <v>2</v>
      </c>
      <c r="F299" s="32" t="n">
        <f aca="false">IF('Raw Orders'!K296="Refunded",'Raw Orders'!G296,0)</f>
        <v>0</v>
      </c>
    </row>
    <row r="300" customFormat="false" ht="15" hidden="false" customHeight="false" outlineLevel="0" collapsed="false">
      <c r="A300" s="36" t="n">
        <f aca="false">IF('Raw Orders'!B297="","",IF(MID('Raw Orders'!B297,5,1)="-",DATE(VALUE(LEFT('Raw Orders'!B297,4)),VALUE(MID('Raw Orders'!B297,6,2)),VALUE(MID('Raw Orders'!B297,9,2))),DATE(VALUE(MID('Raw Orders'!B297,7,4)),VALUE(MID('Raw Orders'!B297,4,2)),VALUE(LEFT('Raw Orders'!B297,2)))))</f>
        <v>46162</v>
      </c>
      <c r="B300" s="36" t="n">
        <f aca="false">IF(A300="","",A300-WEEKDAY(A300,3))</f>
        <v>46160</v>
      </c>
      <c r="C300" s="32" t="n">
        <f aca="false">IF(OR('Raw Orders'!C297&lt;&gt;"Product",'Raw Orders'!K297="Cancelled"),0,'Raw Orders'!G297)</f>
        <v>0</v>
      </c>
      <c r="D300" s="31" t="n">
        <f aca="false">IF(AND('Raw Orders'!C297="Product",'Raw Orders'!K297="Fulfilled",COUNTIFS('Raw Orders'!$A$2:$A297,'Raw Orders'!A297,'Raw Orders'!$C$2:$C297,"Product",'Raw Orders'!$K$2:$K297,"Fulfilled")=1),1,0)</f>
        <v>0</v>
      </c>
      <c r="E300" s="31" t="n">
        <f aca="false">IF(AND('Raw Orders'!C297="Product",'Raw Orders'!K297="Fulfilled"),'Raw Orders'!E297,0)</f>
        <v>0</v>
      </c>
      <c r="F300" s="32" t="n">
        <f aca="false">IF('Raw Orders'!K297="Refunded",'Raw Orders'!G297,0)</f>
        <v>0</v>
      </c>
    </row>
    <row r="301" customFormat="false" ht="15" hidden="false" customHeight="false" outlineLevel="0" collapsed="false">
      <c r="A301" s="36" t="n">
        <f aca="false">IF('Raw Orders'!B298="","",IF(MID('Raw Orders'!B298,5,1)="-",DATE(VALUE(LEFT('Raw Orders'!B298,4)),VALUE(MID('Raw Orders'!B298,6,2)),VALUE(MID('Raw Orders'!B298,9,2))),DATE(VALUE(MID('Raw Orders'!B298,7,4)),VALUE(MID('Raw Orders'!B298,4,2)),VALUE(LEFT('Raw Orders'!B298,2)))))</f>
        <v>46162</v>
      </c>
      <c r="B301" s="36" t="n">
        <f aca="false">IF(A301="","",A301-WEEKDAY(A301,3))</f>
        <v>46160</v>
      </c>
      <c r="C301" s="32" t="n">
        <f aca="false">IF(OR('Raw Orders'!C298&lt;&gt;"Product",'Raw Orders'!K298="Cancelled"),0,'Raw Orders'!G298)</f>
        <v>35</v>
      </c>
      <c r="D301" s="31" t="n">
        <f aca="false">IF(AND('Raw Orders'!C298="Product",'Raw Orders'!K298="Fulfilled",COUNTIFS('Raw Orders'!$A$2:$A298,'Raw Orders'!A298,'Raw Orders'!$C$2:$C298,"Product",'Raw Orders'!$K$2:$K298,"Fulfilled")=1),1,0)</f>
        <v>1</v>
      </c>
      <c r="E301" s="31" t="n">
        <f aca="false">IF(AND('Raw Orders'!C298="Product",'Raw Orders'!K298="Fulfilled"),'Raw Orders'!E298,0)</f>
        <v>1</v>
      </c>
      <c r="F301" s="32" t="n">
        <f aca="false">IF('Raw Orders'!K298="Refunded",'Raw Orders'!G298,0)</f>
        <v>0</v>
      </c>
    </row>
    <row r="302" customFormat="false" ht="15" hidden="false" customHeight="false" outlineLevel="0" collapsed="false">
      <c r="A302" s="36" t="n">
        <f aca="false">IF('Raw Orders'!B299="","",IF(MID('Raw Orders'!B299,5,1)="-",DATE(VALUE(LEFT('Raw Orders'!B299,4)),VALUE(MID('Raw Orders'!B299,6,2)),VALUE(MID('Raw Orders'!B299,9,2))),DATE(VALUE(MID('Raw Orders'!B299,7,4)),VALUE(MID('Raw Orders'!B299,4,2)),VALUE(LEFT('Raw Orders'!B299,2)))))</f>
        <v>46162</v>
      </c>
      <c r="B302" s="36" t="n">
        <f aca="false">IF(A302="","",A302-WEEKDAY(A302,3))</f>
        <v>46160</v>
      </c>
      <c r="C302" s="32" t="n">
        <f aca="false">IF(OR('Raw Orders'!C299&lt;&gt;"Product",'Raw Orders'!K299="Cancelled"),0,'Raw Orders'!G299)</f>
        <v>22</v>
      </c>
      <c r="D302" s="31" t="n">
        <f aca="false">IF(AND('Raw Orders'!C299="Product",'Raw Orders'!K299="Fulfilled",COUNTIFS('Raw Orders'!$A$2:$A299,'Raw Orders'!A299,'Raw Orders'!$C$2:$C299,"Product",'Raw Orders'!$K$2:$K299,"Fulfilled")=1),1,0)</f>
        <v>1</v>
      </c>
      <c r="E302" s="31" t="n">
        <f aca="false">IF(AND('Raw Orders'!C299="Product",'Raw Orders'!K299="Fulfilled"),'Raw Orders'!E299,0)</f>
        <v>1</v>
      </c>
      <c r="F302" s="32" t="n">
        <f aca="false">IF('Raw Orders'!K299="Refunded",'Raw Orders'!G299,0)</f>
        <v>0</v>
      </c>
    </row>
    <row r="303" customFormat="false" ht="15" hidden="false" customHeight="false" outlineLevel="0" collapsed="false">
      <c r="A303" s="36" t="n">
        <f aca="false">IF('Raw Orders'!B300="","",IF(MID('Raw Orders'!B300,5,1)="-",DATE(VALUE(LEFT('Raw Orders'!B300,4)),VALUE(MID('Raw Orders'!B300,6,2)),VALUE(MID('Raw Orders'!B300,9,2))),DATE(VALUE(MID('Raw Orders'!B300,7,4)),VALUE(MID('Raw Orders'!B300,4,2)),VALUE(LEFT('Raw Orders'!B300,2)))))</f>
        <v>46162</v>
      </c>
      <c r="B303" s="36" t="n">
        <f aca="false">IF(A303="","",A303-WEEKDAY(A303,3))</f>
        <v>46160</v>
      </c>
      <c r="C303" s="32" t="n">
        <f aca="false">IF(OR('Raw Orders'!C300&lt;&gt;"Product",'Raw Orders'!K300="Cancelled"),0,'Raw Orders'!G300)</f>
        <v>0</v>
      </c>
      <c r="D303" s="31" t="n">
        <f aca="false">IF(AND('Raw Orders'!C300="Product",'Raw Orders'!K300="Fulfilled",COUNTIFS('Raw Orders'!$A$2:$A300,'Raw Orders'!A300,'Raw Orders'!$C$2:$C300,"Product",'Raw Orders'!$K$2:$K300,"Fulfilled")=1),1,0)</f>
        <v>0</v>
      </c>
      <c r="E303" s="31" t="n">
        <f aca="false">IF(AND('Raw Orders'!C300="Product",'Raw Orders'!K300="Fulfilled"),'Raw Orders'!E300,0)</f>
        <v>0</v>
      </c>
      <c r="F303" s="32" t="n">
        <f aca="false">IF('Raw Orders'!K300="Refunded",'Raw Orders'!G300,0)</f>
        <v>0</v>
      </c>
    </row>
    <row r="304" customFormat="false" ht="15" hidden="false" customHeight="false" outlineLevel="0" collapsed="false">
      <c r="A304" s="36" t="n">
        <f aca="false">IF('Raw Orders'!B301="","",IF(MID('Raw Orders'!B301,5,1)="-",DATE(VALUE(LEFT('Raw Orders'!B301,4)),VALUE(MID('Raw Orders'!B301,6,2)),VALUE(MID('Raw Orders'!B301,9,2))),DATE(VALUE(MID('Raw Orders'!B301,7,4)),VALUE(MID('Raw Orders'!B301,4,2)),VALUE(LEFT('Raw Orders'!B301,2)))))</f>
        <v>46162</v>
      </c>
      <c r="B304" s="36" t="n">
        <f aca="false">IF(A304="","",A304-WEEKDAY(A304,3))</f>
        <v>46160</v>
      </c>
      <c r="C304" s="32" t="n">
        <f aca="false">IF(OR('Raw Orders'!C301&lt;&gt;"Product",'Raw Orders'!K301="Cancelled"),0,'Raw Orders'!G301)</f>
        <v>0</v>
      </c>
      <c r="D304" s="31" t="n">
        <f aca="false">IF(AND('Raw Orders'!C301="Product",'Raw Orders'!K301="Fulfilled",COUNTIFS('Raw Orders'!$A$2:$A301,'Raw Orders'!A301,'Raw Orders'!$C$2:$C301,"Product",'Raw Orders'!$K$2:$K301,"Fulfilled")=1),1,0)</f>
        <v>0</v>
      </c>
      <c r="E304" s="31" t="n">
        <f aca="false">IF(AND('Raw Orders'!C301="Product",'Raw Orders'!K301="Fulfilled"),'Raw Orders'!E301,0)</f>
        <v>0</v>
      </c>
      <c r="F304" s="32" t="n">
        <f aca="false">IF('Raw Orders'!K301="Refunded",'Raw Orders'!G301,0)</f>
        <v>0</v>
      </c>
    </row>
    <row r="305" customFormat="false" ht="15" hidden="false" customHeight="false" outlineLevel="0" collapsed="false">
      <c r="A305" s="36" t="n">
        <f aca="false">IF('Raw Orders'!B302="","",IF(MID('Raw Orders'!B302,5,1)="-",DATE(VALUE(LEFT('Raw Orders'!B302,4)),VALUE(MID('Raw Orders'!B302,6,2)),VALUE(MID('Raw Orders'!B302,9,2))),DATE(VALUE(MID('Raw Orders'!B302,7,4)),VALUE(MID('Raw Orders'!B302,4,2)),VALUE(LEFT('Raw Orders'!B302,2)))))</f>
        <v>46162</v>
      </c>
      <c r="B305" s="36" t="n">
        <f aca="false">IF(A305="","",A305-WEEKDAY(A305,3))</f>
        <v>46160</v>
      </c>
      <c r="C305" s="32" t="n">
        <f aca="false">IF(OR('Raw Orders'!C302&lt;&gt;"Product",'Raw Orders'!K302="Cancelled"),0,'Raw Orders'!G302)</f>
        <v>69</v>
      </c>
      <c r="D305" s="31" t="n">
        <f aca="false">IF(AND('Raw Orders'!C302="Product",'Raw Orders'!K302="Fulfilled",COUNTIFS('Raw Orders'!$A$2:$A302,'Raw Orders'!A302,'Raw Orders'!$C$2:$C302,"Product",'Raw Orders'!$K$2:$K302,"Fulfilled")=1),1,0)</f>
        <v>0</v>
      </c>
      <c r="E305" s="31" t="n">
        <f aca="false">IF(AND('Raw Orders'!C302="Product",'Raw Orders'!K302="Fulfilled"),'Raw Orders'!E302,0)</f>
        <v>1</v>
      </c>
      <c r="F305" s="32" t="n">
        <f aca="false">IF('Raw Orders'!K302="Refunded",'Raw Orders'!G302,0)</f>
        <v>0</v>
      </c>
    </row>
    <row r="306" customFormat="false" ht="15" hidden="false" customHeight="false" outlineLevel="0" collapsed="false">
      <c r="A306" s="36" t="n">
        <f aca="false">IF('Raw Orders'!B303="","",IF(MID('Raw Orders'!B303,5,1)="-",DATE(VALUE(LEFT('Raw Orders'!B303,4)),VALUE(MID('Raw Orders'!B303,6,2)),VALUE(MID('Raw Orders'!B303,9,2))),DATE(VALUE(MID('Raw Orders'!B303,7,4)),VALUE(MID('Raw Orders'!B303,4,2)),VALUE(LEFT('Raw Orders'!B303,2)))))</f>
        <v>46162</v>
      </c>
      <c r="B306" s="36" t="n">
        <f aca="false">IF(A306="","",A306-WEEKDAY(A306,3))</f>
        <v>46160</v>
      </c>
      <c r="C306" s="32" t="n">
        <f aca="false">IF(OR('Raw Orders'!C303&lt;&gt;"Product",'Raw Orders'!K303="Cancelled"),0,'Raw Orders'!G303)</f>
        <v>31.5</v>
      </c>
      <c r="D306" s="31" t="n">
        <f aca="false">IF(AND('Raw Orders'!C303="Product",'Raw Orders'!K303="Fulfilled",COUNTIFS('Raw Orders'!$A$2:$A303,'Raw Orders'!A303,'Raw Orders'!$C$2:$C303,"Product",'Raw Orders'!$K$2:$K303,"Fulfilled")=1),1,0)</f>
        <v>1</v>
      </c>
      <c r="E306" s="31" t="n">
        <f aca="false">IF(AND('Raw Orders'!C303="Product",'Raw Orders'!K303="Fulfilled"),'Raw Orders'!E303,0)</f>
        <v>1</v>
      </c>
      <c r="F306" s="32" t="n">
        <f aca="false">IF('Raw Orders'!K303="Refunded",'Raw Orders'!G303,0)</f>
        <v>0</v>
      </c>
    </row>
    <row r="307" customFormat="false" ht="15" hidden="false" customHeight="false" outlineLevel="0" collapsed="false">
      <c r="A307" s="36" t="n">
        <f aca="false">IF('Raw Orders'!B304="","",IF(MID('Raw Orders'!B304,5,1)="-",DATE(VALUE(LEFT('Raw Orders'!B304,4)),VALUE(MID('Raw Orders'!B304,6,2)),VALUE(MID('Raw Orders'!B304,9,2))),DATE(VALUE(MID('Raw Orders'!B304,7,4)),VALUE(MID('Raw Orders'!B304,4,2)),VALUE(LEFT('Raw Orders'!B304,2)))))</f>
        <v>46162</v>
      </c>
      <c r="B307" s="36" t="n">
        <f aca="false">IF(A307="","",A307-WEEKDAY(A307,3))</f>
        <v>46160</v>
      </c>
      <c r="C307" s="32" t="n">
        <f aca="false">IF(OR('Raw Orders'!C304&lt;&gt;"Product",'Raw Orders'!K304="Cancelled"),0,'Raw Orders'!G304)</f>
        <v>32</v>
      </c>
      <c r="D307" s="31" t="n">
        <f aca="false">IF(AND('Raw Orders'!C304="Product",'Raw Orders'!K304="Fulfilled",COUNTIFS('Raw Orders'!$A$2:$A304,'Raw Orders'!A304,'Raw Orders'!$C$2:$C304,"Product",'Raw Orders'!$K$2:$K304,"Fulfilled")=1),1,0)</f>
        <v>0</v>
      </c>
      <c r="E307" s="31" t="n">
        <f aca="false">IF(AND('Raw Orders'!C304="Product",'Raw Orders'!K304="Fulfilled"),'Raw Orders'!E304,0)</f>
        <v>1</v>
      </c>
      <c r="F307" s="32" t="n">
        <f aca="false">IF('Raw Orders'!K304="Refunded",'Raw Orders'!G304,0)</f>
        <v>0</v>
      </c>
    </row>
    <row r="308" customFormat="false" ht="15" hidden="false" customHeight="false" outlineLevel="0" collapsed="false">
      <c r="A308" s="36" t="n">
        <f aca="false">IF('Raw Orders'!B305="","",IF(MID('Raw Orders'!B305,5,1)="-",DATE(VALUE(LEFT('Raw Orders'!B305,4)),VALUE(MID('Raw Orders'!B305,6,2)),VALUE(MID('Raw Orders'!B305,9,2))),DATE(VALUE(MID('Raw Orders'!B305,7,4)),VALUE(MID('Raw Orders'!B305,4,2)),VALUE(LEFT('Raw Orders'!B305,2)))))</f>
        <v>46163</v>
      </c>
      <c r="B308" s="36" t="n">
        <f aca="false">IF(A308="","",A308-WEEKDAY(A308,3))</f>
        <v>46160</v>
      </c>
      <c r="C308" s="32" t="n">
        <f aca="false">IF(OR('Raw Orders'!C305&lt;&gt;"Product",'Raw Orders'!K305="Cancelled"),0,'Raw Orders'!G305)</f>
        <v>35</v>
      </c>
      <c r="D308" s="31" t="n">
        <f aca="false">IF(AND('Raw Orders'!C305="Product",'Raw Orders'!K305="Fulfilled",COUNTIFS('Raw Orders'!$A$2:$A305,'Raw Orders'!A305,'Raw Orders'!$C$2:$C305,"Product",'Raw Orders'!$K$2:$K305,"Fulfilled")=1),1,0)</f>
        <v>1</v>
      </c>
      <c r="E308" s="31" t="n">
        <f aca="false">IF(AND('Raw Orders'!C305="Product",'Raw Orders'!K305="Fulfilled"),'Raw Orders'!E305,0)</f>
        <v>1</v>
      </c>
      <c r="F308" s="32" t="n">
        <f aca="false">IF('Raw Orders'!K305="Refunded",'Raw Orders'!G305,0)</f>
        <v>0</v>
      </c>
    </row>
    <row r="309" customFormat="false" ht="15" hidden="false" customHeight="false" outlineLevel="0" collapsed="false">
      <c r="A309" s="36" t="n">
        <f aca="false">IF('Raw Orders'!B306="","",IF(MID('Raw Orders'!B306,5,1)="-",DATE(VALUE(LEFT('Raw Orders'!B306,4)),VALUE(MID('Raw Orders'!B306,6,2)),VALUE(MID('Raw Orders'!B306,9,2))),DATE(VALUE(MID('Raw Orders'!B306,7,4)),VALUE(MID('Raw Orders'!B306,4,2)),VALUE(LEFT('Raw Orders'!B306,2)))))</f>
        <v>46163</v>
      </c>
      <c r="B309" s="36" t="n">
        <f aca="false">IF(A309="","",A309-WEEKDAY(A309,3))</f>
        <v>46160</v>
      </c>
      <c r="C309" s="32" t="n">
        <f aca="false">IF(OR('Raw Orders'!C306&lt;&gt;"Product",'Raw Orders'!K306="Cancelled"),0,'Raw Orders'!G306)</f>
        <v>17.6</v>
      </c>
      <c r="D309" s="31" t="n">
        <f aca="false">IF(AND('Raw Orders'!C306="Product",'Raw Orders'!K306="Fulfilled",COUNTIFS('Raw Orders'!$A$2:$A306,'Raw Orders'!A306,'Raw Orders'!$C$2:$C306,"Product",'Raw Orders'!$K$2:$K306,"Fulfilled")=1),1,0)</f>
        <v>0</v>
      </c>
      <c r="E309" s="31" t="n">
        <f aca="false">IF(AND('Raw Orders'!C306="Product",'Raw Orders'!K306="Fulfilled"),'Raw Orders'!E306,0)</f>
        <v>1</v>
      </c>
      <c r="F309" s="32" t="n">
        <f aca="false">IF('Raw Orders'!K306="Refunded",'Raw Orders'!G306,0)</f>
        <v>0</v>
      </c>
    </row>
    <row r="310" customFormat="false" ht="15" hidden="false" customHeight="false" outlineLevel="0" collapsed="false">
      <c r="A310" s="36" t="n">
        <f aca="false">IF('Raw Orders'!B307="","",IF(MID('Raw Orders'!B307,5,1)="-",DATE(VALUE(LEFT('Raw Orders'!B307,4)),VALUE(MID('Raw Orders'!B307,6,2)),VALUE(MID('Raw Orders'!B307,9,2))),DATE(VALUE(MID('Raw Orders'!B307,7,4)),VALUE(MID('Raw Orders'!B307,4,2)),VALUE(LEFT('Raw Orders'!B307,2)))))</f>
        <v>46163</v>
      </c>
      <c r="B310" s="36" t="n">
        <f aca="false">IF(A310="","",A310-WEEKDAY(A310,3))</f>
        <v>46160</v>
      </c>
      <c r="C310" s="32" t="n">
        <f aca="false">IF(OR('Raw Orders'!C307&lt;&gt;"Product",'Raw Orders'!K307="Cancelled"),0,'Raw Orders'!G307)</f>
        <v>39.6</v>
      </c>
      <c r="D310" s="31" t="n">
        <f aca="false">IF(AND('Raw Orders'!C307="Product",'Raw Orders'!K307="Fulfilled",COUNTIFS('Raw Orders'!$A$2:$A307,'Raw Orders'!A307,'Raw Orders'!$C$2:$C307,"Product",'Raw Orders'!$K$2:$K307,"Fulfilled")=1),1,0)</f>
        <v>1</v>
      </c>
      <c r="E310" s="31" t="n">
        <f aca="false">IF(AND('Raw Orders'!C307="Product",'Raw Orders'!K307="Fulfilled"),'Raw Orders'!E307,0)</f>
        <v>2</v>
      </c>
      <c r="F310" s="32" t="n">
        <f aca="false">IF('Raw Orders'!K307="Refunded",'Raw Orders'!G307,0)</f>
        <v>0</v>
      </c>
    </row>
    <row r="311" customFormat="false" ht="15" hidden="false" customHeight="false" outlineLevel="0" collapsed="false">
      <c r="A311" s="36" t="n">
        <f aca="false">IF('Raw Orders'!B308="","",IF(MID('Raw Orders'!B308,5,1)="-",DATE(VALUE(LEFT('Raw Orders'!B308,4)),VALUE(MID('Raw Orders'!B308,6,2)),VALUE(MID('Raw Orders'!B308,9,2))),DATE(VALUE(MID('Raw Orders'!B308,7,4)),VALUE(MID('Raw Orders'!B308,4,2)),VALUE(LEFT('Raw Orders'!B308,2)))))</f>
        <v>46163</v>
      </c>
      <c r="B311" s="36" t="n">
        <f aca="false">IF(A311="","",A311-WEEKDAY(A311,3))</f>
        <v>46160</v>
      </c>
      <c r="C311" s="32" t="n">
        <f aca="false">IF(OR('Raw Orders'!C308&lt;&gt;"Product",'Raw Orders'!K308="Cancelled"),0,'Raw Orders'!G308)</f>
        <v>26</v>
      </c>
      <c r="D311" s="31" t="n">
        <f aca="false">IF(AND('Raw Orders'!C308="Product",'Raw Orders'!K308="Fulfilled",COUNTIFS('Raw Orders'!$A$2:$A308,'Raw Orders'!A308,'Raw Orders'!$C$2:$C308,"Product",'Raw Orders'!$K$2:$K308,"Fulfilled")=1),1,0)</f>
        <v>0</v>
      </c>
      <c r="E311" s="31" t="n">
        <f aca="false">IF(AND('Raw Orders'!C308="Product",'Raw Orders'!K308="Fulfilled"),'Raw Orders'!E308,0)</f>
        <v>1</v>
      </c>
      <c r="F311" s="32" t="n">
        <f aca="false">IF('Raw Orders'!K308="Refunded",'Raw Orders'!G308,0)</f>
        <v>0</v>
      </c>
    </row>
    <row r="312" customFormat="false" ht="15" hidden="false" customHeight="false" outlineLevel="0" collapsed="false">
      <c r="A312" s="36" t="n">
        <f aca="false">IF('Raw Orders'!B309="","",IF(MID('Raw Orders'!B309,5,1)="-",DATE(VALUE(LEFT('Raw Orders'!B309,4)),VALUE(MID('Raw Orders'!B309,6,2)),VALUE(MID('Raw Orders'!B309,9,2))),DATE(VALUE(MID('Raw Orders'!B309,7,4)),VALUE(MID('Raw Orders'!B309,4,2)),VALUE(LEFT('Raw Orders'!B309,2)))))</f>
        <v>46163</v>
      </c>
      <c r="B312" s="36" t="n">
        <f aca="false">IF(A312="","",A312-WEEKDAY(A312,3))</f>
        <v>46160</v>
      </c>
      <c r="C312" s="32" t="n">
        <f aca="false">IF(OR('Raw Orders'!C309&lt;&gt;"Product",'Raw Orders'!K309="Cancelled"),0,'Raw Orders'!G309)</f>
        <v>0</v>
      </c>
      <c r="D312" s="31" t="n">
        <f aca="false">IF(AND('Raw Orders'!C309="Product",'Raw Orders'!K309="Fulfilled",COUNTIFS('Raw Orders'!$A$2:$A309,'Raw Orders'!A309,'Raw Orders'!$C$2:$C309,"Product",'Raw Orders'!$K$2:$K309,"Fulfilled")=1),1,0)</f>
        <v>0</v>
      </c>
      <c r="E312" s="31" t="n">
        <f aca="false">IF(AND('Raw Orders'!C309="Product",'Raw Orders'!K309="Fulfilled"),'Raw Orders'!E309,0)</f>
        <v>0</v>
      </c>
      <c r="F312" s="32" t="n">
        <f aca="false">IF('Raw Orders'!K309="Refunded",'Raw Orders'!G309,0)</f>
        <v>0</v>
      </c>
    </row>
    <row r="313" customFormat="false" ht="15" hidden="false" customHeight="false" outlineLevel="0" collapsed="false">
      <c r="A313" s="36" t="n">
        <f aca="false">IF('Raw Orders'!B310="","",IF(MID('Raw Orders'!B310,5,1)="-",DATE(VALUE(LEFT('Raw Orders'!B310,4)),VALUE(MID('Raw Orders'!B310,6,2)),VALUE(MID('Raw Orders'!B310,9,2))),DATE(VALUE(MID('Raw Orders'!B310,7,4)),VALUE(MID('Raw Orders'!B310,4,2)),VALUE(LEFT('Raw Orders'!B310,2)))))</f>
        <v>46163</v>
      </c>
      <c r="B313" s="36" t="n">
        <f aca="false">IF(A313="","",A313-WEEKDAY(A313,3))</f>
        <v>46160</v>
      </c>
      <c r="C313" s="32" t="n">
        <f aca="false">IF(OR('Raw Orders'!C310&lt;&gt;"Product",'Raw Orders'!K310="Cancelled"),0,'Raw Orders'!G310)</f>
        <v>39</v>
      </c>
      <c r="D313" s="31" t="n">
        <f aca="false">IF(AND('Raw Orders'!C310="Product",'Raw Orders'!K310="Fulfilled",COUNTIFS('Raw Orders'!$A$2:$A310,'Raw Orders'!A310,'Raw Orders'!$C$2:$C310,"Product",'Raw Orders'!$K$2:$K310,"Fulfilled")=1),1,0)</f>
        <v>0</v>
      </c>
      <c r="E313" s="31" t="n">
        <f aca="false">IF(AND('Raw Orders'!C310="Product",'Raw Orders'!K310="Fulfilled"),'Raw Orders'!E310,0)</f>
        <v>1</v>
      </c>
      <c r="F313" s="32" t="n">
        <f aca="false">IF('Raw Orders'!K310="Refunded",'Raw Orders'!G310,0)</f>
        <v>0</v>
      </c>
    </row>
    <row r="314" customFormat="false" ht="15" hidden="false" customHeight="false" outlineLevel="0" collapsed="false">
      <c r="A314" s="36" t="n">
        <f aca="false">IF('Raw Orders'!B311="","",IF(MID('Raw Orders'!B311,5,1)="-",DATE(VALUE(LEFT('Raw Orders'!B311,4)),VALUE(MID('Raw Orders'!B311,6,2)),VALUE(MID('Raw Orders'!B311,9,2))),DATE(VALUE(MID('Raw Orders'!B311,7,4)),VALUE(MID('Raw Orders'!B311,4,2)),VALUE(LEFT('Raw Orders'!B311,2)))))</f>
        <v>46163</v>
      </c>
      <c r="B314" s="36" t="n">
        <f aca="false">IF(A314="","",A314-WEEKDAY(A314,3))</f>
        <v>46160</v>
      </c>
      <c r="C314" s="32" t="n">
        <f aca="false">IF(OR('Raw Orders'!C311&lt;&gt;"Product",'Raw Orders'!K311="Cancelled"),0,'Raw Orders'!G311)</f>
        <v>0</v>
      </c>
      <c r="D314" s="31" t="n">
        <f aca="false">IF(AND('Raw Orders'!C311="Product",'Raw Orders'!K311="Fulfilled",COUNTIFS('Raw Orders'!$A$2:$A311,'Raw Orders'!A311,'Raw Orders'!$C$2:$C311,"Product",'Raw Orders'!$K$2:$K311,"Fulfilled")=1),1,0)</f>
        <v>0</v>
      </c>
      <c r="E314" s="31" t="n">
        <f aca="false">IF(AND('Raw Orders'!C311="Product",'Raw Orders'!K311="Fulfilled"),'Raw Orders'!E311,0)</f>
        <v>0</v>
      </c>
      <c r="F314" s="32" t="n">
        <f aca="false">IF('Raw Orders'!K311="Refunded",'Raw Orders'!G311,0)</f>
        <v>0</v>
      </c>
    </row>
    <row r="315" customFormat="false" ht="15" hidden="false" customHeight="false" outlineLevel="0" collapsed="false">
      <c r="A315" s="36" t="n">
        <f aca="false">IF('Raw Orders'!B312="","",IF(MID('Raw Orders'!B312,5,1)="-",DATE(VALUE(LEFT('Raw Orders'!B312,4)),VALUE(MID('Raw Orders'!B312,6,2)),VALUE(MID('Raw Orders'!B312,9,2))),DATE(VALUE(MID('Raw Orders'!B312,7,4)),VALUE(MID('Raw Orders'!B312,4,2)),VALUE(LEFT('Raw Orders'!B312,2)))))</f>
        <v>46163</v>
      </c>
      <c r="B315" s="36" t="n">
        <f aca="false">IF(A315="","",A315-WEEKDAY(A315,3))</f>
        <v>46160</v>
      </c>
      <c r="C315" s="32" t="n">
        <f aca="false">IF(OR('Raw Orders'!C312&lt;&gt;"Product",'Raw Orders'!K312="Cancelled"),0,'Raw Orders'!G312)</f>
        <v>32</v>
      </c>
      <c r="D315" s="31" t="n">
        <f aca="false">IF(AND('Raw Orders'!C312="Product",'Raw Orders'!K312="Fulfilled",COUNTIFS('Raw Orders'!$A$2:$A312,'Raw Orders'!A312,'Raw Orders'!$C$2:$C312,"Product",'Raw Orders'!$K$2:$K312,"Fulfilled")=1),1,0)</f>
        <v>1</v>
      </c>
      <c r="E315" s="31" t="n">
        <f aca="false">IF(AND('Raw Orders'!C312="Product",'Raw Orders'!K312="Fulfilled"),'Raw Orders'!E312,0)</f>
        <v>1</v>
      </c>
      <c r="F315" s="32" t="n">
        <f aca="false">IF('Raw Orders'!K312="Refunded",'Raw Orders'!G312,0)</f>
        <v>0</v>
      </c>
    </row>
    <row r="316" customFormat="false" ht="15" hidden="false" customHeight="false" outlineLevel="0" collapsed="false">
      <c r="A316" s="36" t="n">
        <f aca="false">IF('Raw Orders'!B313="","",IF(MID('Raw Orders'!B313,5,1)="-",DATE(VALUE(LEFT('Raw Orders'!B313,4)),VALUE(MID('Raw Orders'!B313,6,2)),VALUE(MID('Raw Orders'!B313,9,2))),DATE(VALUE(MID('Raw Orders'!B313,7,4)),VALUE(MID('Raw Orders'!B313,4,2)),VALUE(LEFT('Raw Orders'!B313,2)))))</f>
        <v>46163</v>
      </c>
      <c r="B316" s="36" t="n">
        <f aca="false">IF(A316="","",A316-WEEKDAY(A316,3))</f>
        <v>46160</v>
      </c>
      <c r="C316" s="32" t="n">
        <f aca="false">IF(OR('Raw Orders'!C313&lt;&gt;"Product",'Raw Orders'!K313="Cancelled"),0,'Raw Orders'!G313)</f>
        <v>0</v>
      </c>
      <c r="D316" s="31" t="n">
        <f aca="false">IF(AND('Raw Orders'!C313="Product",'Raw Orders'!K313="Fulfilled",COUNTIFS('Raw Orders'!$A$2:$A313,'Raw Orders'!A313,'Raw Orders'!$C$2:$C313,"Product",'Raw Orders'!$K$2:$K313,"Fulfilled")=1),1,0)</f>
        <v>0</v>
      </c>
      <c r="E316" s="31" t="n">
        <f aca="false">IF(AND('Raw Orders'!C313="Product",'Raw Orders'!K313="Fulfilled"),'Raw Orders'!E313,0)</f>
        <v>0</v>
      </c>
      <c r="F316" s="32" t="n">
        <f aca="false">IF('Raw Orders'!K313="Refunded",'Raw Orders'!G313,0)</f>
        <v>0</v>
      </c>
    </row>
    <row r="317" customFormat="false" ht="15" hidden="false" customHeight="false" outlineLevel="0" collapsed="false">
      <c r="A317" s="36" t="n">
        <f aca="false">IF('Raw Orders'!B314="","",IF(MID('Raw Orders'!B314,5,1)="-",DATE(VALUE(LEFT('Raw Orders'!B314,4)),VALUE(MID('Raw Orders'!B314,6,2)),VALUE(MID('Raw Orders'!B314,9,2))),DATE(VALUE(MID('Raw Orders'!B314,7,4)),VALUE(MID('Raw Orders'!B314,4,2)),VALUE(LEFT('Raw Orders'!B314,2)))))</f>
        <v>46163</v>
      </c>
      <c r="B317" s="36" t="n">
        <f aca="false">IF(A317="","",A317-WEEKDAY(A317,3))</f>
        <v>46160</v>
      </c>
      <c r="C317" s="32" t="n">
        <f aca="false">IF(OR('Raw Orders'!C314&lt;&gt;"Product",'Raw Orders'!K314="Cancelled"),0,'Raw Orders'!G314)</f>
        <v>89</v>
      </c>
      <c r="D317" s="31" t="n">
        <f aca="false">IF(AND('Raw Orders'!C314="Product",'Raw Orders'!K314="Fulfilled",COUNTIFS('Raw Orders'!$A$2:$A314,'Raw Orders'!A314,'Raw Orders'!$C$2:$C314,"Product",'Raw Orders'!$K$2:$K314,"Fulfilled")=1),1,0)</f>
        <v>1</v>
      </c>
      <c r="E317" s="31" t="n">
        <f aca="false">IF(AND('Raw Orders'!C314="Product",'Raw Orders'!K314="Fulfilled"),'Raw Orders'!E314,0)</f>
        <v>1</v>
      </c>
      <c r="F317" s="32" t="n">
        <f aca="false">IF('Raw Orders'!K314="Refunded",'Raw Orders'!G314,0)</f>
        <v>0</v>
      </c>
    </row>
    <row r="318" customFormat="false" ht="15" hidden="false" customHeight="false" outlineLevel="0" collapsed="false">
      <c r="A318" s="36" t="n">
        <f aca="false">IF('Raw Orders'!B315="","",IF(MID('Raw Orders'!B315,5,1)="-",DATE(VALUE(LEFT('Raw Orders'!B315,4)),VALUE(MID('Raw Orders'!B315,6,2)),VALUE(MID('Raw Orders'!B315,9,2))),DATE(VALUE(MID('Raw Orders'!B315,7,4)),VALUE(MID('Raw Orders'!B315,4,2)),VALUE(LEFT('Raw Orders'!B315,2)))))</f>
        <v>46163</v>
      </c>
      <c r="B318" s="36" t="n">
        <f aca="false">IF(A318="","",A318-WEEKDAY(A318,3))</f>
        <v>46160</v>
      </c>
      <c r="C318" s="32" t="n">
        <f aca="false">IF(OR('Raw Orders'!C315&lt;&gt;"Product",'Raw Orders'!K315="Cancelled"),0,'Raw Orders'!G315)</f>
        <v>39</v>
      </c>
      <c r="D318" s="31" t="n">
        <f aca="false">IF(AND('Raw Orders'!C315="Product",'Raw Orders'!K315="Fulfilled",COUNTIFS('Raw Orders'!$A$2:$A315,'Raw Orders'!A315,'Raw Orders'!$C$2:$C315,"Product",'Raw Orders'!$K$2:$K315,"Fulfilled")=1),1,0)</f>
        <v>0</v>
      </c>
      <c r="E318" s="31" t="n">
        <f aca="false">IF(AND('Raw Orders'!C315="Product",'Raw Orders'!K315="Fulfilled"),'Raw Orders'!E315,0)</f>
        <v>1</v>
      </c>
      <c r="F318" s="32" t="n">
        <f aca="false">IF('Raw Orders'!K315="Refunded",'Raw Orders'!G315,0)</f>
        <v>0</v>
      </c>
    </row>
    <row r="319" customFormat="false" ht="15" hidden="false" customHeight="false" outlineLevel="0" collapsed="false">
      <c r="A319" s="36" t="n">
        <f aca="false">IF('Raw Orders'!B316="","",IF(MID('Raw Orders'!B316,5,1)="-",DATE(VALUE(LEFT('Raw Orders'!B316,4)),VALUE(MID('Raw Orders'!B316,6,2)),VALUE(MID('Raw Orders'!B316,9,2))),DATE(VALUE(MID('Raw Orders'!B316,7,4)),VALUE(MID('Raw Orders'!B316,4,2)),VALUE(LEFT('Raw Orders'!B316,2)))))</f>
        <v>46163</v>
      </c>
      <c r="B319" s="36" t="n">
        <f aca="false">IF(A319="","",A319-WEEKDAY(A319,3))</f>
        <v>46160</v>
      </c>
      <c r="C319" s="32" t="n">
        <f aca="false">IF(OR('Raw Orders'!C316&lt;&gt;"Product",'Raw Orders'!K316="Cancelled"),0,'Raw Orders'!G316)</f>
        <v>0</v>
      </c>
      <c r="D319" s="31" t="n">
        <f aca="false">IF(AND('Raw Orders'!C316="Product",'Raw Orders'!K316="Fulfilled",COUNTIFS('Raw Orders'!$A$2:$A316,'Raw Orders'!A316,'Raw Orders'!$C$2:$C316,"Product",'Raw Orders'!$K$2:$K316,"Fulfilled")=1),1,0)</f>
        <v>0</v>
      </c>
      <c r="E319" s="31" t="n">
        <f aca="false">IF(AND('Raw Orders'!C316="Product",'Raw Orders'!K316="Fulfilled"),'Raw Orders'!E316,0)</f>
        <v>0</v>
      </c>
      <c r="F319" s="32" t="n">
        <f aca="false">IF('Raw Orders'!K316="Refunded",'Raw Orders'!G316,0)</f>
        <v>0</v>
      </c>
    </row>
    <row r="320" customFormat="false" ht="15" hidden="false" customHeight="false" outlineLevel="0" collapsed="false">
      <c r="A320" s="36" t="n">
        <f aca="false">IF('Raw Orders'!B317="","",IF(MID('Raw Orders'!B317,5,1)="-",DATE(VALUE(LEFT('Raw Orders'!B317,4)),VALUE(MID('Raw Orders'!B317,6,2)),VALUE(MID('Raw Orders'!B317,9,2))),DATE(VALUE(MID('Raw Orders'!B317,7,4)),VALUE(MID('Raw Orders'!B317,4,2)),VALUE(LEFT('Raw Orders'!B317,2)))))</f>
        <v>46163</v>
      </c>
      <c r="B320" s="36" t="n">
        <f aca="false">IF(A320="","",A320-WEEKDAY(A320,3))</f>
        <v>46160</v>
      </c>
      <c r="C320" s="32" t="n">
        <f aca="false">IF(OR('Raw Orders'!C317&lt;&gt;"Product",'Raw Orders'!K317="Cancelled"),0,'Raw Orders'!G317)</f>
        <v>29</v>
      </c>
      <c r="D320" s="31" t="n">
        <f aca="false">IF(AND('Raw Orders'!C317="Product",'Raw Orders'!K317="Fulfilled",COUNTIFS('Raw Orders'!$A$2:$A317,'Raw Orders'!A317,'Raw Orders'!$C$2:$C317,"Product",'Raw Orders'!$K$2:$K317,"Fulfilled")=1),1,0)</f>
        <v>1</v>
      </c>
      <c r="E320" s="31" t="n">
        <f aca="false">IF(AND('Raw Orders'!C317="Product",'Raw Orders'!K317="Fulfilled"),'Raw Orders'!E317,0)</f>
        <v>1</v>
      </c>
      <c r="F320" s="32" t="n">
        <f aca="false">IF('Raw Orders'!K317="Refunded",'Raw Orders'!G317,0)</f>
        <v>0</v>
      </c>
    </row>
    <row r="321" customFormat="false" ht="15" hidden="false" customHeight="false" outlineLevel="0" collapsed="false">
      <c r="A321" s="36" t="n">
        <f aca="false">IF('Raw Orders'!B318="","",IF(MID('Raw Orders'!B318,5,1)="-",DATE(VALUE(LEFT('Raw Orders'!B318,4)),VALUE(MID('Raw Orders'!B318,6,2)),VALUE(MID('Raw Orders'!B318,9,2))),DATE(VALUE(MID('Raw Orders'!B318,7,4)),VALUE(MID('Raw Orders'!B318,4,2)),VALUE(LEFT('Raw Orders'!B318,2)))))</f>
        <v>46163</v>
      </c>
      <c r="B321" s="36" t="n">
        <f aca="false">IF(A321="","",A321-WEEKDAY(A321,3))</f>
        <v>46160</v>
      </c>
      <c r="C321" s="32" t="n">
        <f aca="false">IF(OR('Raw Orders'!C318&lt;&gt;"Product",'Raw Orders'!K318="Cancelled"),0,'Raw Orders'!G318)</f>
        <v>52</v>
      </c>
      <c r="D321" s="31" t="n">
        <f aca="false">IF(AND('Raw Orders'!C318="Product",'Raw Orders'!K318="Fulfilled",COUNTIFS('Raw Orders'!$A$2:$A318,'Raw Orders'!A318,'Raw Orders'!$C$2:$C318,"Product",'Raw Orders'!$K$2:$K318,"Fulfilled")=1),1,0)</f>
        <v>0</v>
      </c>
      <c r="E321" s="31" t="n">
        <f aca="false">IF(AND('Raw Orders'!C318="Product",'Raw Orders'!K318="Fulfilled"),'Raw Orders'!E318,0)</f>
        <v>2</v>
      </c>
      <c r="F321" s="32" t="n">
        <f aca="false">IF('Raw Orders'!K318="Refunded",'Raw Orders'!G318,0)</f>
        <v>0</v>
      </c>
    </row>
    <row r="322" customFormat="false" ht="15" hidden="false" customHeight="false" outlineLevel="0" collapsed="false">
      <c r="A322" s="36" t="n">
        <f aca="false">IF('Raw Orders'!B319="","",IF(MID('Raw Orders'!B319,5,1)="-",DATE(VALUE(LEFT('Raw Orders'!B319,4)),VALUE(MID('Raw Orders'!B319,6,2)),VALUE(MID('Raw Orders'!B319,9,2))),DATE(VALUE(MID('Raw Orders'!B319,7,4)),VALUE(MID('Raw Orders'!B319,4,2)),VALUE(LEFT('Raw Orders'!B319,2)))))</f>
        <v>46163</v>
      </c>
      <c r="B322" s="36" t="n">
        <f aca="false">IF(A322="","",A322-WEEKDAY(A322,3))</f>
        <v>46160</v>
      </c>
      <c r="C322" s="32" t="n">
        <f aca="false">IF(OR('Raw Orders'!C319&lt;&gt;"Product",'Raw Orders'!K319="Cancelled"),0,'Raw Orders'!G319)</f>
        <v>29</v>
      </c>
      <c r="D322" s="31" t="n">
        <f aca="false">IF(AND('Raw Orders'!C319="Product",'Raw Orders'!K319="Fulfilled",COUNTIFS('Raw Orders'!$A$2:$A319,'Raw Orders'!A319,'Raw Orders'!$C$2:$C319,"Product",'Raw Orders'!$K$2:$K319,"Fulfilled")=1),1,0)</f>
        <v>1</v>
      </c>
      <c r="E322" s="31" t="n">
        <f aca="false">IF(AND('Raw Orders'!C319="Product",'Raw Orders'!K319="Fulfilled"),'Raw Orders'!E319,0)</f>
        <v>1</v>
      </c>
      <c r="F322" s="32" t="n">
        <f aca="false">IF('Raw Orders'!K319="Refunded",'Raw Orders'!G319,0)</f>
        <v>0</v>
      </c>
    </row>
    <row r="323" customFormat="false" ht="15" hidden="false" customHeight="false" outlineLevel="0" collapsed="false">
      <c r="A323" s="36" t="n">
        <f aca="false">IF('Raw Orders'!B320="","",IF(MID('Raw Orders'!B320,5,1)="-",DATE(VALUE(LEFT('Raw Orders'!B320,4)),VALUE(MID('Raw Orders'!B320,6,2)),VALUE(MID('Raw Orders'!B320,9,2))),DATE(VALUE(MID('Raw Orders'!B320,7,4)),VALUE(MID('Raw Orders'!B320,4,2)),VALUE(LEFT('Raw Orders'!B320,2)))))</f>
        <v>46163</v>
      </c>
      <c r="B323" s="36" t="n">
        <f aca="false">IF(A323="","",A323-WEEKDAY(A323,3))</f>
        <v>46160</v>
      </c>
      <c r="C323" s="32" t="n">
        <f aca="false">IF(OR('Raw Orders'!C320&lt;&gt;"Product",'Raw Orders'!K320="Cancelled"),0,'Raw Orders'!G320)</f>
        <v>39</v>
      </c>
      <c r="D323" s="31" t="n">
        <f aca="false">IF(AND('Raw Orders'!C320="Product",'Raw Orders'!K320="Fulfilled",COUNTIFS('Raw Orders'!$A$2:$A320,'Raw Orders'!A320,'Raw Orders'!$C$2:$C320,"Product",'Raw Orders'!$K$2:$K320,"Fulfilled")=1),1,0)</f>
        <v>0</v>
      </c>
      <c r="E323" s="31" t="n">
        <f aca="false">IF(AND('Raw Orders'!C320="Product",'Raw Orders'!K320="Fulfilled"),'Raw Orders'!E320,0)</f>
        <v>1</v>
      </c>
      <c r="F323" s="32" t="n">
        <f aca="false">IF('Raw Orders'!K320="Refunded",'Raw Orders'!G320,0)</f>
        <v>0</v>
      </c>
    </row>
    <row r="324" customFormat="false" ht="15" hidden="false" customHeight="false" outlineLevel="0" collapsed="false">
      <c r="A324" s="36" t="n">
        <f aca="false">IF('Raw Orders'!B321="","",IF(MID('Raw Orders'!B321,5,1)="-",DATE(VALUE(LEFT('Raw Orders'!B321,4)),VALUE(MID('Raw Orders'!B321,6,2)),VALUE(MID('Raw Orders'!B321,9,2))),DATE(VALUE(MID('Raw Orders'!B321,7,4)),VALUE(MID('Raw Orders'!B321,4,2)),VALUE(LEFT('Raw Orders'!B321,2)))))</f>
        <v>46163</v>
      </c>
      <c r="B324" s="36" t="n">
        <f aca="false">IF(A324="","",A324-WEEKDAY(A324,3))</f>
        <v>46160</v>
      </c>
      <c r="C324" s="32" t="n">
        <f aca="false">IF(OR('Raw Orders'!C321&lt;&gt;"Product",'Raw Orders'!K321="Cancelled"),0,'Raw Orders'!G321)</f>
        <v>0</v>
      </c>
      <c r="D324" s="31" t="n">
        <f aca="false">IF(AND('Raw Orders'!C321="Product",'Raw Orders'!K321="Fulfilled",COUNTIFS('Raw Orders'!$A$2:$A321,'Raw Orders'!A321,'Raw Orders'!$C$2:$C321,"Product",'Raw Orders'!$K$2:$K321,"Fulfilled")=1),1,0)</f>
        <v>0</v>
      </c>
      <c r="E324" s="31" t="n">
        <f aca="false">IF(AND('Raw Orders'!C321="Product",'Raw Orders'!K321="Fulfilled"),'Raw Orders'!E321,0)</f>
        <v>0</v>
      </c>
      <c r="F324" s="32" t="n">
        <f aca="false">IF('Raw Orders'!K321="Refunded",'Raw Orders'!G321,0)</f>
        <v>0</v>
      </c>
    </row>
    <row r="325" customFormat="false" ht="15" hidden="false" customHeight="false" outlineLevel="0" collapsed="false">
      <c r="A325" s="36" t="n">
        <f aca="false">IF('Raw Orders'!B322="","",IF(MID('Raw Orders'!B322,5,1)="-",DATE(VALUE(LEFT('Raw Orders'!B322,4)),VALUE(MID('Raw Orders'!B322,6,2)),VALUE(MID('Raw Orders'!B322,9,2))),DATE(VALUE(MID('Raw Orders'!B322,7,4)),VALUE(MID('Raw Orders'!B322,4,2)),VALUE(LEFT('Raw Orders'!B322,2)))))</f>
        <v>46163</v>
      </c>
      <c r="B325" s="36" t="n">
        <f aca="false">IF(A325="","",A325-WEEKDAY(A325,3))</f>
        <v>46160</v>
      </c>
      <c r="C325" s="32" t="n">
        <f aca="false">IF(OR('Raw Orders'!C322&lt;&gt;"Product",'Raw Orders'!K322="Cancelled"),0,'Raw Orders'!G322)</f>
        <v>0</v>
      </c>
      <c r="D325" s="31" t="n">
        <f aca="false">IF(AND('Raw Orders'!C322="Product",'Raw Orders'!K322="Fulfilled",COUNTIFS('Raw Orders'!$A$2:$A322,'Raw Orders'!A322,'Raw Orders'!$C$2:$C322,"Product",'Raw Orders'!$K$2:$K322,"Fulfilled")=1),1,0)</f>
        <v>0</v>
      </c>
      <c r="E325" s="31" t="n">
        <f aca="false">IF(AND('Raw Orders'!C322="Product",'Raw Orders'!K322="Fulfilled"),'Raw Orders'!E322,0)</f>
        <v>0</v>
      </c>
      <c r="F325" s="32" t="n">
        <f aca="false">IF('Raw Orders'!K322="Refunded",'Raw Orders'!G322,0)</f>
        <v>0</v>
      </c>
    </row>
    <row r="326" customFormat="false" ht="15" hidden="false" customHeight="false" outlineLevel="0" collapsed="false">
      <c r="A326" s="36" t="n">
        <f aca="false">IF('Raw Orders'!B323="","",IF(MID('Raw Orders'!B323,5,1)="-",DATE(VALUE(LEFT('Raw Orders'!B323,4)),VALUE(MID('Raw Orders'!B323,6,2)),VALUE(MID('Raw Orders'!B323,9,2))),DATE(VALUE(MID('Raw Orders'!B323,7,4)),VALUE(MID('Raw Orders'!B323,4,2)),VALUE(LEFT('Raw Orders'!B323,2)))))</f>
        <v>46163</v>
      </c>
      <c r="B326" s="36" t="n">
        <f aca="false">IF(A326="","",A326-WEEKDAY(A326,3))</f>
        <v>46160</v>
      </c>
      <c r="C326" s="32" t="n">
        <f aca="false">IF(OR('Raw Orders'!C323&lt;&gt;"Product",'Raw Orders'!K323="Cancelled"),0,'Raw Orders'!G323)</f>
        <v>44</v>
      </c>
      <c r="D326" s="31" t="n">
        <f aca="false">IF(AND('Raw Orders'!C323="Product",'Raw Orders'!K323="Fulfilled",COUNTIFS('Raw Orders'!$A$2:$A323,'Raw Orders'!A323,'Raw Orders'!$C$2:$C323,"Product",'Raw Orders'!$K$2:$K323,"Fulfilled")=1),1,0)</f>
        <v>1</v>
      </c>
      <c r="E326" s="31" t="n">
        <f aca="false">IF(AND('Raw Orders'!C323="Product",'Raw Orders'!K323="Fulfilled"),'Raw Orders'!E323,0)</f>
        <v>2</v>
      </c>
      <c r="F326" s="32" t="n">
        <f aca="false">IF('Raw Orders'!K323="Refunded",'Raw Orders'!G323,0)</f>
        <v>0</v>
      </c>
    </row>
    <row r="327" customFormat="false" ht="15" hidden="false" customHeight="false" outlineLevel="0" collapsed="false">
      <c r="A327" s="36" t="n">
        <f aca="false">IF('Raw Orders'!B324="","",IF(MID('Raw Orders'!B324,5,1)="-",DATE(VALUE(LEFT('Raw Orders'!B324,4)),VALUE(MID('Raw Orders'!B324,6,2)),VALUE(MID('Raw Orders'!B324,9,2))),DATE(VALUE(MID('Raw Orders'!B324,7,4)),VALUE(MID('Raw Orders'!B324,4,2)),VALUE(LEFT('Raw Orders'!B324,2)))))</f>
        <v>46163</v>
      </c>
      <c r="B327" s="36" t="n">
        <f aca="false">IF(A327="","",A327-WEEKDAY(A327,3))</f>
        <v>46160</v>
      </c>
      <c r="C327" s="32" t="n">
        <f aca="false">IF(OR('Raw Orders'!C324&lt;&gt;"Product",'Raw Orders'!K324="Cancelled"),0,'Raw Orders'!G324)</f>
        <v>0</v>
      </c>
      <c r="D327" s="31" t="n">
        <f aca="false">IF(AND('Raw Orders'!C324="Product",'Raw Orders'!K324="Fulfilled",COUNTIFS('Raw Orders'!$A$2:$A324,'Raw Orders'!A324,'Raw Orders'!$C$2:$C324,"Product",'Raw Orders'!$K$2:$K324,"Fulfilled")=1),1,0)</f>
        <v>0</v>
      </c>
      <c r="E327" s="31" t="n">
        <f aca="false">IF(AND('Raw Orders'!C324="Product",'Raw Orders'!K324="Fulfilled"),'Raw Orders'!E324,0)</f>
        <v>0</v>
      </c>
      <c r="F327" s="32" t="n">
        <f aca="false">IF('Raw Orders'!K324="Refunded",'Raw Orders'!G324,0)</f>
        <v>0</v>
      </c>
    </row>
    <row r="328" customFormat="false" ht="15" hidden="false" customHeight="false" outlineLevel="0" collapsed="false">
      <c r="A328" s="36" t="n">
        <f aca="false">IF('Raw Orders'!B325="","",IF(MID('Raw Orders'!B325,5,1)="-",DATE(VALUE(LEFT('Raw Orders'!B325,4)),VALUE(MID('Raw Orders'!B325,6,2)),VALUE(MID('Raw Orders'!B325,9,2))),DATE(VALUE(MID('Raw Orders'!B325,7,4)),VALUE(MID('Raw Orders'!B325,4,2)),VALUE(LEFT('Raw Orders'!B325,2)))))</f>
        <v>46163</v>
      </c>
      <c r="B328" s="36" t="n">
        <f aca="false">IF(A328="","",A328-WEEKDAY(A328,3))</f>
        <v>46160</v>
      </c>
      <c r="C328" s="32" t="n">
        <f aca="false">IF(OR('Raw Orders'!C325&lt;&gt;"Product",'Raw Orders'!K325="Cancelled"),0,'Raw Orders'!G325)</f>
        <v>58</v>
      </c>
      <c r="D328" s="31" t="n">
        <f aca="false">IF(AND('Raw Orders'!C325="Product",'Raw Orders'!K325="Fulfilled",COUNTIFS('Raw Orders'!$A$2:$A325,'Raw Orders'!A325,'Raw Orders'!$C$2:$C325,"Product",'Raw Orders'!$K$2:$K325,"Fulfilled")=1),1,0)</f>
        <v>1</v>
      </c>
      <c r="E328" s="31" t="n">
        <f aca="false">IF(AND('Raw Orders'!C325="Product",'Raw Orders'!K325="Fulfilled"),'Raw Orders'!E325,0)</f>
        <v>2</v>
      </c>
      <c r="F328" s="32" t="n">
        <f aca="false">IF('Raw Orders'!K325="Refunded",'Raw Orders'!G325,0)</f>
        <v>0</v>
      </c>
    </row>
    <row r="329" customFormat="false" ht="15" hidden="false" customHeight="false" outlineLevel="0" collapsed="false">
      <c r="A329" s="36" t="n">
        <f aca="false">IF('Raw Orders'!B326="","",IF(MID('Raw Orders'!B326,5,1)="-",DATE(VALUE(LEFT('Raw Orders'!B326,4)),VALUE(MID('Raw Orders'!B326,6,2)),VALUE(MID('Raw Orders'!B326,9,2))),DATE(VALUE(MID('Raw Orders'!B326,7,4)),VALUE(MID('Raw Orders'!B326,4,2)),VALUE(LEFT('Raw Orders'!B326,2)))))</f>
        <v>46164</v>
      </c>
      <c r="B329" s="36" t="n">
        <f aca="false">IF(A329="","",A329-WEEKDAY(A329,3))</f>
        <v>46160</v>
      </c>
      <c r="C329" s="32" t="n">
        <f aca="false">IF(OR('Raw Orders'!C326&lt;&gt;"Product",'Raw Orders'!K326="Cancelled"),0,'Raw Orders'!G326)</f>
        <v>0</v>
      </c>
      <c r="D329" s="31" t="n">
        <f aca="false">IF(AND('Raw Orders'!C326="Product",'Raw Orders'!K326="Fulfilled",COUNTIFS('Raw Orders'!$A$2:$A326,'Raw Orders'!A326,'Raw Orders'!$C$2:$C326,"Product",'Raw Orders'!$K$2:$K326,"Fulfilled")=1),1,0)</f>
        <v>0</v>
      </c>
      <c r="E329" s="31" t="n">
        <f aca="false">IF(AND('Raw Orders'!C326="Product",'Raw Orders'!K326="Fulfilled"),'Raw Orders'!E326,0)</f>
        <v>0</v>
      </c>
      <c r="F329" s="32" t="n">
        <f aca="false">IF('Raw Orders'!K326="Refunded",'Raw Orders'!G326,0)</f>
        <v>0</v>
      </c>
    </row>
    <row r="330" customFormat="false" ht="15" hidden="false" customHeight="false" outlineLevel="0" collapsed="false">
      <c r="A330" s="36" t="n">
        <f aca="false">IF('Raw Orders'!B327="","",IF(MID('Raw Orders'!B327,5,1)="-",DATE(VALUE(LEFT('Raw Orders'!B327,4)),VALUE(MID('Raw Orders'!B327,6,2)),VALUE(MID('Raw Orders'!B327,9,2))),DATE(VALUE(MID('Raw Orders'!B327,7,4)),VALUE(MID('Raw Orders'!B327,4,2)),VALUE(LEFT('Raw Orders'!B327,2)))))</f>
        <v>46164</v>
      </c>
      <c r="B330" s="36" t="n">
        <f aca="false">IF(A330="","",A330-WEEKDAY(A330,3))</f>
        <v>46160</v>
      </c>
      <c r="C330" s="32" t="n">
        <f aca="false">IF(OR('Raw Orders'!C327&lt;&gt;"Product",'Raw Orders'!K327="Cancelled"),0,'Raw Orders'!G327)</f>
        <v>89</v>
      </c>
      <c r="D330" s="31" t="n">
        <f aca="false">IF(AND('Raw Orders'!C327="Product",'Raw Orders'!K327="Fulfilled",COUNTIFS('Raw Orders'!$A$2:$A327,'Raw Orders'!A327,'Raw Orders'!$C$2:$C327,"Product",'Raw Orders'!$K$2:$K327,"Fulfilled")=1),1,0)</f>
        <v>1</v>
      </c>
      <c r="E330" s="31" t="n">
        <f aca="false">IF(AND('Raw Orders'!C327="Product",'Raw Orders'!K327="Fulfilled"),'Raw Orders'!E327,0)</f>
        <v>1</v>
      </c>
      <c r="F330" s="32" t="n">
        <f aca="false">IF('Raw Orders'!K327="Refunded",'Raw Orders'!G327,0)</f>
        <v>0</v>
      </c>
    </row>
    <row r="331" customFormat="false" ht="15" hidden="false" customHeight="false" outlineLevel="0" collapsed="false">
      <c r="A331" s="36" t="n">
        <f aca="false">IF('Raw Orders'!B328="","",IF(MID('Raw Orders'!B328,5,1)="-",DATE(VALUE(LEFT('Raw Orders'!B328,4)),VALUE(MID('Raw Orders'!B328,6,2)),VALUE(MID('Raw Orders'!B328,9,2))),DATE(VALUE(MID('Raw Orders'!B328,7,4)),VALUE(MID('Raw Orders'!B328,4,2)),VALUE(LEFT('Raw Orders'!B328,2)))))</f>
        <v>46164</v>
      </c>
      <c r="B331" s="36" t="n">
        <f aca="false">IF(A331="","",A331-WEEKDAY(A331,3))</f>
        <v>46160</v>
      </c>
      <c r="C331" s="32" t="n">
        <f aca="false">IF(OR('Raw Orders'!C328&lt;&gt;"Product",'Raw Orders'!K328="Cancelled"),0,'Raw Orders'!G328)</f>
        <v>29</v>
      </c>
      <c r="D331" s="31" t="n">
        <f aca="false">IF(AND('Raw Orders'!C328="Product",'Raw Orders'!K328="Fulfilled",COUNTIFS('Raw Orders'!$A$2:$A328,'Raw Orders'!A328,'Raw Orders'!$C$2:$C328,"Product",'Raw Orders'!$K$2:$K328,"Fulfilled")=1),1,0)</f>
        <v>1</v>
      </c>
      <c r="E331" s="31" t="n">
        <f aca="false">IF(AND('Raw Orders'!C328="Product",'Raw Orders'!K328="Fulfilled"),'Raw Orders'!E328,0)</f>
        <v>1</v>
      </c>
      <c r="F331" s="32" t="n">
        <f aca="false">IF('Raw Orders'!K328="Refunded",'Raw Orders'!G328,0)</f>
        <v>0</v>
      </c>
    </row>
    <row r="332" customFormat="false" ht="15" hidden="false" customHeight="false" outlineLevel="0" collapsed="false">
      <c r="A332" s="36" t="n">
        <f aca="false">IF('Raw Orders'!B329="","",IF(MID('Raw Orders'!B329,5,1)="-",DATE(VALUE(LEFT('Raw Orders'!B329,4)),VALUE(MID('Raw Orders'!B329,6,2)),VALUE(MID('Raw Orders'!B329,9,2))),DATE(VALUE(MID('Raw Orders'!B329,7,4)),VALUE(MID('Raw Orders'!B329,4,2)),VALUE(LEFT('Raw Orders'!B329,2)))))</f>
        <v>46164</v>
      </c>
      <c r="B332" s="36" t="n">
        <f aca="false">IF(A332="","",A332-WEEKDAY(A332,3))</f>
        <v>46160</v>
      </c>
      <c r="C332" s="32" t="n">
        <f aca="false">IF(OR('Raw Orders'!C329&lt;&gt;"Product",'Raw Orders'!K329="Cancelled"),0,'Raw Orders'!G329)</f>
        <v>89</v>
      </c>
      <c r="D332" s="31" t="n">
        <f aca="false">IF(AND('Raw Orders'!C329="Product",'Raw Orders'!K329="Fulfilled",COUNTIFS('Raw Orders'!$A$2:$A329,'Raw Orders'!A329,'Raw Orders'!$C$2:$C329,"Product",'Raw Orders'!$K$2:$K329,"Fulfilled")=1),1,0)</f>
        <v>0</v>
      </c>
      <c r="E332" s="31" t="n">
        <f aca="false">IF(AND('Raw Orders'!C329="Product",'Raw Orders'!K329="Fulfilled"),'Raw Orders'!E329,0)</f>
        <v>1</v>
      </c>
      <c r="F332" s="32" t="n">
        <f aca="false">IF('Raw Orders'!K329="Refunded",'Raw Orders'!G329,0)</f>
        <v>0</v>
      </c>
    </row>
    <row r="333" customFormat="false" ht="15" hidden="false" customHeight="false" outlineLevel="0" collapsed="false">
      <c r="A333" s="36" t="n">
        <f aca="false">IF('Raw Orders'!B330="","",IF(MID('Raw Orders'!B330,5,1)="-",DATE(VALUE(LEFT('Raw Orders'!B330,4)),VALUE(MID('Raw Orders'!B330,6,2)),VALUE(MID('Raw Orders'!B330,9,2))),DATE(VALUE(MID('Raw Orders'!B330,7,4)),VALUE(MID('Raw Orders'!B330,4,2)),VALUE(LEFT('Raw Orders'!B330,2)))))</f>
        <v>46164</v>
      </c>
      <c r="B333" s="36" t="n">
        <f aca="false">IF(A333="","",A333-WEEKDAY(A333,3))</f>
        <v>46160</v>
      </c>
      <c r="C333" s="32" t="n">
        <f aca="false">IF(OR('Raw Orders'!C330&lt;&gt;"Product",'Raw Orders'!K330="Cancelled"),0,'Raw Orders'!G330)</f>
        <v>45</v>
      </c>
      <c r="D333" s="31" t="n">
        <f aca="false">IF(AND('Raw Orders'!C330="Product",'Raw Orders'!K330="Fulfilled",COUNTIFS('Raw Orders'!$A$2:$A330,'Raw Orders'!A330,'Raw Orders'!$C$2:$C330,"Product",'Raw Orders'!$K$2:$K330,"Fulfilled")=1),1,0)</f>
        <v>1</v>
      </c>
      <c r="E333" s="31" t="n">
        <f aca="false">IF(AND('Raw Orders'!C330="Product",'Raw Orders'!K330="Fulfilled"),'Raw Orders'!E330,0)</f>
        <v>1</v>
      </c>
      <c r="F333" s="32" t="n">
        <f aca="false">IF('Raw Orders'!K330="Refunded",'Raw Orders'!G330,0)</f>
        <v>0</v>
      </c>
    </row>
    <row r="334" customFormat="false" ht="15" hidden="false" customHeight="false" outlineLevel="0" collapsed="false">
      <c r="A334" s="36" t="n">
        <f aca="false">IF('Raw Orders'!B331="","",IF(MID('Raw Orders'!B331,5,1)="-",DATE(VALUE(LEFT('Raw Orders'!B331,4)),VALUE(MID('Raw Orders'!B331,6,2)),VALUE(MID('Raw Orders'!B331,9,2))),DATE(VALUE(MID('Raw Orders'!B331,7,4)),VALUE(MID('Raw Orders'!B331,4,2)),VALUE(LEFT('Raw Orders'!B331,2)))))</f>
        <v>46164</v>
      </c>
      <c r="B334" s="36" t="n">
        <f aca="false">IF(A334="","",A334-WEEKDAY(A334,3))</f>
        <v>46160</v>
      </c>
      <c r="C334" s="32" t="n">
        <f aca="false">IF(OR('Raw Orders'!C331&lt;&gt;"Product",'Raw Orders'!K331="Cancelled"),0,'Raw Orders'!G331)</f>
        <v>0</v>
      </c>
      <c r="D334" s="31" t="n">
        <f aca="false">IF(AND('Raw Orders'!C331="Product",'Raw Orders'!K331="Fulfilled",COUNTIFS('Raw Orders'!$A$2:$A331,'Raw Orders'!A331,'Raw Orders'!$C$2:$C331,"Product",'Raw Orders'!$K$2:$K331,"Fulfilled")=1),1,0)</f>
        <v>0</v>
      </c>
      <c r="E334" s="31" t="n">
        <f aca="false">IF(AND('Raw Orders'!C331="Product",'Raw Orders'!K331="Fulfilled"),'Raw Orders'!E331,0)</f>
        <v>0</v>
      </c>
      <c r="F334" s="32" t="n">
        <f aca="false">IF('Raw Orders'!K331="Refunded",'Raw Orders'!G331,0)</f>
        <v>0</v>
      </c>
    </row>
    <row r="335" customFormat="false" ht="15" hidden="false" customHeight="false" outlineLevel="0" collapsed="false">
      <c r="A335" s="36" t="n">
        <f aca="false">IF('Raw Orders'!B332="","",IF(MID('Raw Orders'!B332,5,1)="-",DATE(VALUE(LEFT('Raw Orders'!B332,4)),VALUE(MID('Raw Orders'!B332,6,2)),VALUE(MID('Raw Orders'!B332,9,2))),DATE(VALUE(MID('Raw Orders'!B332,7,4)),VALUE(MID('Raw Orders'!B332,4,2)),VALUE(LEFT('Raw Orders'!B332,2)))))</f>
        <v>46164</v>
      </c>
      <c r="B335" s="36" t="n">
        <f aca="false">IF(A335="","",A335-WEEKDAY(A335,3))</f>
        <v>46160</v>
      </c>
      <c r="C335" s="32" t="n">
        <f aca="false">IF(OR('Raw Orders'!C332&lt;&gt;"Product",'Raw Orders'!K332="Cancelled"),0,'Raw Orders'!G332)</f>
        <v>78</v>
      </c>
      <c r="D335" s="31" t="n">
        <f aca="false">IF(AND('Raw Orders'!C332="Product",'Raw Orders'!K332="Fulfilled",COUNTIFS('Raw Orders'!$A$2:$A332,'Raw Orders'!A332,'Raw Orders'!$C$2:$C332,"Product",'Raw Orders'!$K$2:$K332,"Fulfilled")=1),1,0)</f>
        <v>1</v>
      </c>
      <c r="E335" s="31" t="n">
        <f aca="false">IF(AND('Raw Orders'!C332="Product",'Raw Orders'!K332="Fulfilled"),'Raw Orders'!E332,0)</f>
        <v>2</v>
      </c>
      <c r="F335" s="32" t="n">
        <f aca="false">IF('Raw Orders'!K332="Refunded",'Raw Orders'!G332,0)</f>
        <v>0</v>
      </c>
    </row>
    <row r="336" customFormat="false" ht="15" hidden="false" customHeight="false" outlineLevel="0" collapsed="false">
      <c r="A336" s="36" t="n">
        <f aca="false">IF('Raw Orders'!B333="","",IF(MID('Raw Orders'!B333,5,1)="-",DATE(VALUE(LEFT('Raw Orders'!B333,4)),VALUE(MID('Raw Orders'!B333,6,2)),VALUE(MID('Raw Orders'!B333,9,2))),DATE(VALUE(MID('Raw Orders'!B333,7,4)),VALUE(MID('Raw Orders'!B333,4,2)),VALUE(LEFT('Raw Orders'!B333,2)))))</f>
        <v>46164</v>
      </c>
      <c r="B336" s="36" t="n">
        <f aca="false">IF(A336="","",A336-WEEKDAY(A336,3))</f>
        <v>46160</v>
      </c>
      <c r="C336" s="32" t="n">
        <f aca="false">IF(OR('Raw Orders'!C333&lt;&gt;"Product",'Raw Orders'!K333="Cancelled"),0,'Raw Orders'!G333)</f>
        <v>89</v>
      </c>
      <c r="D336" s="31" t="n">
        <f aca="false">IF(AND('Raw Orders'!C333="Product",'Raw Orders'!K333="Fulfilled",COUNTIFS('Raw Orders'!$A$2:$A333,'Raw Orders'!A333,'Raw Orders'!$C$2:$C333,"Product",'Raw Orders'!$K$2:$K333,"Fulfilled")=1),1,0)</f>
        <v>0</v>
      </c>
      <c r="E336" s="31" t="n">
        <f aca="false">IF(AND('Raw Orders'!C333="Product",'Raw Orders'!K333="Fulfilled"),'Raw Orders'!E333,0)</f>
        <v>1</v>
      </c>
      <c r="F336" s="32" t="n">
        <f aca="false">IF('Raw Orders'!K333="Refunded",'Raw Orders'!G333,0)</f>
        <v>0</v>
      </c>
    </row>
    <row r="337" customFormat="false" ht="15" hidden="false" customHeight="false" outlineLevel="0" collapsed="false">
      <c r="A337" s="36" t="n">
        <f aca="false">IF('Raw Orders'!B334="","",IF(MID('Raw Orders'!B334,5,1)="-",DATE(VALUE(LEFT('Raw Orders'!B334,4)),VALUE(MID('Raw Orders'!B334,6,2)),VALUE(MID('Raw Orders'!B334,9,2))),DATE(VALUE(MID('Raw Orders'!B334,7,4)),VALUE(MID('Raw Orders'!B334,4,2)),VALUE(LEFT('Raw Orders'!B334,2)))))</f>
        <v>46164</v>
      </c>
      <c r="B337" s="36" t="n">
        <f aca="false">IF(A337="","",A337-WEEKDAY(A337,3))</f>
        <v>46160</v>
      </c>
      <c r="C337" s="32" t="n">
        <f aca="false">IF(OR('Raw Orders'!C334&lt;&gt;"Product",'Raw Orders'!K334="Cancelled"),0,'Raw Orders'!G334)</f>
        <v>0</v>
      </c>
      <c r="D337" s="31" t="n">
        <f aca="false">IF(AND('Raw Orders'!C334="Product",'Raw Orders'!K334="Fulfilled",COUNTIFS('Raw Orders'!$A$2:$A334,'Raw Orders'!A334,'Raw Orders'!$C$2:$C334,"Product",'Raw Orders'!$K$2:$K334,"Fulfilled")=1),1,0)</f>
        <v>0</v>
      </c>
      <c r="E337" s="31" t="n">
        <f aca="false">IF(AND('Raw Orders'!C334="Product",'Raw Orders'!K334="Fulfilled"),'Raw Orders'!E334,0)</f>
        <v>0</v>
      </c>
      <c r="F337" s="32" t="n">
        <f aca="false">IF('Raw Orders'!K334="Refunded",'Raw Orders'!G334,0)</f>
        <v>0</v>
      </c>
    </row>
    <row r="338" customFormat="false" ht="15" hidden="false" customHeight="false" outlineLevel="0" collapsed="false">
      <c r="A338" s="36" t="n">
        <f aca="false">IF('Raw Orders'!B335="","",IF(MID('Raw Orders'!B335,5,1)="-",DATE(VALUE(LEFT('Raw Orders'!B335,4)),VALUE(MID('Raw Orders'!B335,6,2)),VALUE(MID('Raw Orders'!B335,9,2))),DATE(VALUE(MID('Raw Orders'!B335,7,4)),VALUE(MID('Raw Orders'!B335,4,2)),VALUE(LEFT('Raw Orders'!B335,2)))))</f>
        <v>46164</v>
      </c>
      <c r="B338" s="36" t="n">
        <f aca="false">IF(A338="","",A338-WEEKDAY(A338,3))</f>
        <v>46160</v>
      </c>
      <c r="C338" s="32" t="n">
        <f aca="false">IF(OR('Raw Orders'!C335&lt;&gt;"Product",'Raw Orders'!K335="Cancelled"),0,'Raw Orders'!G335)</f>
        <v>156</v>
      </c>
      <c r="D338" s="31" t="n">
        <f aca="false">IF(AND('Raw Orders'!C335="Product",'Raw Orders'!K335="Fulfilled",COUNTIFS('Raw Orders'!$A$2:$A335,'Raw Orders'!A335,'Raw Orders'!$C$2:$C335,"Product",'Raw Orders'!$K$2:$K335,"Fulfilled")=1),1,0)</f>
        <v>1</v>
      </c>
      <c r="E338" s="31" t="n">
        <f aca="false">IF(AND('Raw Orders'!C335="Product",'Raw Orders'!K335="Fulfilled"),'Raw Orders'!E335,0)</f>
        <v>4</v>
      </c>
      <c r="F338" s="32" t="n">
        <f aca="false">IF('Raw Orders'!K335="Refunded",'Raw Orders'!G335,0)</f>
        <v>0</v>
      </c>
    </row>
    <row r="339" customFormat="false" ht="15" hidden="false" customHeight="false" outlineLevel="0" collapsed="false">
      <c r="A339" s="36" t="n">
        <f aca="false">IF('Raw Orders'!B336="","",IF(MID('Raw Orders'!B336,5,1)="-",DATE(VALUE(LEFT('Raw Orders'!B336,4)),VALUE(MID('Raw Orders'!B336,6,2)),VALUE(MID('Raw Orders'!B336,9,2))),DATE(VALUE(MID('Raw Orders'!B336,7,4)),VALUE(MID('Raw Orders'!B336,4,2)),VALUE(LEFT('Raw Orders'!B336,2)))))</f>
        <v>46164</v>
      </c>
      <c r="B339" s="36" t="n">
        <f aca="false">IF(A339="","",A339-WEEKDAY(A339,3))</f>
        <v>46160</v>
      </c>
      <c r="C339" s="32" t="n">
        <f aca="false">IF(OR('Raw Orders'!C336&lt;&gt;"Product",'Raw Orders'!K336="Cancelled"),0,'Raw Orders'!G336)</f>
        <v>0</v>
      </c>
      <c r="D339" s="31" t="n">
        <f aca="false">IF(AND('Raw Orders'!C336="Product",'Raw Orders'!K336="Fulfilled",COUNTIFS('Raw Orders'!$A$2:$A336,'Raw Orders'!A336,'Raw Orders'!$C$2:$C336,"Product",'Raw Orders'!$K$2:$K336,"Fulfilled")=1),1,0)</f>
        <v>0</v>
      </c>
      <c r="E339" s="31" t="n">
        <f aca="false">IF(AND('Raw Orders'!C336="Product",'Raw Orders'!K336="Fulfilled"),'Raw Orders'!E336,0)</f>
        <v>0</v>
      </c>
      <c r="F339" s="32" t="n">
        <f aca="false">IF('Raw Orders'!K336="Refunded",'Raw Orders'!G336,0)</f>
        <v>0</v>
      </c>
    </row>
    <row r="340" customFormat="false" ht="15" hidden="false" customHeight="false" outlineLevel="0" collapsed="false">
      <c r="A340" s="36" t="n">
        <f aca="false">IF('Raw Orders'!B337="","",IF(MID('Raw Orders'!B337,5,1)="-",DATE(VALUE(LEFT('Raw Orders'!B337,4)),VALUE(MID('Raw Orders'!B337,6,2)),VALUE(MID('Raw Orders'!B337,9,2))),DATE(VALUE(MID('Raw Orders'!B337,7,4)),VALUE(MID('Raw Orders'!B337,4,2)),VALUE(LEFT('Raw Orders'!B337,2)))))</f>
        <v>46164</v>
      </c>
      <c r="B340" s="36" t="n">
        <f aca="false">IF(A340="","",A340-WEEKDAY(A340,3))</f>
        <v>46160</v>
      </c>
      <c r="C340" s="32" t="n">
        <f aca="false">IF(OR('Raw Orders'!C337&lt;&gt;"Product",'Raw Orders'!K337="Cancelled"),0,'Raw Orders'!G337)</f>
        <v>89</v>
      </c>
      <c r="D340" s="31" t="n">
        <f aca="false">IF(AND('Raw Orders'!C337="Product",'Raw Orders'!K337="Fulfilled",COUNTIFS('Raw Orders'!$A$2:$A337,'Raw Orders'!A337,'Raw Orders'!$C$2:$C337,"Product",'Raw Orders'!$K$2:$K337,"Fulfilled")=1),1,0)</f>
        <v>0</v>
      </c>
      <c r="E340" s="31" t="n">
        <f aca="false">IF(AND('Raw Orders'!C337="Product",'Raw Orders'!K337="Fulfilled"),'Raw Orders'!E337,0)</f>
        <v>1</v>
      </c>
      <c r="F340" s="32" t="n">
        <f aca="false">IF('Raw Orders'!K337="Refunded",'Raw Orders'!G337,0)</f>
        <v>0</v>
      </c>
    </row>
    <row r="341" customFormat="false" ht="15" hidden="false" customHeight="false" outlineLevel="0" collapsed="false">
      <c r="A341" s="36" t="n">
        <f aca="false">IF('Raw Orders'!B338="","",IF(MID('Raw Orders'!B338,5,1)="-",DATE(VALUE(LEFT('Raw Orders'!B338,4)),VALUE(MID('Raw Orders'!B338,6,2)),VALUE(MID('Raw Orders'!B338,9,2))),DATE(VALUE(MID('Raw Orders'!B338,7,4)),VALUE(MID('Raw Orders'!B338,4,2)),VALUE(LEFT('Raw Orders'!B338,2)))))</f>
        <v>46165</v>
      </c>
      <c r="B341" s="36" t="n">
        <f aca="false">IF(A341="","",A341-WEEKDAY(A341,3))</f>
        <v>46160</v>
      </c>
      <c r="C341" s="32" t="n">
        <f aca="false">IF(OR('Raw Orders'!C338&lt;&gt;"Product",'Raw Orders'!K338="Cancelled"),0,'Raw Orders'!G338)</f>
        <v>0</v>
      </c>
      <c r="D341" s="31" t="n">
        <f aca="false">IF(AND('Raw Orders'!C338="Product",'Raw Orders'!K338="Fulfilled",COUNTIFS('Raw Orders'!$A$2:$A338,'Raw Orders'!A338,'Raw Orders'!$C$2:$C338,"Product",'Raw Orders'!$K$2:$K338,"Fulfilled")=1),1,0)</f>
        <v>0</v>
      </c>
      <c r="E341" s="31" t="n">
        <f aca="false">IF(AND('Raw Orders'!C338="Product",'Raw Orders'!K338="Fulfilled"),'Raw Orders'!E338,0)</f>
        <v>0</v>
      </c>
      <c r="F341" s="32" t="n">
        <f aca="false">IF('Raw Orders'!K338="Refunded",'Raw Orders'!G338,0)</f>
        <v>0</v>
      </c>
    </row>
    <row r="342" customFormat="false" ht="15" hidden="false" customHeight="false" outlineLevel="0" collapsed="false">
      <c r="A342" s="36" t="n">
        <f aca="false">IF('Raw Orders'!B339="","",IF(MID('Raw Orders'!B339,5,1)="-",DATE(VALUE(LEFT('Raw Orders'!B339,4)),VALUE(MID('Raw Orders'!B339,6,2)),VALUE(MID('Raw Orders'!B339,9,2))),DATE(VALUE(MID('Raw Orders'!B339,7,4)),VALUE(MID('Raw Orders'!B339,4,2)),VALUE(LEFT('Raw Orders'!B339,2)))))</f>
        <v>46165</v>
      </c>
      <c r="B342" s="36" t="n">
        <f aca="false">IF(A342="","",A342-WEEKDAY(A342,3))</f>
        <v>46160</v>
      </c>
      <c r="C342" s="32" t="n">
        <f aca="false">IF(OR('Raw Orders'!C339&lt;&gt;"Product",'Raw Orders'!K339="Cancelled"),0,'Raw Orders'!G339)</f>
        <v>0</v>
      </c>
      <c r="D342" s="31" t="n">
        <f aca="false">IF(AND('Raw Orders'!C339="Product",'Raw Orders'!K339="Fulfilled",COUNTIFS('Raw Orders'!$A$2:$A339,'Raw Orders'!A339,'Raw Orders'!$C$2:$C339,"Product",'Raw Orders'!$K$2:$K339,"Fulfilled")=1),1,0)</f>
        <v>0</v>
      </c>
      <c r="E342" s="31" t="n">
        <f aca="false">IF(AND('Raw Orders'!C339="Product",'Raw Orders'!K339="Fulfilled"),'Raw Orders'!E339,0)</f>
        <v>0</v>
      </c>
      <c r="F342" s="32" t="n">
        <f aca="false">IF('Raw Orders'!K339="Refunded",'Raw Orders'!G339,0)</f>
        <v>0</v>
      </c>
    </row>
    <row r="343" customFormat="false" ht="15" hidden="false" customHeight="false" outlineLevel="0" collapsed="false">
      <c r="A343" s="36" t="n">
        <f aca="false">IF('Raw Orders'!B340="","",IF(MID('Raw Orders'!B340,5,1)="-",DATE(VALUE(LEFT('Raw Orders'!B340,4)),VALUE(MID('Raw Orders'!B340,6,2)),VALUE(MID('Raw Orders'!B340,9,2))),DATE(VALUE(MID('Raw Orders'!B340,7,4)),VALUE(MID('Raw Orders'!B340,4,2)),VALUE(LEFT('Raw Orders'!B340,2)))))</f>
        <v>46165</v>
      </c>
      <c r="B343" s="36" t="n">
        <f aca="false">IF(A343="","",A343-WEEKDAY(A343,3))</f>
        <v>46160</v>
      </c>
      <c r="C343" s="32" t="n">
        <f aca="false">IF(OR('Raw Orders'!C340&lt;&gt;"Product",'Raw Orders'!K340="Cancelled"),0,'Raw Orders'!G340)</f>
        <v>35</v>
      </c>
      <c r="D343" s="31" t="n">
        <f aca="false">IF(AND('Raw Orders'!C340="Product",'Raw Orders'!K340="Fulfilled",COUNTIFS('Raw Orders'!$A$2:$A340,'Raw Orders'!A340,'Raw Orders'!$C$2:$C340,"Product",'Raw Orders'!$K$2:$K340,"Fulfilled")=1),1,0)</f>
        <v>1</v>
      </c>
      <c r="E343" s="31" t="n">
        <f aca="false">IF(AND('Raw Orders'!C340="Product",'Raw Orders'!K340="Fulfilled"),'Raw Orders'!E340,0)</f>
        <v>1</v>
      </c>
      <c r="F343" s="32" t="n">
        <f aca="false">IF('Raw Orders'!K340="Refunded",'Raw Orders'!G340,0)</f>
        <v>0</v>
      </c>
    </row>
    <row r="344" customFormat="false" ht="15" hidden="false" customHeight="false" outlineLevel="0" collapsed="false">
      <c r="A344" s="36" t="n">
        <f aca="false">IF('Raw Orders'!B341="","",IF(MID('Raw Orders'!B341,5,1)="-",DATE(VALUE(LEFT('Raw Orders'!B341,4)),VALUE(MID('Raw Orders'!B341,6,2)),VALUE(MID('Raw Orders'!B341,9,2))),DATE(VALUE(MID('Raw Orders'!B341,7,4)),VALUE(MID('Raw Orders'!B341,4,2)),VALUE(LEFT('Raw Orders'!B341,2)))))</f>
        <v>46165</v>
      </c>
      <c r="B344" s="36" t="n">
        <f aca="false">IF(A344="","",A344-WEEKDAY(A344,3))</f>
        <v>46160</v>
      </c>
      <c r="C344" s="32" t="n">
        <f aca="false">IF(OR('Raw Orders'!C341&lt;&gt;"Product",'Raw Orders'!K341="Cancelled"),0,'Raw Orders'!G341)</f>
        <v>29</v>
      </c>
      <c r="D344" s="31" t="n">
        <f aca="false">IF(AND('Raw Orders'!C341="Product",'Raw Orders'!K341="Fulfilled",COUNTIFS('Raw Orders'!$A$2:$A341,'Raw Orders'!A341,'Raw Orders'!$C$2:$C341,"Product",'Raw Orders'!$K$2:$K341,"Fulfilled")=1),1,0)</f>
        <v>1</v>
      </c>
      <c r="E344" s="31" t="n">
        <f aca="false">IF(AND('Raw Orders'!C341="Product",'Raw Orders'!K341="Fulfilled"),'Raw Orders'!E341,0)</f>
        <v>1</v>
      </c>
      <c r="F344" s="32" t="n">
        <f aca="false">IF('Raw Orders'!K341="Refunded",'Raw Orders'!G341,0)</f>
        <v>0</v>
      </c>
    </row>
    <row r="345" customFormat="false" ht="15" hidden="false" customHeight="false" outlineLevel="0" collapsed="false">
      <c r="A345" s="36" t="n">
        <f aca="false">IF('Raw Orders'!B342="","",IF(MID('Raw Orders'!B342,5,1)="-",DATE(VALUE(LEFT('Raw Orders'!B342,4)),VALUE(MID('Raw Orders'!B342,6,2)),VALUE(MID('Raw Orders'!B342,9,2))),DATE(VALUE(MID('Raw Orders'!B342,7,4)),VALUE(MID('Raw Orders'!B342,4,2)),VALUE(LEFT('Raw Orders'!B342,2)))))</f>
        <v>46165</v>
      </c>
      <c r="B345" s="36" t="n">
        <f aca="false">IF(A345="","",A345-WEEKDAY(A345,3))</f>
        <v>46160</v>
      </c>
      <c r="C345" s="32" t="n">
        <f aca="false">IF(OR('Raw Orders'!C342&lt;&gt;"Product",'Raw Orders'!K342="Cancelled"),0,'Raw Orders'!G342)</f>
        <v>0</v>
      </c>
      <c r="D345" s="31" t="n">
        <f aca="false">IF(AND('Raw Orders'!C342="Product",'Raw Orders'!K342="Fulfilled",COUNTIFS('Raw Orders'!$A$2:$A342,'Raw Orders'!A342,'Raw Orders'!$C$2:$C342,"Product",'Raw Orders'!$K$2:$K342,"Fulfilled")=1),1,0)</f>
        <v>0</v>
      </c>
      <c r="E345" s="31" t="n">
        <f aca="false">IF(AND('Raw Orders'!C342="Product",'Raw Orders'!K342="Fulfilled"),'Raw Orders'!E342,0)</f>
        <v>0</v>
      </c>
      <c r="F345" s="32" t="n">
        <f aca="false">IF('Raw Orders'!K342="Refunded",'Raw Orders'!G342,0)</f>
        <v>0</v>
      </c>
    </row>
    <row r="346" customFormat="false" ht="15" hidden="false" customHeight="false" outlineLevel="0" collapsed="false">
      <c r="A346" s="36" t="n">
        <f aca="false">IF('Raw Orders'!B343="","",IF(MID('Raw Orders'!B343,5,1)="-",DATE(VALUE(LEFT('Raw Orders'!B343,4)),VALUE(MID('Raw Orders'!B343,6,2)),VALUE(MID('Raw Orders'!B343,9,2))),DATE(VALUE(MID('Raw Orders'!B343,7,4)),VALUE(MID('Raw Orders'!B343,4,2)),VALUE(LEFT('Raw Orders'!B343,2)))))</f>
        <v>46165</v>
      </c>
      <c r="B346" s="36" t="n">
        <f aca="false">IF(A346="","",A346-WEEKDAY(A346,3))</f>
        <v>46160</v>
      </c>
      <c r="C346" s="32" t="n">
        <f aca="false">IF(OR('Raw Orders'!C343&lt;&gt;"Product",'Raw Orders'!K343="Cancelled"),0,'Raw Orders'!G343)</f>
        <v>120</v>
      </c>
      <c r="D346" s="31" t="n">
        <f aca="false">IF(AND('Raw Orders'!C343="Product",'Raw Orders'!K343="Fulfilled",COUNTIFS('Raw Orders'!$A$2:$A343,'Raw Orders'!A343,'Raw Orders'!$C$2:$C343,"Product",'Raw Orders'!$K$2:$K343,"Fulfilled")=1),1,0)</f>
        <v>1</v>
      </c>
      <c r="E346" s="31" t="n">
        <f aca="false">IF(AND('Raw Orders'!C343="Product",'Raw Orders'!K343="Fulfilled"),'Raw Orders'!E343,0)</f>
        <v>2</v>
      </c>
      <c r="F346" s="32" t="n">
        <f aca="false">IF('Raw Orders'!K343="Refunded",'Raw Orders'!G343,0)</f>
        <v>0</v>
      </c>
    </row>
    <row r="347" customFormat="false" ht="15" hidden="false" customHeight="false" outlineLevel="0" collapsed="false">
      <c r="A347" s="36" t="n">
        <f aca="false">IF('Raw Orders'!B344="","",IF(MID('Raw Orders'!B344,5,1)="-",DATE(VALUE(LEFT('Raw Orders'!B344,4)),VALUE(MID('Raw Orders'!B344,6,2)),VALUE(MID('Raw Orders'!B344,9,2))),DATE(VALUE(MID('Raw Orders'!B344,7,4)),VALUE(MID('Raw Orders'!B344,4,2)),VALUE(LEFT('Raw Orders'!B344,2)))))</f>
        <v>46165</v>
      </c>
      <c r="B347" s="36" t="n">
        <f aca="false">IF(A347="","",A347-WEEKDAY(A347,3))</f>
        <v>46160</v>
      </c>
      <c r="C347" s="32" t="n">
        <f aca="false">IF(OR('Raw Orders'!C344&lt;&gt;"Product",'Raw Orders'!K344="Cancelled"),0,'Raw Orders'!G344)</f>
        <v>0</v>
      </c>
      <c r="D347" s="31" t="n">
        <f aca="false">IF(AND('Raw Orders'!C344="Product",'Raw Orders'!K344="Fulfilled",COUNTIFS('Raw Orders'!$A$2:$A344,'Raw Orders'!A344,'Raw Orders'!$C$2:$C344,"Product",'Raw Orders'!$K$2:$K344,"Fulfilled")=1),1,0)</f>
        <v>0</v>
      </c>
      <c r="E347" s="31" t="n">
        <f aca="false">IF(AND('Raw Orders'!C344="Product",'Raw Orders'!K344="Fulfilled"),'Raw Orders'!E344,0)</f>
        <v>0</v>
      </c>
      <c r="F347" s="32" t="n">
        <f aca="false">IF('Raw Orders'!K344="Refunded",'Raw Orders'!G344,0)</f>
        <v>0</v>
      </c>
    </row>
    <row r="348" customFormat="false" ht="15" hidden="false" customHeight="false" outlineLevel="0" collapsed="false">
      <c r="A348" s="36" t="n">
        <f aca="false">IF('Raw Orders'!B345="","",IF(MID('Raw Orders'!B345,5,1)="-",DATE(VALUE(LEFT('Raw Orders'!B345,4)),VALUE(MID('Raw Orders'!B345,6,2)),VALUE(MID('Raw Orders'!B345,9,2))),DATE(VALUE(MID('Raw Orders'!B345,7,4)),VALUE(MID('Raw Orders'!B345,4,2)),VALUE(LEFT('Raw Orders'!B345,2)))))</f>
        <v>46165</v>
      </c>
      <c r="B348" s="36" t="n">
        <f aca="false">IF(A348="","",A348-WEEKDAY(A348,3))</f>
        <v>46160</v>
      </c>
      <c r="C348" s="32" t="n">
        <f aca="false">IF(OR('Raw Orders'!C345&lt;&gt;"Product",'Raw Orders'!K345="Cancelled"),0,'Raw Orders'!G345)</f>
        <v>58</v>
      </c>
      <c r="D348" s="31" t="n">
        <f aca="false">IF(AND('Raw Orders'!C345="Product",'Raw Orders'!K345="Fulfilled",COUNTIFS('Raw Orders'!$A$2:$A345,'Raw Orders'!A345,'Raw Orders'!$C$2:$C345,"Product",'Raw Orders'!$K$2:$K345,"Fulfilled")=1),1,0)</f>
        <v>0</v>
      </c>
      <c r="E348" s="31" t="n">
        <f aca="false">IF(AND('Raw Orders'!C345="Product",'Raw Orders'!K345="Fulfilled"),'Raw Orders'!E345,0)</f>
        <v>2</v>
      </c>
      <c r="F348" s="32" t="n">
        <f aca="false">IF('Raw Orders'!K345="Refunded",'Raw Orders'!G345,0)</f>
        <v>0</v>
      </c>
    </row>
    <row r="349" customFormat="false" ht="15" hidden="false" customHeight="false" outlineLevel="0" collapsed="false">
      <c r="A349" s="36" t="n">
        <f aca="false">IF('Raw Orders'!B346="","",IF(MID('Raw Orders'!B346,5,1)="-",DATE(VALUE(LEFT('Raw Orders'!B346,4)),VALUE(MID('Raw Orders'!B346,6,2)),VALUE(MID('Raw Orders'!B346,9,2))),DATE(VALUE(MID('Raw Orders'!B346,7,4)),VALUE(MID('Raw Orders'!B346,4,2)),VALUE(LEFT('Raw Orders'!B346,2)))))</f>
        <v>46166</v>
      </c>
      <c r="B349" s="36" t="n">
        <f aca="false">IF(A349="","",A349-WEEKDAY(A349,3))</f>
        <v>46160</v>
      </c>
      <c r="C349" s="32" t="n">
        <f aca="false">IF(OR('Raw Orders'!C346&lt;&gt;"Product",'Raw Orders'!K346="Cancelled"),0,'Raw Orders'!G346)</f>
        <v>0</v>
      </c>
      <c r="D349" s="31" t="n">
        <f aca="false">IF(AND('Raw Orders'!C346="Product",'Raw Orders'!K346="Fulfilled",COUNTIFS('Raw Orders'!$A$2:$A346,'Raw Orders'!A346,'Raw Orders'!$C$2:$C346,"Product",'Raw Orders'!$K$2:$K346,"Fulfilled")=1),1,0)</f>
        <v>0</v>
      </c>
      <c r="E349" s="31" t="n">
        <f aca="false">IF(AND('Raw Orders'!C346="Product",'Raw Orders'!K346="Fulfilled"),'Raw Orders'!E346,0)</f>
        <v>0</v>
      </c>
      <c r="F349" s="32" t="n">
        <f aca="false">IF('Raw Orders'!K346="Refunded",'Raw Orders'!G346,0)</f>
        <v>0</v>
      </c>
    </row>
    <row r="350" customFormat="false" ht="15" hidden="false" customHeight="false" outlineLevel="0" collapsed="false">
      <c r="A350" s="36" t="n">
        <f aca="false">IF('Raw Orders'!B347="","",IF(MID('Raw Orders'!B347,5,1)="-",DATE(VALUE(LEFT('Raw Orders'!B347,4)),VALUE(MID('Raw Orders'!B347,6,2)),VALUE(MID('Raw Orders'!B347,9,2))),DATE(VALUE(MID('Raw Orders'!B347,7,4)),VALUE(MID('Raw Orders'!B347,4,2)),VALUE(LEFT('Raw Orders'!B347,2)))))</f>
        <v>46166</v>
      </c>
      <c r="B350" s="36" t="n">
        <f aca="false">IF(A350="","",A350-WEEKDAY(A350,3))</f>
        <v>46160</v>
      </c>
      <c r="C350" s="32" t="n">
        <f aca="false">IF(OR('Raw Orders'!C347&lt;&gt;"Product",'Raw Orders'!K347="Cancelled"),0,'Raw Orders'!G347)</f>
        <v>69</v>
      </c>
      <c r="D350" s="31" t="n">
        <f aca="false">IF(AND('Raw Orders'!C347="Product",'Raw Orders'!K347="Fulfilled",COUNTIFS('Raw Orders'!$A$2:$A347,'Raw Orders'!A347,'Raw Orders'!$C$2:$C347,"Product",'Raw Orders'!$K$2:$K347,"Fulfilled")=1),1,0)</f>
        <v>1</v>
      </c>
      <c r="E350" s="31" t="n">
        <f aca="false">IF(AND('Raw Orders'!C347="Product",'Raw Orders'!K347="Fulfilled"),'Raw Orders'!E347,0)</f>
        <v>1</v>
      </c>
      <c r="F350" s="32" t="n">
        <f aca="false">IF('Raw Orders'!K347="Refunded",'Raw Orders'!G347,0)</f>
        <v>0</v>
      </c>
    </row>
    <row r="351" customFormat="false" ht="15" hidden="false" customHeight="false" outlineLevel="0" collapsed="false">
      <c r="A351" s="36" t="n">
        <f aca="false">IF('Raw Orders'!B348="","",IF(MID('Raw Orders'!B348,5,1)="-",DATE(VALUE(LEFT('Raw Orders'!B348,4)),VALUE(MID('Raw Orders'!B348,6,2)),VALUE(MID('Raw Orders'!B348,9,2))),DATE(VALUE(MID('Raw Orders'!B348,7,4)),VALUE(MID('Raw Orders'!B348,4,2)),VALUE(LEFT('Raw Orders'!B348,2)))))</f>
        <v>46166</v>
      </c>
      <c r="B351" s="36" t="n">
        <f aca="false">IF(A351="","",A351-WEEKDAY(A351,3))</f>
        <v>46160</v>
      </c>
      <c r="C351" s="32" t="n">
        <f aca="false">IF(OR('Raw Orders'!C348&lt;&gt;"Product",'Raw Orders'!K348="Cancelled"),0,'Raw Orders'!G348)</f>
        <v>17.6</v>
      </c>
      <c r="D351" s="31" t="n">
        <f aca="false">IF(AND('Raw Orders'!C348="Product",'Raw Orders'!K348="Fulfilled",COUNTIFS('Raw Orders'!$A$2:$A348,'Raw Orders'!A348,'Raw Orders'!$C$2:$C348,"Product",'Raw Orders'!$K$2:$K348,"Fulfilled")=1),1,0)</f>
        <v>0</v>
      </c>
      <c r="E351" s="31" t="n">
        <f aca="false">IF(AND('Raw Orders'!C348="Product",'Raw Orders'!K348="Fulfilled"),'Raw Orders'!E348,0)</f>
        <v>1</v>
      </c>
      <c r="F351" s="32" t="n">
        <f aca="false">IF('Raw Orders'!K348="Refunded",'Raw Orders'!G348,0)</f>
        <v>0</v>
      </c>
    </row>
    <row r="352" customFormat="false" ht="15" hidden="false" customHeight="false" outlineLevel="0" collapsed="false">
      <c r="A352" s="36" t="n">
        <f aca="false">IF('Raw Orders'!B349="","",IF(MID('Raw Orders'!B349,5,1)="-",DATE(VALUE(LEFT('Raw Orders'!B349,4)),VALUE(MID('Raw Orders'!B349,6,2)),VALUE(MID('Raw Orders'!B349,9,2))),DATE(VALUE(MID('Raw Orders'!B349,7,4)),VALUE(MID('Raw Orders'!B349,4,2)),VALUE(LEFT('Raw Orders'!B349,2)))))</f>
        <v>46166</v>
      </c>
      <c r="B352" s="36" t="n">
        <f aca="false">IF(A352="","",A352-WEEKDAY(A352,3))</f>
        <v>46160</v>
      </c>
      <c r="C352" s="32" t="n">
        <f aca="false">IF(OR('Raw Orders'!C349&lt;&gt;"Product",'Raw Orders'!K349="Cancelled"),0,'Raw Orders'!G349)</f>
        <v>0</v>
      </c>
      <c r="D352" s="31" t="n">
        <f aca="false">IF(AND('Raw Orders'!C349="Product",'Raw Orders'!K349="Fulfilled",COUNTIFS('Raw Orders'!$A$2:$A349,'Raw Orders'!A349,'Raw Orders'!$C$2:$C349,"Product",'Raw Orders'!$K$2:$K349,"Fulfilled")=1),1,0)</f>
        <v>0</v>
      </c>
      <c r="E352" s="31" t="n">
        <f aca="false">IF(AND('Raw Orders'!C349="Product",'Raw Orders'!K349="Fulfilled"),'Raw Orders'!E349,0)</f>
        <v>0</v>
      </c>
      <c r="F352" s="32" t="n">
        <f aca="false">IF('Raw Orders'!K349="Refunded",'Raw Orders'!G349,0)</f>
        <v>0</v>
      </c>
    </row>
    <row r="353" customFormat="false" ht="15" hidden="false" customHeight="false" outlineLevel="0" collapsed="false">
      <c r="A353" s="36" t="n">
        <f aca="false">IF('Raw Orders'!B350="","",IF(MID('Raw Orders'!B350,5,1)="-",DATE(VALUE(LEFT('Raw Orders'!B350,4)),VALUE(MID('Raw Orders'!B350,6,2)),VALUE(MID('Raw Orders'!B350,9,2))),DATE(VALUE(MID('Raw Orders'!B350,7,4)),VALUE(MID('Raw Orders'!B350,4,2)),VALUE(LEFT('Raw Orders'!B350,2)))))</f>
        <v>46166</v>
      </c>
      <c r="B353" s="36" t="n">
        <f aca="false">IF(A353="","",A353-WEEKDAY(A353,3))</f>
        <v>46160</v>
      </c>
      <c r="C353" s="32" t="n">
        <f aca="false">IF(OR('Raw Orders'!C350&lt;&gt;"Product",'Raw Orders'!K350="Cancelled"),0,'Raw Orders'!G350)</f>
        <v>-29</v>
      </c>
      <c r="D353" s="31" t="n">
        <f aca="false">IF(AND('Raw Orders'!C350="Product",'Raw Orders'!K350="Fulfilled",COUNTIFS('Raw Orders'!$A$2:$A350,'Raw Orders'!A350,'Raw Orders'!$C$2:$C350,"Product",'Raw Orders'!$K$2:$K350,"Fulfilled")=1),1,0)</f>
        <v>0</v>
      </c>
      <c r="E353" s="31" t="n">
        <f aca="false">IF(AND('Raw Orders'!C350="Product",'Raw Orders'!K350="Fulfilled"),'Raw Orders'!E350,0)</f>
        <v>0</v>
      </c>
      <c r="F353" s="32" t="n">
        <f aca="false">IF('Raw Orders'!K350="Refunded",'Raw Orders'!G350,0)</f>
        <v>-29</v>
      </c>
    </row>
    <row r="354" customFormat="false" ht="15" hidden="false" customHeight="false" outlineLevel="0" collapsed="false">
      <c r="A354" s="36" t="n">
        <f aca="false">IF('Raw Orders'!B351="","",IF(MID('Raw Orders'!B351,5,1)="-",DATE(VALUE(LEFT('Raw Orders'!B351,4)),VALUE(MID('Raw Orders'!B351,6,2)),VALUE(MID('Raw Orders'!B351,9,2))),DATE(VALUE(MID('Raw Orders'!B351,7,4)),VALUE(MID('Raw Orders'!B351,4,2)),VALUE(LEFT('Raw Orders'!B351,2)))))</f>
        <v>46167</v>
      </c>
      <c r="B354" s="36" t="n">
        <f aca="false">IF(A354="","",A354-WEEKDAY(A354,3))</f>
        <v>46167</v>
      </c>
      <c r="C354" s="32" t="n">
        <f aca="false">IF(OR('Raw Orders'!C351&lt;&gt;"Product",'Raw Orders'!K351="Cancelled"),0,'Raw Orders'!G351)</f>
        <v>-32</v>
      </c>
      <c r="D354" s="31" t="n">
        <f aca="false">IF(AND('Raw Orders'!C351="Product",'Raw Orders'!K351="Fulfilled",COUNTIFS('Raw Orders'!$A$2:$A351,'Raw Orders'!A351,'Raw Orders'!$C$2:$C351,"Product",'Raw Orders'!$K$2:$K351,"Fulfilled")=1),1,0)</f>
        <v>0</v>
      </c>
      <c r="E354" s="31" t="n">
        <f aca="false">IF(AND('Raw Orders'!C351="Product",'Raw Orders'!K351="Fulfilled"),'Raw Orders'!E351,0)</f>
        <v>0</v>
      </c>
      <c r="F354" s="32" t="n">
        <f aca="false">IF('Raw Orders'!K351="Refunded",'Raw Orders'!G351,0)</f>
        <v>-32</v>
      </c>
    </row>
    <row r="355" customFormat="false" ht="15" hidden="false" customHeight="false" outlineLevel="0" collapsed="false">
      <c r="A355" s="36" t="n">
        <f aca="false">IF('Raw Orders'!B352="","",IF(MID('Raw Orders'!B352,5,1)="-",DATE(VALUE(LEFT('Raw Orders'!B352,4)),VALUE(MID('Raw Orders'!B352,6,2)),VALUE(MID('Raw Orders'!B352,9,2))),DATE(VALUE(MID('Raw Orders'!B352,7,4)),VALUE(MID('Raw Orders'!B352,4,2)),VALUE(LEFT('Raw Orders'!B352,2)))))</f>
        <v>46167</v>
      </c>
      <c r="B355" s="36" t="n">
        <f aca="false">IF(A355="","",A355-WEEKDAY(A355,3))</f>
        <v>46167</v>
      </c>
      <c r="C355" s="32" t="n">
        <f aca="false">IF(OR('Raw Orders'!C352&lt;&gt;"Product",'Raw Orders'!K352="Cancelled"),0,'Raw Orders'!G352)</f>
        <v>28</v>
      </c>
      <c r="D355" s="31" t="n">
        <f aca="false">IF(AND('Raw Orders'!C352="Product",'Raw Orders'!K352="Fulfilled",COUNTIFS('Raw Orders'!$A$2:$A352,'Raw Orders'!A352,'Raw Orders'!$C$2:$C352,"Product",'Raw Orders'!$K$2:$K352,"Fulfilled")=1),1,0)</f>
        <v>1</v>
      </c>
      <c r="E355" s="31" t="n">
        <f aca="false">IF(AND('Raw Orders'!C352="Product",'Raw Orders'!K352="Fulfilled"),'Raw Orders'!E352,0)</f>
        <v>2</v>
      </c>
      <c r="F355" s="32" t="n">
        <f aca="false">IF('Raw Orders'!K352="Refunded",'Raw Orders'!G352,0)</f>
        <v>0</v>
      </c>
    </row>
    <row r="356" customFormat="false" ht="15" hidden="false" customHeight="false" outlineLevel="0" collapsed="false">
      <c r="A356" s="36" t="n">
        <f aca="false">IF('Raw Orders'!B353="","",IF(MID('Raw Orders'!B353,5,1)="-",DATE(VALUE(LEFT('Raw Orders'!B353,4)),VALUE(MID('Raw Orders'!B353,6,2)),VALUE(MID('Raw Orders'!B353,9,2))),DATE(VALUE(MID('Raw Orders'!B353,7,4)),VALUE(MID('Raw Orders'!B353,4,2)),VALUE(LEFT('Raw Orders'!B353,2)))))</f>
        <v>46167</v>
      </c>
      <c r="B356" s="36" t="n">
        <f aca="false">IF(A356="","",A356-WEEKDAY(A356,3))</f>
        <v>46167</v>
      </c>
      <c r="C356" s="32" t="n">
        <f aca="false">IF(OR('Raw Orders'!C353&lt;&gt;"Product",'Raw Orders'!K353="Cancelled"),0,'Raw Orders'!G353)</f>
        <v>0</v>
      </c>
      <c r="D356" s="31" t="n">
        <f aca="false">IF(AND('Raw Orders'!C353="Product",'Raw Orders'!K353="Fulfilled",COUNTIFS('Raw Orders'!$A$2:$A353,'Raw Orders'!A353,'Raw Orders'!$C$2:$C353,"Product",'Raw Orders'!$K$2:$K353,"Fulfilled")=1),1,0)</f>
        <v>0</v>
      </c>
      <c r="E356" s="31" t="n">
        <f aca="false">IF(AND('Raw Orders'!C353="Product",'Raw Orders'!K353="Fulfilled"),'Raw Orders'!E353,0)</f>
        <v>0</v>
      </c>
      <c r="F356" s="32" t="n">
        <f aca="false">IF('Raw Orders'!K353="Refunded",'Raw Orders'!G353,0)</f>
        <v>0</v>
      </c>
    </row>
    <row r="357" customFormat="false" ht="15" hidden="false" customHeight="false" outlineLevel="0" collapsed="false">
      <c r="A357" s="36" t="n">
        <f aca="false">IF('Raw Orders'!B354="","",IF(MID('Raw Orders'!B354,5,1)="-",DATE(VALUE(LEFT('Raw Orders'!B354,4)),VALUE(MID('Raw Orders'!B354,6,2)),VALUE(MID('Raw Orders'!B354,9,2))),DATE(VALUE(MID('Raw Orders'!B354,7,4)),VALUE(MID('Raw Orders'!B354,4,2)),VALUE(LEFT('Raw Orders'!B354,2)))))</f>
        <v>46167</v>
      </c>
      <c r="B357" s="36" t="n">
        <f aca="false">IF(A357="","",A357-WEEKDAY(A357,3))</f>
        <v>46167</v>
      </c>
      <c r="C357" s="32" t="n">
        <f aca="false">IF(OR('Raw Orders'!C354&lt;&gt;"Product",'Raw Orders'!K354="Cancelled"),0,'Raw Orders'!G354)</f>
        <v>29</v>
      </c>
      <c r="D357" s="31" t="n">
        <f aca="false">IF(AND('Raw Orders'!C354="Product",'Raw Orders'!K354="Fulfilled",COUNTIFS('Raw Orders'!$A$2:$A354,'Raw Orders'!A354,'Raw Orders'!$C$2:$C354,"Product",'Raw Orders'!$K$2:$K354,"Fulfilled")=1),1,0)</f>
        <v>1</v>
      </c>
      <c r="E357" s="31" t="n">
        <f aca="false">IF(AND('Raw Orders'!C354="Product",'Raw Orders'!K354="Fulfilled"),'Raw Orders'!E354,0)</f>
        <v>1</v>
      </c>
      <c r="F357" s="32" t="n">
        <f aca="false">IF('Raw Orders'!K354="Refunded",'Raw Orders'!G354,0)</f>
        <v>0</v>
      </c>
    </row>
    <row r="358" customFormat="false" ht="15" hidden="false" customHeight="false" outlineLevel="0" collapsed="false">
      <c r="A358" s="36" t="n">
        <f aca="false">IF('Raw Orders'!B355="","",IF(MID('Raw Orders'!B355,5,1)="-",DATE(VALUE(LEFT('Raw Orders'!B355,4)),VALUE(MID('Raw Orders'!B355,6,2)),VALUE(MID('Raw Orders'!B355,9,2))),DATE(VALUE(MID('Raw Orders'!B355,7,4)),VALUE(MID('Raw Orders'!B355,4,2)),VALUE(LEFT('Raw Orders'!B355,2)))))</f>
        <v>46167</v>
      </c>
      <c r="B358" s="36" t="n">
        <f aca="false">IF(A358="","",A358-WEEKDAY(A358,3))</f>
        <v>46167</v>
      </c>
      <c r="C358" s="32" t="n">
        <f aca="false">IF(OR('Raw Orders'!C355&lt;&gt;"Product",'Raw Orders'!K355="Cancelled"),0,'Raw Orders'!G355)</f>
        <v>0</v>
      </c>
      <c r="D358" s="31" t="n">
        <f aca="false">IF(AND('Raw Orders'!C355="Product",'Raw Orders'!K355="Fulfilled",COUNTIFS('Raw Orders'!$A$2:$A355,'Raw Orders'!A355,'Raw Orders'!$C$2:$C355,"Product",'Raw Orders'!$K$2:$K355,"Fulfilled")=1),1,0)</f>
        <v>0</v>
      </c>
      <c r="E358" s="31" t="n">
        <f aca="false">IF(AND('Raw Orders'!C355="Product",'Raw Orders'!K355="Fulfilled"),'Raw Orders'!E355,0)</f>
        <v>0</v>
      </c>
      <c r="F358" s="32" t="n">
        <f aca="false">IF('Raw Orders'!K355="Refunded",'Raw Orders'!G355,0)</f>
        <v>0</v>
      </c>
    </row>
    <row r="359" customFormat="false" ht="15" hidden="false" customHeight="false" outlineLevel="0" collapsed="false">
      <c r="A359" s="36" t="n">
        <f aca="false">IF('Raw Orders'!B356="","",IF(MID('Raw Orders'!B356,5,1)="-",DATE(VALUE(LEFT('Raw Orders'!B356,4)),VALUE(MID('Raw Orders'!B356,6,2)),VALUE(MID('Raw Orders'!B356,9,2))),DATE(VALUE(MID('Raw Orders'!B356,7,4)),VALUE(MID('Raw Orders'!B356,4,2)),VALUE(LEFT('Raw Orders'!B356,2)))))</f>
        <v>46167</v>
      </c>
      <c r="B359" s="36" t="n">
        <f aca="false">IF(A359="","",A359-WEEKDAY(A359,3))</f>
        <v>46167</v>
      </c>
      <c r="C359" s="32" t="n">
        <f aca="false">IF(OR('Raw Orders'!C356&lt;&gt;"Product",'Raw Orders'!K356="Cancelled"),0,'Raw Orders'!G356)</f>
        <v>75</v>
      </c>
      <c r="D359" s="31" t="n">
        <f aca="false">IF(AND('Raw Orders'!C356="Product",'Raw Orders'!K356="Fulfilled",COUNTIFS('Raw Orders'!$A$2:$A356,'Raw Orders'!A356,'Raw Orders'!$C$2:$C356,"Product",'Raw Orders'!$K$2:$K356,"Fulfilled")=1),1,0)</f>
        <v>1</v>
      </c>
      <c r="E359" s="31" t="n">
        <f aca="false">IF(AND('Raw Orders'!C356="Product",'Raw Orders'!K356="Fulfilled"),'Raw Orders'!E356,0)</f>
        <v>1</v>
      </c>
      <c r="F359" s="32" t="n">
        <f aca="false">IF('Raw Orders'!K356="Refunded",'Raw Orders'!G356,0)</f>
        <v>0</v>
      </c>
    </row>
    <row r="360" customFormat="false" ht="15" hidden="false" customHeight="false" outlineLevel="0" collapsed="false">
      <c r="A360" s="36" t="n">
        <f aca="false">IF('Raw Orders'!B357="","",IF(MID('Raw Orders'!B357,5,1)="-",DATE(VALUE(LEFT('Raw Orders'!B357,4)),VALUE(MID('Raw Orders'!B357,6,2)),VALUE(MID('Raw Orders'!B357,9,2))),DATE(VALUE(MID('Raw Orders'!B357,7,4)),VALUE(MID('Raw Orders'!B357,4,2)),VALUE(LEFT('Raw Orders'!B357,2)))))</f>
        <v>46167</v>
      </c>
      <c r="B360" s="36" t="n">
        <f aca="false">IF(A360="","",A360-WEEKDAY(A360,3))</f>
        <v>46167</v>
      </c>
      <c r="C360" s="32" t="n">
        <f aca="false">IF(OR('Raw Orders'!C357&lt;&gt;"Product",'Raw Orders'!K357="Cancelled"),0,'Raw Orders'!G357)</f>
        <v>0</v>
      </c>
      <c r="D360" s="31" t="n">
        <f aca="false">IF(AND('Raw Orders'!C357="Product",'Raw Orders'!K357="Fulfilled",COUNTIFS('Raw Orders'!$A$2:$A357,'Raw Orders'!A357,'Raw Orders'!$C$2:$C357,"Product",'Raw Orders'!$K$2:$K357,"Fulfilled")=1),1,0)</f>
        <v>0</v>
      </c>
      <c r="E360" s="31" t="n">
        <f aca="false">IF(AND('Raw Orders'!C357="Product",'Raw Orders'!K357="Fulfilled"),'Raw Orders'!E357,0)</f>
        <v>0</v>
      </c>
      <c r="F360" s="32" t="n">
        <f aca="false">IF('Raw Orders'!K357="Refunded",'Raw Orders'!G357,0)</f>
        <v>0</v>
      </c>
    </row>
    <row r="361" customFormat="false" ht="15" hidden="false" customHeight="false" outlineLevel="0" collapsed="false">
      <c r="A361" s="36" t="n">
        <f aca="false">IF('Raw Orders'!B358="","",IF(MID('Raw Orders'!B358,5,1)="-",DATE(VALUE(LEFT('Raw Orders'!B358,4)),VALUE(MID('Raw Orders'!B358,6,2)),VALUE(MID('Raw Orders'!B358,9,2))),DATE(VALUE(MID('Raw Orders'!B358,7,4)),VALUE(MID('Raw Orders'!B358,4,2)),VALUE(LEFT('Raw Orders'!B358,2)))))</f>
        <v>46167</v>
      </c>
      <c r="B361" s="36" t="n">
        <f aca="false">IF(A361="","",A361-WEEKDAY(A361,3))</f>
        <v>46167</v>
      </c>
      <c r="C361" s="32" t="n">
        <f aca="false">IF(OR('Raw Orders'!C358&lt;&gt;"Product",'Raw Orders'!K358="Cancelled"),0,'Raw Orders'!G358)</f>
        <v>138</v>
      </c>
      <c r="D361" s="31" t="n">
        <f aca="false">IF(AND('Raw Orders'!C358="Product",'Raw Orders'!K358="Fulfilled",COUNTIFS('Raw Orders'!$A$2:$A358,'Raw Orders'!A358,'Raw Orders'!$C$2:$C358,"Product",'Raw Orders'!$K$2:$K358,"Fulfilled")=1),1,0)</f>
        <v>1</v>
      </c>
      <c r="E361" s="31" t="n">
        <f aca="false">IF(AND('Raw Orders'!C358="Product",'Raw Orders'!K358="Fulfilled"),'Raw Orders'!E358,0)</f>
        <v>2</v>
      </c>
      <c r="F361" s="32" t="n">
        <f aca="false">IF('Raw Orders'!K358="Refunded",'Raw Orders'!G358,0)</f>
        <v>0</v>
      </c>
    </row>
    <row r="362" customFormat="false" ht="15" hidden="false" customHeight="false" outlineLevel="0" collapsed="false">
      <c r="A362" s="36" t="n">
        <f aca="false">IF('Raw Orders'!B359="","",IF(MID('Raw Orders'!B359,5,1)="-",DATE(VALUE(LEFT('Raw Orders'!B359,4)),VALUE(MID('Raw Orders'!B359,6,2)),VALUE(MID('Raw Orders'!B359,9,2))),DATE(VALUE(MID('Raw Orders'!B359,7,4)),VALUE(MID('Raw Orders'!B359,4,2)),VALUE(LEFT('Raw Orders'!B359,2)))))</f>
        <v>46167</v>
      </c>
      <c r="B362" s="36" t="n">
        <f aca="false">IF(A362="","",A362-WEEKDAY(A362,3))</f>
        <v>46167</v>
      </c>
      <c r="C362" s="32" t="n">
        <f aca="false">IF(OR('Raw Orders'!C359&lt;&gt;"Product",'Raw Orders'!K359="Cancelled"),0,'Raw Orders'!G359)</f>
        <v>29</v>
      </c>
      <c r="D362" s="31" t="n">
        <f aca="false">IF(AND('Raw Orders'!C359="Product",'Raw Orders'!K359="Fulfilled",COUNTIFS('Raw Orders'!$A$2:$A359,'Raw Orders'!A359,'Raw Orders'!$C$2:$C359,"Product",'Raw Orders'!$K$2:$K359,"Fulfilled")=1),1,0)</f>
        <v>0</v>
      </c>
      <c r="E362" s="31" t="n">
        <f aca="false">IF(AND('Raw Orders'!C359="Product",'Raw Orders'!K359="Fulfilled"),'Raw Orders'!E359,0)</f>
        <v>1</v>
      </c>
      <c r="F362" s="32" t="n">
        <f aca="false">IF('Raw Orders'!K359="Refunded",'Raw Orders'!G359,0)</f>
        <v>0</v>
      </c>
    </row>
    <row r="363" customFormat="false" ht="15" hidden="false" customHeight="false" outlineLevel="0" collapsed="false">
      <c r="A363" s="36" t="n">
        <f aca="false">IF('Raw Orders'!B360="","",IF(MID('Raw Orders'!B360,5,1)="-",DATE(VALUE(LEFT('Raw Orders'!B360,4)),VALUE(MID('Raw Orders'!B360,6,2)),VALUE(MID('Raw Orders'!B360,9,2))),DATE(VALUE(MID('Raw Orders'!B360,7,4)),VALUE(MID('Raw Orders'!B360,4,2)),VALUE(LEFT('Raw Orders'!B360,2)))))</f>
        <v>46167</v>
      </c>
      <c r="B363" s="36" t="n">
        <f aca="false">IF(A363="","",A363-WEEKDAY(A363,3))</f>
        <v>46167</v>
      </c>
      <c r="C363" s="32" t="n">
        <f aca="false">IF(OR('Raw Orders'!C360&lt;&gt;"Product",'Raw Orders'!K360="Cancelled"),0,'Raw Orders'!G360)</f>
        <v>31.2</v>
      </c>
      <c r="D363" s="31" t="n">
        <f aca="false">IF(AND('Raw Orders'!C360="Product",'Raw Orders'!K360="Fulfilled",COUNTIFS('Raw Orders'!$A$2:$A360,'Raw Orders'!A360,'Raw Orders'!$C$2:$C360,"Product",'Raw Orders'!$K$2:$K360,"Fulfilled")=1),1,0)</f>
        <v>1</v>
      </c>
      <c r="E363" s="31" t="n">
        <f aca="false">IF(AND('Raw Orders'!C360="Product",'Raw Orders'!K360="Fulfilled"),'Raw Orders'!E360,0)</f>
        <v>1</v>
      </c>
      <c r="F363" s="32" t="n">
        <f aca="false">IF('Raw Orders'!K360="Refunded",'Raw Orders'!G360,0)</f>
        <v>0</v>
      </c>
    </row>
    <row r="364" customFormat="false" ht="15" hidden="false" customHeight="false" outlineLevel="0" collapsed="false">
      <c r="A364" s="36" t="n">
        <f aca="false">IF('Raw Orders'!B361="","",IF(MID('Raw Orders'!B361,5,1)="-",DATE(VALUE(LEFT('Raw Orders'!B361,4)),VALUE(MID('Raw Orders'!B361,6,2)),VALUE(MID('Raw Orders'!B361,9,2))),DATE(VALUE(MID('Raw Orders'!B361,7,4)),VALUE(MID('Raw Orders'!B361,4,2)),VALUE(LEFT('Raw Orders'!B361,2)))))</f>
        <v>46167</v>
      </c>
      <c r="B364" s="36" t="n">
        <f aca="false">IF(A364="","",A364-WEEKDAY(A364,3))</f>
        <v>46167</v>
      </c>
      <c r="C364" s="32" t="n">
        <f aca="false">IF(OR('Raw Orders'!C361&lt;&gt;"Product",'Raw Orders'!K361="Cancelled"),0,'Raw Orders'!G361)</f>
        <v>178</v>
      </c>
      <c r="D364" s="31" t="n">
        <f aca="false">IF(AND('Raw Orders'!C361="Product",'Raw Orders'!K361="Fulfilled",COUNTIFS('Raw Orders'!$A$2:$A361,'Raw Orders'!A361,'Raw Orders'!$C$2:$C361,"Product",'Raw Orders'!$K$2:$K361,"Fulfilled")=1),1,0)</f>
        <v>1</v>
      </c>
      <c r="E364" s="31" t="n">
        <f aca="false">IF(AND('Raw Orders'!C361="Product",'Raw Orders'!K361="Fulfilled"),'Raw Orders'!E361,0)</f>
        <v>2</v>
      </c>
      <c r="F364" s="32" t="n">
        <f aca="false">IF('Raw Orders'!K361="Refunded",'Raw Orders'!G361,0)</f>
        <v>0</v>
      </c>
    </row>
    <row r="365" customFormat="false" ht="15" hidden="false" customHeight="false" outlineLevel="0" collapsed="false">
      <c r="A365" s="36" t="n">
        <f aca="false">IF('Raw Orders'!B362="","",IF(MID('Raw Orders'!B362,5,1)="-",DATE(VALUE(LEFT('Raw Orders'!B362,4)),VALUE(MID('Raw Orders'!B362,6,2)),VALUE(MID('Raw Orders'!B362,9,2))),DATE(VALUE(MID('Raw Orders'!B362,7,4)),VALUE(MID('Raw Orders'!B362,4,2)),VALUE(LEFT('Raw Orders'!B362,2)))))</f>
        <v>46167</v>
      </c>
      <c r="B365" s="36" t="n">
        <f aca="false">IF(A365="","",A365-WEEKDAY(A365,3))</f>
        <v>46167</v>
      </c>
      <c r="C365" s="32" t="n">
        <f aca="false">IF(OR('Raw Orders'!C362&lt;&gt;"Product",'Raw Orders'!K362="Cancelled"),0,'Raw Orders'!G362)</f>
        <v>39</v>
      </c>
      <c r="D365" s="31" t="n">
        <f aca="false">IF(AND('Raw Orders'!C362="Product",'Raw Orders'!K362="Fulfilled",COUNTIFS('Raw Orders'!$A$2:$A362,'Raw Orders'!A362,'Raw Orders'!$C$2:$C362,"Product",'Raw Orders'!$K$2:$K362,"Fulfilled")=1),1,0)</f>
        <v>0</v>
      </c>
      <c r="E365" s="31" t="n">
        <f aca="false">IF(AND('Raw Orders'!C362="Product",'Raw Orders'!K362="Fulfilled"),'Raw Orders'!E362,0)</f>
        <v>1</v>
      </c>
      <c r="F365" s="32" t="n">
        <f aca="false">IF('Raw Orders'!K362="Refunded",'Raw Orders'!G362,0)</f>
        <v>0</v>
      </c>
    </row>
    <row r="366" customFormat="false" ht="15" hidden="false" customHeight="false" outlineLevel="0" collapsed="false">
      <c r="A366" s="36" t="n">
        <f aca="false">IF('Raw Orders'!B363="","",IF(MID('Raw Orders'!B363,5,1)="-",DATE(VALUE(LEFT('Raw Orders'!B363,4)),VALUE(MID('Raw Orders'!B363,6,2)),VALUE(MID('Raw Orders'!B363,9,2))),DATE(VALUE(MID('Raw Orders'!B363,7,4)),VALUE(MID('Raw Orders'!B363,4,2)),VALUE(LEFT('Raw Orders'!B363,2)))))</f>
        <v>46167</v>
      </c>
      <c r="B366" s="36" t="n">
        <f aca="false">IF(A366="","",A366-WEEKDAY(A366,3))</f>
        <v>46167</v>
      </c>
      <c r="C366" s="32" t="n">
        <f aca="false">IF(OR('Raw Orders'!C363&lt;&gt;"Product",'Raw Orders'!K363="Cancelled"),0,'Raw Orders'!G363)</f>
        <v>0</v>
      </c>
      <c r="D366" s="31" t="n">
        <f aca="false">IF(AND('Raw Orders'!C363="Product",'Raw Orders'!K363="Fulfilled",COUNTIFS('Raw Orders'!$A$2:$A363,'Raw Orders'!A363,'Raw Orders'!$C$2:$C363,"Product",'Raw Orders'!$K$2:$K363,"Fulfilled")=1),1,0)</f>
        <v>0</v>
      </c>
      <c r="E366" s="31" t="n">
        <f aca="false">IF(AND('Raw Orders'!C363="Product",'Raw Orders'!K363="Fulfilled"),'Raw Orders'!E363,0)</f>
        <v>0</v>
      </c>
      <c r="F366" s="32" t="n">
        <f aca="false">IF('Raw Orders'!K363="Refunded",'Raw Orders'!G363,0)</f>
        <v>0</v>
      </c>
    </row>
    <row r="367" customFormat="false" ht="15" hidden="false" customHeight="false" outlineLevel="0" collapsed="false">
      <c r="A367" s="36" t="n">
        <f aca="false">IF('Raw Orders'!B364="","",IF(MID('Raw Orders'!B364,5,1)="-",DATE(VALUE(LEFT('Raw Orders'!B364,4)),VALUE(MID('Raw Orders'!B364,6,2)),VALUE(MID('Raw Orders'!B364,9,2))),DATE(VALUE(MID('Raw Orders'!B364,7,4)),VALUE(MID('Raw Orders'!B364,4,2)),VALUE(LEFT('Raw Orders'!B364,2)))))</f>
        <v>46167</v>
      </c>
      <c r="B367" s="36" t="n">
        <f aca="false">IF(A367="","",A367-WEEKDAY(A367,3))</f>
        <v>46167</v>
      </c>
      <c r="C367" s="32" t="n">
        <f aca="false">IF(OR('Raw Orders'!C364&lt;&gt;"Product",'Raw Orders'!K364="Cancelled"),0,'Raw Orders'!G364)</f>
        <v>22</v>
      </c>
      <c r="D367" s="31" t="n">
        <f aca="false">IF(AND('Raw Orders'!C364="Product",'Raw Orders'!K364="Fulfilled",COUNTIFS('Raw Orders'!$A$2:$A364,'Raw Orders'!A364,'Raw Orders'!$C$2:$C364,"Product",'Raw Orders'!$K$2:$K364,"Fulfilled")=1),1,0)</f>
        <v>1</v>
      </c>
      <c r="E367" s="31" t="n">
        <f aca="false">IF(AND('Raw Orders'!C364="Product",'Raw Orders'!K364="Fulfilled"),'Raw Orders'!E364,0)</f>
        <v>1</v>
      </c>
      <c r="F367" s="32" t="n">
        <f aca="false">IF('Raw Orders'!K364="Refunded",'Raw Orders'!G364,0)</f>
        <v>0</v>
      </c>
    </row>
    <row r="368" customFormat="false" ht="15" hidden="false" customHeight="false" outlineLevel="0" collapsed="false">
      <c r="A368" s="36" t="n">
        <f aca="false">IF('Raw Orders'!B365="","",IF(MID('Raw Orders'!B365,5,1)="-",DATE(VALUE(LEFT('Raw Orders'!B365,4)),VALUE(MID('Raw Orders'!B365,6,2)),VALUE(MID('Raw Orders'!B365,9,2))),DATE(VALUE(MID('Raw Orders'!B365,7,4)),VALUE(MID('Raw Orders'!B365,4,2)),VALUE(LEFT('Raw Orders'!B365,2)))))</f>
        <v>46167</v>
      </c>
      <c r="B368" s="36" t="n">
        <f aca="false">IF(A368="","",A368-WEEKDAY(A368,3))</f>
        <v>46167</v>
      </c>
      <c r="C368" s="32" t="n">
        <f aca="false">IF(OR('Raw Orders'!C365&lt;&gt;"Product",'Raw Orders'!K365="Cancelled"),0,'Raw Orders'!G365)</f>
        <v>0</v>
      </c>
      <c r="D368" s="31" t="n">
        <f aca="false">IF(AND('Raw Orders'!C365="Product",'Raw Orders'!K365="Fulfilled",COUNTIFS('Raw Orders'!$A$2:$A365,'Raw Orders'!A365,'Raw Orders'!$C$2:$C365,"Product",'Raw Orders'!$K$2:$K365,"Fulfilled")=1),1,0)</f>
        <v>0</v>
      </c>
      <c r="E368" s="31" t="n">
        <f aca="false">IF(AND('Raw Orders'!C365="Product",'Raw Orders'!K365="Fulfilled"),'Raw Orders'!E365,0)</f>
        <v>0</v>
      </c>
      <c r="F368" s="32" t="n">
        <f aca="false">IF('Raw Orders'!K365="Refunded",'Raw Orders'!G365,0)</f>
        <v>0</v>
      </c>
    </row>
    <row r="369" customFormat="false" ht="15" hidden="false" customHeight="false" outlineLevel="0" collapsed="false">
      <c r="A369" s="36" t="n">
        <f aca="false">IF('Raw Orders'!B366="","",IF(MID('Raw Orders'!B366,5,1)="-",DATE(VALUE(LEFT('Raw Orders'!B366,4)),VALUE(MID('Raw Orders'!B366,6,2)),VALUE(MID('Raw Orders'!B366,9,2))),DATE(VALUE(MID('Raw Orders'!B366,7,4)),VALUE(MID('Raw Orders'!B366,4,2)),VALUE(LEFT('Raw Orders'!B366,2)))))</f>
        <v>46167</v>
      </c>
      <c r="B369" s="36" t="n">
        <f aca="false">IF(A369="","",A369-WEEKDAY(A369,3))</f>
        <v>46167</v>
      </c>
      <c r="C369" s="32" t="n">
        <f aca="false">IF(OR('Raw Orders'!C366&lt;&gt;"Product",'Raw Orders'!K366="Cancelled"),0,'Raw Orders'!G366)</f>
        <v>45</v>
      </c>
      <c r="D369" s="31" t="n">
        <f aca="false">IF(AND('Raw Orders'!C366="Product",'Raw Orders'!K366="Fulfilled",COUNTIFS('Raw Orders'!$A$2:$A366,'Raw Orders'!A366,'Raw Orders'!$C$2:$C366,"Product",'Raw Orders'!$K$2:$K366,"Fulfilled")=1),1,0)</f>
        <v>0</v>
      </c>
      <c r="E369" s="31" t="n">
        <f aca="false">IF(AND('Raw Orders'!C366="Product",'Raw Orders'!K366="Fulfilled"),'Raw Orders'!E366,0)</f>
        <v>1</v>
      </c>
      <c r="F369" s="32" t="n">
        <f aca="false">IF('Raw Orders'!K366="Refunded",'Raw Orders'!G366,0)</f>
        <v>0</v>
      </c>
    </row>
    <row r="370" customFormat="false" ht="15" hidden="false" customHeight="false" outlineLevel="0" collapsed="false">
      <c r="A370" s="36" t="n">
        <f aca="false">IF('Raw Orders'!B367="","",IF(MID('Raw Orders'!B367,5,1)="-",DATE(VALUE(LEFT('Raw Orders'!B367,4)),VALUE(MID('Raw Orders'!B367,6,2)),VALUE(MID('Raw Orders'!B367,9,2))),DATE(VALUE(MID('Raw Orders'!B367,7,4)),VALUE(MID('Raw Orders'!B367,4,2)),VALUE(LEFT('Raw Orders'!B367,2)))))</f>
        <v>46168</v>
      </c>
      <c r="B370" s="36" t="n">
        <f aca="false">IF(A370="","",A370-WEEKDAY(A370,3))</f>
        <v>46167</v>
      </c>
      <c r="C370" s="32" t="n">
        <f aca="false">IF(OR('Raw Orders'!C367&lt;&gt;"Product",'Raw Orders'!K367="Cancelled"),0,'Raw Orders'!G367)</f>
        <v>89</v>
      </c>
      <c r="D370" s="31" t="n">
        <f aca="false">IF(AND('Raw Orders'!C367="Product",'Raw Orders'!K367="Fulfilled",COUNTIFS('Raw Orders'!$A$2:$A367,'Raw Orders'!A367,'Raw Orders'!$C$2:$C367,"Product",'Raw Orders'!$K$2:$K367,"Fulfilled")=1),1,0)</f>
        <v>1</v>
      </c>
      <c r="E370" s="31" t="n">
        <f aca="false">IF(AND('Raw Orders'!C367="Product",'Raw Orders'!K367="Fulfilled"),'Raw Orders'!E367,0)</f>
        <v>1</v>
      </c>
      <c r="F370" s="32" t="n">
        <f aca="false">IF('Raw Orders'!K367="Refunded",'Raw Orders'!G367,0)</f>
        <v>0</v>
      </c>
    </row>
    <row r="371" customFormat="false" ht="15" hidden="false" customHeight="false" outlineLevel="0" collapsed="false">
      <c r="A371" s="36" t="n">
        <f aca="false">IF('Raw Orders'!B368="","",IF(MID('Raw Orders'!B368,5,1)="-",DATE(VALUE(LEFT('Raw Orders'!B368,4)),VALUE(MID('Raw Orders'!B368,6,2)),VALUE(MID('Raw Orders'!B368,9,2))),DATE(VALUE(MID('Raw Orders'!B368,7,4)),VALUE(MID('Raw Orders'!B368,4,2)),VALUE(LEFT('Raw Orders'!B368,2)))))</f>
        <v>46168</v>
      </c>
      <c r="B371" s="36" t="n">
        <f aca="false">IF(A371="","",A371-WEEKDAY(A371,3))</f>
        <v>46167</v>
      </c>
      <c r="C371" s="32" t="n">
        <f aca="false">IF(OR('Raw Orders'!C368&lt;&gt;"Product",'Raw Orders'!K368="Cancelled"),0,'Raw Orders'!G368)</f>
        <v>0</v>
      </c>
      <c r="D371" s="31" t="n">
        <f aca="false">IF(AND('Raw Orders'!C368="Product",'Raw Orders'!K368="Fulfilled",COUNTIFS('Raw Orders'!$A$2:$A368,'Raw Orders'!A368,'Raw Orders'!$C$2:$C368,"Product",'Raw Orders'!$K$2:$K368,"Fulfilled")=1),1,0)</f>
        <v>0</v>
      </c>
      <c r="E371" s="31" t="n">
        <f aca="false">IF(AND('Raw Orders'!C368="Product",'Raw Orders'!K368="Fulfilled"),'Raw Orders'!E368,0)</f>
        <v>0</v>
      </c>
      <c r="F371" s="32" t="n">
        <f aca="false">IF('Raw Orders'!K368="Refunded",'Raw Orders'!G368,0)</f>
        <v>0</v>
      </c>
    </row>
    <row r="372" customFormat="false" ht="15" hidden="false" customHeight="false" outlineLevel="0" collapsed="false">
      <c r="A372" s="36" t="n">
        <f aca="false">IF('Raw Orders'!B369="","",IF(MID('Raw Orders'!B369,5,1)="-",DATE(VALUE(LEFT('Raw Orders'!B369,4)),VALUE(MID('Raw Orders'!B369,6,2)),VALUE(MID('Raw Orders'!B369,9,2))),DATE(VALUE(MID('Raw Orders'!B369,7,4)),VALUE(MID('Raw Orders'!B369,4,2)),VALUE(LEFT('Raw Orders'!B369,2)))))</f>
        <v>46168</v>
      </c>
      <c r="B372" s="36" t="n">
        <f aca="false">IF(A372="","",A372-WEEKDAY(A372,3))</f>
        <v>46167</v>
      </c>
      <c r="C372" s="32" t="n">
        <f aca="false">IF(OR('Raw Orders'!C369&lt;&gt;"Product",'Raw Orders'!K369="Cancelled"),0,'Raw Orders'!G369)</f>
        <v>0</v>
      </c>
      <c r="D372" s="31" t="n">
        <f aca="false">IF(AND('Raw Orders'!C369="Product",'Raw Orders'!K369="Fulfilled",COUNTIFS('Raw Orders'!$A$2:$A369,'Raw Orders'!A369,'Raw Orders'!$C$2:$C369,"Product",'Raw Orders'!$K$2:$K369,"Fulfilled")=1),1,0)</f>
        <v>0</v>
      </c>
      <c r="E372" s="31" t="n">
        <f aca="false">IF(AND('Raw Orders'!C369="Product",'Raw Orders'!K369="Fulfilled"),'Raw Orders'!E369,0)</f>
        <v>0</v>
      </c>
      <c r="F372" s="32" t="n">
        <f aca="false">IF('Raw Orders'!K369="Refunded",'Raw Orders'!G369,0)</f>
        <v>0</v>
      </c>
    </row>
    <row r="373" customFormat="false" ht="15" hidden="false" customHeight="false" outlineLevel="0" collapsed="false">
      <c r="A373" s="36" t="n">
        <f aca="false">IF('Raw Orders'!B370="","",IF(MID('Raw Orders'!B370,5,1)="-",DATE(VALUE(LEFT('Raw Orders'!B370,4)),VALUE(MID('Raw Orders'!B370,6,2)),VALUE(MID('Raw Orders'!B370,9,2))),DATE(VALUE(MID('Raw Orders'!B370,7,4)),VALUE(MID('Raw Orders'!B370,4,2)),VALUE(LEFT('Raw Orders'!B370,2)))))</f>
        <v>46168</v>
      </c>
      <c r="B373" s="36" t="n">
        <f aca="false">IF(A373="","",A373-WEEKDAY(A373,3))</f>
        <v>46167</v>
      </c>
      <c r="C373" s="32" t="n">
        <f aca="false">IF(OR('Raw Orders'!C370&lt;&gt;"Product",'Raw Orders'!K370="Cancelled"),0,'Raw Orders'!G370)</f>
        <v>70</v>
      </c>
      <c r="D373" s="31" t="n">
        <f aca="false">IF(AND('Raw Orders'!C370="Product",'Raw Orders'!K370="Fulfilled",COUNTIFS('Raw Orders'!$A$2:$A370,'Raw Orders'!A370,'Raw Orders'!$C$2:$C370,"Product",'Raw Orders'!$K$2:$K370,"Fulfilled")=1),1,0)</f>
        <v>1</v>
      </c>
      <c r="E373" s="31" t="n">
        <f aca="false">IF(AND('Raw Orders'!C370="Product",'Raw Orders'!K370="Fulfilled"),'Raw Orders'!E370,0)</f>
        <v>2</v>
      </c>
      <c r="F373" s="32" t="n">
        <f aca="false">IF('Raw Orders'!K370="Refunded",'Raw Orders'!G370,0)</f>
        <v>0</v>
      </c>
    </row>
    <row r="374" customFormat="false" ht="15" hidden="false" customHeight="false" outlineLevel="0" collapsed="false">
      <c r="A374" s="36" t="n">
        <f aca="false">IF('Raw Orders'!B371="","",IF(MID('Raw Orders'!B371,5,1)="-",DATE(VALUE(LEFT('Raw Orders'!B371,4)),VALUE(MID('Raw Orders'!B371,6,2)),VALUE(MID('Raw Orders'!B371,9,2))),DATE(VALUE(MID('Raw Orders'!B371,7,4)),VALUE(MID('Raw Orders'!B371,4,2)),VALUE(LEFT('Raw Orders'!B371,2)))))</f>
        <v>46168</v>
      </c>
      <c r="B374" s="36" t="n">
        <f aca="false">IF(A374="","",A374-WEEKDAY(A374,3))</f>
        <v>46167</v>
      </c>
      <c r="C374" s="32" t="n">
        <f aca="false">IF(OR('Raw Orders'!C371&lt;&gt;"Product",'Raw Orders'!K371="Cancelled"),0,'Raw Orders'!G371)</f>
        <v>69</v>
      </c>
      <c r="D374" s="31" t="n">
        <f aca="false">IF(AND('Raw Orders'!C371="Product",'Raw Orders'!K371="Fulfilled",COUNTIFS('Raw Orders'!$A$2:$A371,'Raw Orders'!A371,'Raw Orders'!$C$2:$C371,"Product",'Raw Orders'!$K$2:$K371,"Fulfilled")=1),1,0)</f>
        <v>0</v>
      </c>
      <c r="E374" s="31" t="n">
        <f aca="false">IF(AND('Raw Orders'!C371="Product",'Raw Orders'!K371="Fulfilled"),'Raw Orders'!E371,0)</f>
        <v>1</v>
      </c>
      <c r="F374" s="32" t="n">
        <f aca="false">IF('Raw Orders'!K371="Refunded",'Raw Orders'!G371,0)</f>
        <v>0</v>
      </c>
    </row>
    <row r="375" customFormat="false" ht="15" hidden="false" customHeight="false" outlineLevel="0" collapsed="false">
      <c r="A375" s="36" t="n">
        <f aca="false">IF('Raw Orders'!B372="","",IF(MID('Raw Orders'!B372,5,1)="-",DATE(VALUE(LEFT('Raw Orders'!B372,4)),VALUE(MID('Raw Orders'!B372,6,2)),VALUE(MID('Raw Orders'!B372,9,2))),DATE(VALUE(MID('Raw Orders'!B372,7,4)),VALUE(MID('Raw Orders'!B372,4,2)),VALUE(LEFT('Raw Orders'!B372,2)))))</f>
        <v>46168</v>
      </c>
      <c r="B375" s="36" t="n">
        <f aca="false">IF(A375="","",A375-WEEKDAY(A375,3))</f>
        <v>46167</v>
      </c>
      <c r="C375" s="32" t="n">
        <f aca="false">IF(OR('Raw Orders'!C372&lt;&gt;"Product",'Raw Orders'!K372="Cancelled"),0,'Raw Orders'!G372)</f>
        <v>0</v>
      </c>
      <c r="D375" s="31" t="n">
        <f aca="false">IF(AND('Raw Orders'!C372="Product",'Raw Orders'!K372="Fulfilled",COUNTIFS('Raw Orders'!$A$2:$A372,'Raw Orders'!A372,'Raw Orders'!$C$2:$C372,"Product",'Raw Orders'!$K$2:$K372,"Fulfilled")=1),1,0)</f>
        <v>0</v>
      </c>
      <c r="E375" s="31" t="n">
        <f aca="false">IF(AND('Raw Orders'!C372="Product",'Raw Orders'!K372="Fulfilled"),'Raw Orders'!E372,0)</f>
        <v>0</v>
      </c>
      <c r="F375" s="32" t="n">
        <f aca="false">IF('Raw Orders'!K372="Refunded",'Raw Orders'!G372,0)</f>
        <v>0</v>
      </c>
    </row>
    <row r="376" customFormat="false" ht="15" hidden="false" customHeight="false" outlineLevel="0" collapsed="false">
      <c r="A376" s="36" t="n">
        <f aca="false">IF('Raw Orders'!B373="","",IF(MID('Raw Orders'!B373,5,1)="-",DATE(VALUE(LEFT('Raw Orders'!B373,4)),VALUE(MID('Raw Orders'!B373,6,2)),VALUE(MID('Raw Orders'!B373,9,2))),DATE(VALUE(MID('Raw Orders'!B373,7,4)),VALUE(MID('Raw Orders'!B373,4,2)),VALUE(LEFT('Raw Orders'!B373,2)))))</f>
        <v>46168</v>
      </c>
      <c r="B376" s="36" t="n">
        <f aca="false">IF(A376="","",A376-WEEKDAY(A376,3))</f>
        <v>46167</v>
      </c>
      <c r="C376" s="32" t="n">
        <f aca="false">IF(OR('Raw Orders'!C373&lt;&gt;"Product",'Raw Orders'!K373="Cancelled"),0,'Raw Orders'!G373)</f>
        <v>39</v>
      </c>
      <c r="D376" s="31" t="n">
        <f aca="false">IF(AND('Raw Orders'!C373="Product",'Raw Orders'!K373="Fulfilled",COUNTIFS('Raw Orders'!$A$2:$A373,'Raw Orders'!A373,'Raw Orders'!$C$2:$C373,"Product",'Raw Orders'!$K$2:$K373,"Fulfilled")=1),1,0)</f>
        <v>1</v>
      </c>
      <c r="E376" s="31" t="n">
        <f aca="false">IF(AND('Raw Orders'!C373="Product",'Raw Orders'!K373="Fulfilled"),'Raw Orders'!E373,0)</f>
        <v>1</v>
      </c>
      <c r="F376" s="32" t="n">
        <f aca="false">IF('Raw Orders'!K373="Refunded",'Raw Orders'!G373,0)</f>
        <v>0</v>
      </c>
    </row>
    <row r="377" customFormat="false" ht="15" hidden="false" customHeight="false" outlineLevel="0" collapsed="false">
      <c r="A377" s="36" t="n">
        <f aca="false">IF('Raw Orders'!B374="","",IF(MID('Raw Orders'!B374,5,1)="-",DATE(VALUE(LEFT('Raw Orders'!B374,4)),VALUE(MID('Raw Orders'!B374,6,2)),VALUE(MID('Raw Orders'!B374,9,2))),DATE(VALUE(MID('Raw Orders'!B374,7,4)),VALUE(MID('Raw Orders'!B374,4,2)),VALUE(LEFT('Raw Orders'!B374,2)))))</f>
        <v>46168</v>
      </c>
      <c r="B377" s="36" t="n">
        <f aca="false">IF(A377="","",A377-WEEKDAY(A377,3))</f>
        <v>46167</v>
      </c>
      <c r="C377" s="32" t="n">
        <f aca="false">IF(OR('Raw Orders'!C374&lt;&gt;"Product",'Raw Orders'!K374="Cancelled"),0,'Raw Orders'!G374)</f>
        <v>29</v>
      </c>
      <c r="D377" s="31" t="n">
        <f aca="false">IF(AND('Raw Orders'!C374="Product",'Raw Orders'!K374="Fulfilled",COUNTIFS('Raw Orders'!$A$2:$A374,'Raw Orders'!A374,'Raw Orders'!$C$2:$C374,"Product",'Raw Orders'!$K$2:$K374,"Fulfilled")=1),1,0)</f>
        <v>0</v>
      </c>
      <c r="E377" s="31" t="n">
        <f aca="false">IF(AND('Raw Orders'!C374="Product",'Raw Orders'!K374="Fulfilled"),'Raw Orders'!E374,0)</f>
        <v>1</v>
      </c>
      <c r="F377" s="32" t="n">
        <f aca="false">IF('Raw Orders'!K374="Refunded",'Raw Orders'!G374,0)</f>
        <v>0</v>
      </c>
    </row>
    <row r="378" customFormat="false" ht="15" hidden="false" customHeight="false" outlineLevel="0" collapsed="false">
      <c r="A378" s="36" t="n">
        <f aca="false">IF('Raw Orders'!B375="","",IF(MID('Raw Orders'!B375,5,1)="-",DATE(VALUE(LEFT('Raw Orders'!B375,4)),VALUE(MID('Raw Orders'!B375,6,2)),VALUE(MID('Raw Orders'!B375,9,2))),DATE(VALUE(MID('Raw Orders'!B375,7,4)),VALUE(MID('Raw Orders'!B375,4,2)),VALUE(LEFT('Raw Orders'!B375,2)))))</f>
        <v>46168</v>
      </c>
      <c r="B378" s="36" t="n">
        <f aca="false">IF(A378="","",A378-WEEKDAY(A378,3))</f>
        <v>46167</v>
      </c>
      <c r="C378" s="32" t="n">
        <f aca="false">IF(OR('Raw Orders'!C375&lt;&gt;"Product",'Raw Orders'!K375="Cancelled"),0,'Raw Orders'!G375)</f>
        <v>178</v>
      </c>
      <c r="D378" s="31" t="n">
        <f aca="false">IF(AND('Raw Orders'!C375="Product",'Raw Orders'!K375="Fulfilled",COUNTIFS('Raw Orders'!$A$2:$A375,'Raw Orders'!A375,'Raw Orders'!$C$2:$C375,"Product",'Raw Orders'!$K$2:$K375,"Fulfilled")=1),1,0)</f>
        <v>1</v>
      </c>
      <c r="E378" s="31" t="n">
        <f aca="false">IF(AND('Raw Orders'!C375="Product",'Raw Orders'!K375="Fulfilled"),'Raw Orders'!E375,0)</f>
        <v>2</v>
      </c>
      <c r="F378" s="32" t="n">
        <f aca="false">IF('Raw Orders'!K375="Refunded",'Raw Orders'!G375,0)</f>
        <v>0</v>
      </c>
    </row>
    <row r="379" customFormat="false" ht="15" hidden="false" customHeight="false" outlineLevel="0" collapsed="false">
      <c r="A379" s="36" t="n">
        <f aca="false">IF('Raw Orders'!B376="","",IF(MID('Raw Orders'!B376,5,1)="-",DATE(VALUE(LEFT('Raw Orders'!B376,4)),VALUE(MID('Raw Orders'!B376,6,2)),VALUE(MID('Raw Orders'!B376,9,2))),DATE(VALUE(MID('Raw Orders'!B376,7,4)),VALUE(MID('Raw Orders'!B376,4,2)),VALUE(LEFT('Raw Orders'!B376,2)))))</f>
        <v>46168</v>
      </c>
      <c r="B379" s="36" t="n">
        <f aca="false">IF(A379="","",A379-WEEKDAY(A379,3))</f>
        <v>46167</v>
      </c>
      <c r="C379" s="32" t="n">
        <f aca="false">IF(OR('Raw Orders'!C376&lt;&gt;"Product",'Raw Orders'!K376="Cancelled"),0,'Raw Orders'!G376)</f>
        <v>75</v>
      </c>
      <c r="D379" s="31" t="n">
        <f aca="false">IF(AND('Raw Orders'!C376="Product",'Raw Orders'!K376="Fulfilled",COUNTIFS('Raw Orders'!$A$2:$A376,'Raw Orders'!A376,'Raw Orders'!$C$2:$C376,"Product",'Raw Orders'!$K$2:$K376,"Fulfilled")=1),1,0)</f>
        <v>0</v>
      </c>
      <c r="E379" s="31" t="n">
        <f aca="false">IF(AND('Raw Orders'!C376="Product",'Raw Orders'!K376="Fulfilled"),'Raw Orders'!E376,0)</f>
        <v>1</v>
      </c>
      <c r="F379" s="32" t="n">
        <f aca="false">IF('Raw Orders'!K376="Refunded",'Raw Orders'!G376,0)</f>
        <v>0</v>
      </c>
    </row>
    <row r="380" customFormat="false" ht="15" hidden="false" customHeight="false" outlineLevel="0" collapsed="false">
      <c r="A380" s="36" t="n">
        <f aca="false">IF('Raw Orders'!B377="","",IF(MID('Raw Orders'!B377,5,1)="-",DATE(VALUE(LEFT('Raw Orders'!B377,4)),VALUE(MID('Raw Orders'!B377,6,2)),VALUE(MID('Raw Orders'!B377,9,2))),DATE(VALUE(MID('Raw Orders'!B377,7,4)),VALUE(MID('Raw Orders'!B377,4,2)),VALUE(LEFT('Raw Orders'!B377,2)))))</f>
        <v>46168</v>
      </c>
      <c r="B380" s="36" t="n">
        <f aca="false">IF(A380="","",A380-WEEKDAY(A380,3))</f>
        <v>46167</v>
      </c>
      <c r="C380" s="32" t="n">
        <f aca="false">IF(OR('Raw Orders'!C377&lt;&gt;"Product",'Raw Orders'!K377="Cancelled"),0,'Raw Orders'!G377)</f>
        <v>0</v>
      </c>
      <c r="D380" s="31" t="n">
        <f aca="false">IF(AND('Raw Orders'!C377="Product",'Raw Orders'!K377="Fulfilled",COUNTIFS('Raw Orders'!$A$2:$A377,'Raw Orders'!A377,'Raw Orders'!$C$2:$C377,"Product",'Raw Orders'!$K$2:$K377,"Fulfilled")=1),1,0)</f>
        <v>0</v>
      </c>
      <c r="E380" s="31" t="n">
        <f aca="false">IF(AND('Raw Orders'!C377="Product",'Raw Orders'!K377="Fulfilled"),'Raw Orders'!E377,0)</f>
        <v>0</v>
      </c>
      <c r="F380" s="32" t="n">
        <f aca="false">IF('Raw Orders'!K377="Refunded",'Raw Orders'!G377,0)</f>
        <v>0</v>
      </c>
    </row>
    <row r="381" customFormat="false" ht="15" hidden="false" customHeight="false" outlineLevel="0" collapsed="false">
      <c r="A381" s="36" t="n">
        <f aca="false">IF('Raw Orders'!B378="","",IF(MID('Raw Orders'!B378,5,1)="-",DATE(VALUE(LEFT('Raw Orders'!B378,4)),VALUE(MID('Raw Orders'!B378,6,2)),VALUE(MID('Raw Orders'!B378,9,2))),DATE(VALUE(MID('Raw Orders'!B378,7,4)),VALUE(MID('Raw Orders'!B378,4,2)),VALUE(LEFT('Raw Orders'!B378,2)))))</f>
        <v>46168</v>
      </c>
      <c r="B381" s="36" t="n">
        <f aca="false">IF(A381="","",A381-WEEKDAY(A381,3))</f>
        <v>46167</v>
      </c>
      <c r="C381" s="32" t="n">
        <f aca="false">IF(OR('Raw Orders'!C378&lt;&gt;"Product",'Raw Orders'!K378="Cancelled"),0,'Raw Orders'!G378)</f>
        <v>0</v>
      </c>
      <c r="D381" s="31" t="n">
        <f aca="false">IF(AND('Raw Orders'!C378="Product",'Raw Orders'!K378="Fulfilled",COUNTIFS('Raw Orders'!$A$2:$A378,'Raw Orders'!A378,'Raw Orders'!$C$2:$C378,"Product",'Raw Orders'!$K$2:$K378,"Fulfilled")=1),1,0)</f>
        <v>0</v>
      </c>
      <c r="E381" s="31" t="n">
        <f aca="false">IF(AND('Raw Orders'!C378="Product",'Raw Orders'!K378="Fulfilled"),'Raw Orders'!E378,0)</f>
        <v>0</v>
      </c>
      <c r="F381" s="32" t="n">
        <f aca="false">IF('Raw Orders'!K378="Refunded",'Raw Orders'!G378,0)</f>
        <v>0</v>
      </c>
    </row>
    <row r="382" customFormat="false" ht="15" hidden="false" customHeight="false" outlineLevel="0" collapsed="false">
      <c r="A382" s="36" t="n">
        <f aca="false">IF('Raw Orders'!B379="","",IF(MID('Raw Orders'!B379,5,1)="-",DATE(VALUE(LEFT('Raw Orders'!B379,4)),VALUE(MID('Raw Orders'!B379,6,2)),VALUE(MID('Raw Orders'!B379,9,2))),DATE(VALUE(MID('Raw Orders'!B379,7,4)),VALUE(MID('Raw Orders'!B379,4,2)),VALUE(LEFT('Raw Orders'!B379,2)))))</f>
        <v>46168</v>
      </c>
      <c r="B382" s="36" t="n">
        <f aca="false">IF(A382="","",A382-WEEKDAY(A382,3))</f>
        <v>46167</v>
      </c>
      <c r="C382" s="32" t="n">
        <f aca="false">IF(OR('Raw Orders'!C379&lt;&gt;"Product",'Raw Orders'!K379="Cancelled"),0,'Raw Orders'!G379)</f>
        <v>89</v>
      </c>
      <c r="D382" s="31" t="n">
        <f aca="false">IF(AND('Raw Orders'!C379="Product",'Raw Orders'!K379="Fulfilled",COUNTIFS('Raw Orders'!$A$2:$A379,'Raw Orders'!A379,'Raw Orders'!$C$2:$C379,"Product",'Raw Orders'!$K$2:$K379,"Fulfilled")=1),1,0)</f>
        <v>1</v>
      </c>
      <c r="E382" s="31" t="n">
        <f aca="false">IF(AND('Raw Orders'!C379="Product",'Raw Orders'!K379="Fulfilled"),'Raw Orders'!E379,0)</f>
        <v>1</v>
      </c>
      <c r="F382" s="32" t="n">
        <f aca="false">IF('Raw Orders'!K379="Refunded",'Raw Orders'!G379,0)</f>
        <v>0</v>
      </c>
    </row>
    <row r="383" customFormat="false" ht="15" hidden="false" customHeight="false" outlineLevel="0" collapsed="false">
      <c r="A383" s="36" t="n">
        <f aca="false">IF('Raw Orders'!B380="","",IF(MID('Raw Orders'!B380,5,1)="-",DATE(VALUE(LEFT('Raw Orders'!B380,4)),VALUE(MID('Raw Orders'!B380,6,2)),VALUE(MID('Raw Orders'!B380,9,2))),DATE(VALUE(MID('Raw Orders'!B380,7,4)),VALUE(MID('Raw Orders'!B380,4,2)),VALUE(LEFT('Raw Orders'!B380,2)))))</f>
        <v>46168</v>
      </c>
      <c r="B383" s="36" t="n">
        <f aca="false">IF(A383="","",A383-WEEKDAY(A383,3))</f>
        <v>46167</v>
      </c>
      <c r="C383" s="32" t="n">
        <f aca="false">IF(OR('Raw Orders'!C380&lt;&gt;"Product",'Raw Orders'!K380="Cancelled"),0,'Raw Orders'!G380)</f>
        <v>81</v>
      </c>
      <c r="D383" s="31" t="n">
        <f aca="false">IF(AND('Raw Orders'!C380="Product",'Raw Orders'!K380="Fulfilled",COUNTIFS('Raw Orders'!$A$2:$A380,'Raw Orders'!A380,'Raw Orders'!$C$2:$C380,"Product",'Raw Orders'!$K$2:$K380,"Fulfilled")=1),1,0)</f>
        <v>1</v>
      </c>
      <c r="E383" s="31" t="n">
        <f aca="false">IF(AND('Raw Orders'!C380="Product",'Raw Orders'!K380="Fulfilled"),'Raw Orders'!E380,0)</f>
        <v>2</v>
      </c>
      <c r="F383" s="32" t="n">
        <f aca="false">IF('Raw Orders'!K380="Refunded",'Raw Orders'!G380,0)</f>
        <v>0</v>
      </c>
    </row>
    <row r="384" customFormat="false" ht="15" hidden="false" customHeight="false" outlineLevel="0" collapsed="false">
      <c r="A384" s="36" t="n">
        <f aca="false">IF('Raw Orders'!B381="","",IF(MID('Raw Orders'!B381,5,1)="-",DATE(VALUE(LEFT('Raw Orders'!B381,4)),VALUE(MID('Raw Orders'!B381,6,2)),VALUE(MID('Raw Orders'!B381,9,2))),DATE(VALUE(MID('Raw Orders'!B381,7,4)),VALUE(MID('Raw Orders'!B381,4,2)),VALUE(LEFT('Raw Orders'!B381,2)))))</f>
        <v>46168</v>
      </c>
      <c r="B384" s="36" t="n">
        <f aca="false">IF(A384="","",A384-WEEKDAY(A384,3))</f>
        <v>46167</v>
      </c>
      <c r="C384" s="32" t="n">
        <f aca="false">IF(OR('Raw Orders'!C381&lt;&gt;"Product",'Raw Orders'!K381="Cancelled"),0,'Raw Orders'!G381)</f>
        <v>75</v>
      </c>
      <c r="D384" s="31" t="n">
        <f aca="false">IF(AND('Raw Orders'!C381="Product",'Raw Orders'!K381="Fulfilled",COUNTIFS('Raw Orders'!$A$2:$A381,'Raw Orders'!A381,'Raw Orders'!$C$2:$C381,"Product",'Raw Orders'!$K$2:$K381,"Fulfilled")=1),1,0)</f>
        <v>0</v>
      </c>
      <c r="E384" s="31" t="n">
        <f aca="false">IF(AND('Raw Orders'!C381="Product",'Raw Orders'!K381="Fulfilled"),'Raw Orders'!E381,0)</f>
        <v>1</v>
      </c>
      <c r="F384" s="32" t="n">
        <f aca="false">IF('Raw Orders'!K381="Refunded",'Raw Orders'!G381,0)</f>
        <v>0</v>
      </c>
    </row>
    <row r="385" customFormat="false" ht="15" hidden="false" customHeight="false" outlineLevel="0" collapsed="false">
      <c r="A385" s="36" t="n">
        <f aca="false">IF('Raw Orders'!B382="","",IF(MID('Raw Orders'!B382,5,1)="-",DATE(VALUE(LEFT('Raw Orders'!B382,4)),VALUE(MID('Raw Orders'!B382,6,2)),VALUE(MID('Raw Orders'!B382,9,2))),DATE(VALUE(MID('Raw Orders'!B382,7,4)),VALUE(MID('Raw Orders'!B382,4,2)),VALUE(LEFT('Raw Orders'!B382,2)))))</f>
        <v>46168</v>
      </c>
      <c r="B385" s="36" t="n">
        <f aca="false">IF(A385="","",A385-WEEKDAY(A385,3))</f>
        <v>46167</v>
      </c>
      <c r="C385" s="32" t="n">
        <f aca="false">IF(OR('Raw Orders'!C382&lt;&gt;"Product",'Raw Orders'!K382="Cancelled"),0,'Raw Orders'!G382)</f>
        <v>178</v>
      </c>
      <c r="D385" s="31" t="n">
        <f aca="false">IF(AND('Raw Orders'!C382="Product",'Raw Orders'!K382="Fulfilled",COUNTIFS('Raw Orders'!$A$2:$A382,'Raw Orders'!A382,'Raw Orders'!$C$2:$C382,"Product",'Raw Orders'!$K$2:$K382,"Fulfilled")=1),1,0)</f>
        <v>1</v>
      </c>
      <c r="E385" s="31" t="n">
        <f aca="false">IF(AND('Raw Orders'!C382="Product",'Raw Orders'!K382="Fulfilled"),'Raw Orders'!E382,0)</f>
        <v>2</v>
      </c>
      <c r="F385" s="32" t="n">
        <f aca="false">IF('Raw Orders'!K382="Refunded",'Raw Orders'!G382,0)</f>
        <v>0</v>
      </c>
    </row>
    <row r="386" customFormat="false" ht="15" hidden="false" customHeight="false" outlineLevel="0" collapsed="false">
      <c r="A386" s="36" t="n">
        <f aca="false">IF('Raw Orders'!B383="","",IF(MID('Raw Orders'!B383,5,1)="-",DATE(VALUE(LEFT('Raw Orders'!B383,4)),VALUE(MID('Raw Orders'!B383,6,2)),VALUE(MID('Raw Orders'!B383,9,2))),DATE(VALUE(MID('Raw Orders'!B383,7,4)),VALUE(MID('Raw Orders'!B383,4,2)),VALUE(LEFT('Raw Orders'!B383,2)))))</f>
        <v>46168</v>
      </c>
      <c r="B386" s="36" t="n">
        <f aca="false">IF(A386="","",A386-WEEKDAY(A386,3))</f>
        <v>46167</v>
      </c>
      <c r="C386" s="32" t="n">
        <f aca="false">IF(OR('Raw Orders'!C383&lt;&gt;"Product",'Raw Orders'!K383="Cancelled"),0,'Raw Orders'!G383)</f>
        <v>0</v>
      </c>
      <c r="D386" s="31" t="n">
        <f aca="false">IF(AND('Raw Orders'!C383="Product",'Raw Orders'!K383="Fulfilled",COUNTIFS('Raw Orders'!$A$2:$A383,'Raw Orders'!A383,'Raw Orders'!$C$2:$C383,"Product",'Raw Orders'!$K$2:$K383,"Fulfilled")=1),1,0)</f>
        <v>0</v>
      </c>
      <c r="E386" s="31" t="n">
        <f aca="false">IF(AND('Raw Orders'!C383="Product",'Raw Orders'!K383="Fulfilled"),'Raw Orders'!E383,0)</f>
        <v>0</v>
      </c>
      <c r="F386" s="32" t="n">
        <f aca="false">IF('Raw Orders'!K383="Refunded",'Raw Orders'!G383,0)</f>
        <v>0</v>
      </c>
    </row>
    <row r="387" customFormat="false" ht="15" hidden="false" customHeight="false" outlineLevel="0" collapsed="false">
      <c r="A387" s="36" t="n">
        <f aca="false">IF('Raw Orders'!B384="","",IF(MID('Raw Orders'!B384,5,1)="-",DATE(VALUE(LEFT('Raw Orders'!B384,4)),VALUE(MID('Raw Orders'!B384,6,2)),VALUE(MID('Raw Orders'!B384,9,2))),DATE(VALUE(MID('Raw Orders'!B384,7,4)),VALUE(MID('Raw Orders'!B384,4,2)),VALUE(LEFT('Raw Orders'!B384,2)))))</f>
        <v>46169</v>
      </c>
      <c r="B387" s="36" t="n">
        <f aca="false">IF(A387="","",A387-WEEKDAY(A387,3))</f>
        <v>46167</v>
      </c>
      <c r="C387" s="32" t="n">
        <f aca="false">IF(OR('Raw Orders'!C384&lt;&gt;"Product",'Raw Orders'!K384="Cancelled"),0,'Raw Orders'!G384)</f>
        <v>0</v>
      </c>
      <c r="D387" s="31" t="n">
        <f aca="false">IF(AND('Raw Orders'!C384="Product",'Raw Orders'!K384="Fulfilled",COUNTIFS('Raw Orders'!$A$2:$A384,'Raw Orders'!A384,'Raw Orders'!$C$2:$C384,"Product",'Raw Orders'!$K$2:$K384,"Fulfilled")=1),1,0)</f>
        <v>0</v>
      </c>
      <c r="E387" s="31" t="n">
        <f aca="false">IF(AND('Raw Orders'!C384="Product",'Raw Orders'!K384="Fulfilled"),'Raw Orders'!E384,0)</f>
        <v>0</v>
      </c>
      <c r="F387" s="32" t="n">
        <f aca="false">IF('Raw Orders'!K384="Refunded",'Raw Orders'!G384,0)</f>
        <v>0</v>
      </c>
    </row>
    <row r="388" customFormat="false" ht="15" hidden="false" customHeight="false" outlineLevel="0" collapsed="false">
      <c r="A388" s="36" t="n">
        <f aca="false">IF('Raw Orders'!B385="","",IF(MID('Raw Orders'!B385,5,1)="-",DATE(VALUE(LEFT('Raw Orders'!B385,4)),VALUE(MID('Raw Orders'!B385,6,2)),VALUE(MID('Raw Orders'!B385,9,2))),DATE(VALUE(MID('Raw Orders'!B385,7,4)),VALUE(MID('Raw Orders'!B385,4,2)),VALUE(LEFT('Raw Orders'!B385,2)))))</f>
        <v>46169</v>
      </c>
      <c r="B388" s="36" t="n">
        <f aca="false">IF(A388="","",A388-WEEKDAY(A388,3))</f>
        <v>46167</v>
      </c>
      <c r="C388" s="32" t="n">
        <f aca="false">IF(OR('Raw Orders'!C385&lt;&gt;"Product",'Raw Orders'!K385="Cancelled"),0,'Raw Orders'!G385)</f>
        <v>29</v>
      </c>
      <c r="D388" s="31" t="n">
        <f aca="false">IF(AND('Raw Orders'!C385="Product",'Raw Orders'!K385="Fulfilled",COUNTIFS('Raw Orders'!$A$2:$A385,'Raw Orders'!A385,'Raw Orders'!$C$2:$C385,"Product",'Raw Orders'!$K$2:$K385,"Fulfilled")=1),1,0)</f>
        <v>1</v>
      </c>
      <c r="E388" s="31" t="n">
        <f aca="false">IF(AND('Raw Orders'!C385="Product",'Raw Orders'!K385="Fulfilled"),'Raw Orders'!E385,0)</f>
        <v>1</v>
      </c>
      <c r="F388" s="32" t="n">
        <f aca="false">IF('Raw Orders'!K385="Refunded",'Raw Orders'!G385,0)</f>
        <v>0</v>
      </c>
    </row>
    <row r="389" customFormat="false" ht="15" hidden="false" customHeight="false" outlineLevel="0" collapsed="false">
      <c r="A389" s="36" t="n">
        <f aca="false">IF('Raw Orders'!B386="","",IF(MID('Raw Orders'!B386,5,1)="-",DATE(VALUE(LEFT('Raw Orders'!B386,4)),VALUE(MID('Raw Orders'!B386,6,2)),VALUE(MID('Raw Orders'!B386,9,2))),DATE(VALUE(MID('Raw Orders'!B386,7,4)),VALUE(MID('Raw Orders'!B386,4,2)),VALUE(LEFT('Raw Orders'!B386,2)))))</f>
        <v>46169</v>
      </c>
      <c r="B389" s="36" t="n">
        <f aca="false">IF(A389="","",A389-WEEKDAY(A389,3))</f>
        <v>46167</v>
      </c>
      <c r="C389" s="32" t="n">
        <f aca="false">IF(OR('Raw Orders'!C386&lt;&gt;"Product",'Raw Orders'!K386="Cancelled"),0,'Raw Orders'!G386)</f>
        <v>22</v>
      </c>
      <c r="D389" s="31" t="n">
        <f aca="false">IF(AND('Raw Orders'!C386="Product",'Raw Orders'!K386="Fulfilled",COUNTIFS('Raw Orders'!$A$2:$A386,'Raw Orders'!A386,'Raw Orders'!$C$2:$C386,"Product",'Raw Orders'!$K$2:$K386,"Fulfilled")=1),1,0)</f>
        <v>0</v>
      </c>
      <c r="E389" s="31" t="n">
        <f aca="false">IF(AND('Raw Orders'!C386="Product",'Raw Orders'!K386="Fulfilled"),'Raw Orders'!E386,0)</f>
        <v>1</v>
      </c>
      <c r="F389" s="32" t="n">
        <f aca="false">IF('Raw Orders'!K386="Refunded",'Raw Orders'!G386,0)</f>
        <v>0</v>
      </c>
    </row>
    <row r="390" customFormat="false" ht="15" hidden="false" customHeight="false" outlineLevel="0" collapsed="false">
      <c r="A390" s="36" t="n">
        <f aca="false">IF('Raw Orders'!B387="","",IF(MID('Raw Orders'!B387,5,1)="-",DATE(VALUE(LEFT('Raw Orders'!B387,4)),VALUE(MID('Raw Orders'!B387,6,2)),VALUE(MID('Raw Orders'!B387,9,2))),DATE(VALUE(MID('Raw Orders'!B387,7,4)),VALUE(MID('Raw Orders'!B387,4,2)),VALUE(LEFT('Raw Orders'!B387,2)))))</f>
        <v>46169</v>
      </c>
      <c r="B390" s="36" t="n">
        <f aca="false">IF(A390="","",A390-WEEKDAY(A390,3))</f>
        <v>46167</v>
      </c>
      <c r="C390" s="32" t="n">
        <f aca="false">IF(OR('Raw Orders'!C387&lt;&gt;"Product",'Raw Orders'!K387="Cancelled"),0,'Raw Orders'!G387)</f>
        <v>0</v>
      </c>
      <c r="D390" s="31" t="n">
        <f aca="false">IF(AND('Raw Orders'!C387="Product",'Raw Orders'!K387="Fulfilled",COUNTIFS('Raw Orders'!$A$2:$A387,'Raw Orders'!A387,'Raw Orders'!$C$2:$C387,"Product",'Raw Orders'!$K$2:$K387,"Fulfilled")=1),1,0)</f>
        <v>0</v>
      </c>
      <c r="E390" s="31" t="n">
        <f aca="false">IF(AND('Raw Orders'!C387="Product",'Raw Orders'!K387="Fulfilled"),'Raw Orders'!E387,0)</f>
        <v>0</v>
      </c>
      <c r="F390" s="32" t="n">
        <f aca="false">IF('Raw Orders'!K387="Refunded",'Raw Orders'!G387,0)</f>
        <v>0</v>
      </c>
    </row>
    <row r="391" customFormat="false" ht="15" hidden="false" customHeight="false" outlineLevel="0" collapsed="false">
      <c r="A391" s="36" t="n">
        <f aca="false">IF('Raw Orders'!B388="","",IF(MID('Raw Orders'!B388,5,1)="-",DATE(VALUE(LEFT('Raw Orders'!B388,4)),VALUE(MID('Raw Orders'!B388,6,2)),VALUE(MID('Raw Orders'!B388,9,2))),DATE(VALUE(MID('Raw Orders'!B388,7,4)),VALUE(MID('Raw Orders'!B388,4,2)),VALUE(LEFT('Raw Orders'!B388,2)))))</f>
        <v>46169</v>
      </c>
      <c r="B391" s="36" t="n">
        <f aca="false">IF(A391="","",A391-WEEKDAY(A391,3))</f>
        <v>46167</v>
      </c>
      <c r="C391" s="32" t="n">
        <f aca="false">IF(OR('Raw Orders'!C388&lt;&gt;"Product",'Raw Orders'!K388="Cancelled"),0,'Raw Orders'!G388)</f>
        <v>22</v>
      </c>
      <c r="D391" s="31" t="n">
        <f aca="false">IF(AND('Raw Orders'!C388="Product",'Raw Orders'!K388="Fulfilled",COUNTIFS('Raw Orders'!$A$2:$A388,'Raw Orders'!A388,'Raw Orders'!$C$2:$C388,"Product",'Raw Orders'!$K$2:$K388,"Fulfilled")=1),1,0)</f>
        <v>1</v>
      </c>
      <c r="E391" s="31" t="n">
        <f aca="false">IF(AND('Raw Orders'!C388="Product",'Raw Orders'!K388="Fulfilled"),'Raw Orders'!E388,0)</f>
        <v>1</v>
      </c>
      <c r="F391" s="32" t="n">
        <f aca="false">IF('Raw Orders'!K388="Refunded",'Raw Orders'!G388,0)</f>
        <v>0</v>
      </c>
    </row>
    <row r="392" customFormat="false" ht="15" hidden="false" customHeight="false" outlineLevel="0" collapsed="false">
      <c r="A392" s="36" t="n">
        <f aca="false">IF('Raw Orders'!B389="","",IF(MID('Raw Orders'!B389,5,1)="-",DATE(VALUE(LEFT('Raw Orders'!B389,4)),VALUE(MID('Raw Orders'!B389,6,2)),VALUE(MID('Raw Orders'!B389,9,2))),DATE(VALUE(MID('Raw Orders'!B389,7,4)),VALUE(MID('Raw Orders'!B389,4,2)),VALUE(LEFT('Raw Orders'!B389,2)))))</f>
        <v>46169</v>
      </c>
      <c r="B392" s="36" t="n">
        <f aca="false">IF(A392="","",A392-WEEKDAY(A392,3))</f>
        <v>46167</v>
      </c>
      <c r="C392" s="32" t="n">
        <f aca="false">IF(OR('Raw Orders'!C389&lt;&gt;"Product",'Raw Orders'!K389="Cancelled"),0,'Raw Orders'!G389)</f>
        <v>0</v>
      </c>
      <c r="D392" s="31" t="n">
        <f aca="false">IF(AND('Raw Orders'!C389="Product",'Raw Orders'!K389="Fulfilled",COUNTIFS('Raw Orders'!$A$2:$A389,'Raw Orders'!A389,'Raw Orders'!$C$2:$C389,"Product",'Raw Orders'!$K$2:$K389,"Fulfilled")=1),1,0)</f>
        <v>0</v>
      </c>
      <c r="E392" s="31" t="n">
        <f aca="false">IF(AND('Raw Orders'!C389="Product",'Raw Orders'!K389="Fulfilled"),'Raw Orders'!E389,0)</f>
        <v>0</v>
      </c>
      <c r="F392" s="32" t="n">
        <f aca="false">IF('Raw Orders'!K389="Refunded",'Raw Orders'!G389,0)</f>
        <v>0</v>
      </c>
    </row>
    <row r="393" customFormat="false" ht="15" hidden="false" customHeight="false" outlineLevel="0" collapsed="false">
      <c r="A393" s="36" t="n">
        <f aca="false">IF('Raw Orders'!B390="","",IF(MID('Raw Orders'!B390,5,1)="-",DATE(VALUE(LEFT('Raw Orders'!B390,4)),VALUE(MID('Raw Orders'!B390,6,2)),VALUE(MID('Raw Orders'!B390,9,2))),DATE(VALUE(MID('Raw Orders'!B390,7,4)),VALUE(MID('Raw Orders'!B390,4,2)),VALUE(LEFT('Raw Orders'!B390,2)))))</f>
        <v>46169</v>
      </c>
      <c r="B393" s="36" t="n">
        <f aca="false">IF(A393="","",A393-WEEKDAY(A393,3))</f>
        <v>46167</v>
      </c>
      <c r="C393" s="32" t="n">
        <f aca="false">IF(OR('Raw Orders'!C390&lt;&gt;"Product",'Raw Orders'!K390="Cancelled"),0,'Raw Orders'!G390)</f>
        <v>0</v>
      </c>
      <c r="D393" s="31" t="n">
        <f aca="false">IF(AND('Raw Orders'!C390="Product",'Raw Orders'!K390="Fulfilled",COUNTIFS('Raw Orders'!$A$2:$A390,'Raw Orders'!A390,'Raw Orders'!$C$2:$C390,"Product",'Raw Orders'!$K$2:$K390,"Fulfilled")=1),1,0)</f>
        <v>0</v>
      </c>
      <c r="E393" s="31" t="n">
        <f aca="false">IF(AND('Raw Orders'!C390="Product",'Raw Orders'!K390="Fulfilled"),'Raw Orders'!E390,0)</f>
        <v>0</v>
      </c>
      <c r="F393" s="32" t="n">
        <f aca="false">IF('Raw Orders'!K390="Refunded",'Raw Orders'!G390,0)</f>
        <v>0</v>
      </c>
    </row>
    <row r="394" customFormat="false" ht="15" hidden="false" customHeight="false" outlineLevel="0" collapsed="false">
      <c r="A394" s="36" t="n">
        <f aca="false">IF('Raw Orders'!B391="","",IF(MID('Raw Orders'!B391,5,1)="-",DATE(VALUE(LEFT('Raw Orders'!B391,4)),VALUE(MID('Raw Orders'!B391,6,2)),VALUE(MID('Raw Orders'!B391,9,2))),DATE(VALUE(MID('Raw Orders'!B391,7,4)),VALUE(MID('Raw Orders'!B391,4,2)),VALUE(LEFT('Raw Orders'!B391,2)))))</f>
        <v>46169</v>
      </c>
      <c r="B394" s="36" t="n">
        <f aca="false">IF(A394="","",A394-WEEKDAY(A394,3))</f>
        <v>46167</v>
      </c>
      <c r="C394" s="32" t="n">
        <f aca="false">IF(OR('Raw Orders'!C391&lt;&gt;"Product",'Raw Orders'!K391="Cancelled"),0,'Raw Orders'!G391)</f>
        <v>39</v>
      </c>
      <c r="D394" s="31" t="n">
        <f aca="false">IF(AND('Raw Orders'!C391="Product",'Raw Orders'!K391="Fulfilled",COUNTIFS('Raw Orders'!$A$2:$A391,'Raw Orders'!A391,'Raw Orders'!$C$2:$C391,"Product",'Raw Orders'!$K$2:$K391,"Fulfilled")=1),1,0)</f>
        <v>1</v>
      </c>
      <c r="E394" s="31" t="n">
        <f aca="false">IF(AND('Raw Orders'!C391="Product",'Raw Orders'!K391="Fulfilled"),'Raw Orders'!E391,0)</f>
        <v>1</v>
      </c>
      <c r="F394" s="32" t="n">
        <f aca="false">IF('Raw Orders'!K391="Refunded",'Raw Orders'!G391,0)</f>
        <v>0</v>
      </c>
    </row>
    <row r="395" customFormat="false" ht="15" hidden="false" customHeight="false" outlineLevel="0" collapsed="false">
      <c r="A395" s="36" t="n">
        <f aca="false">IF('Raw Orders'!B392="","",IF(MID('Raw Orders'!B392,5,1)="-",DATE(VALUE(LEFT('Raw Orders'!B392,4)),VALUE(MID('Raw Orders'!B392,6,2)),VALUE(MID('Raw Orders'!B392,9,2))),DATE(VALUE(MID('Raw Orders'!B392,7,4)),VALUE(MID('Raw Orders'!B392,4,2)),VALUE(LEFT('Raw Orders'!B392,2)))))</f>
        <v>46169</v>
      </c>
      <c r="B395" s="36" t="n">
        <f aca="false">IF(A395="","",A395-WEEKDAY(A395,3))</f>
        <v>46167</v>
      </c>
      <c r="C395" s="32" t="n">
        <f aca="false">IF(OR('Raw Orders'!C392&lt;&gt;"Product",'Raw Orders'!K392="Cancelled"),0,'Raw Orders'!G392)</f>
        <v>178</v>
      </c>
      <c r="D395" s="31" t="n">
        <f aca="false">IF(AND('Raw Orders'!C392="Product",'Raw Orders'!K392="Fulfilled",COUNTIFS('Raw Orders'!$A$2:$A392,'Raw Orders'!A392,'Raw Orders'!$C$2:$C392,"Product",'Raw Orders'!$K$2:$K392,"Fulfilled")=1),1,0)</f>
        <v>1</v>
      </c>
      <c r="E395" s="31" t="n">
        <f aca="false">IF(AND('Raw Orders'!C392="Product",'Raw Orders'!K392="Fulfilled"),'Raw Orders'!E392,0)</f>
        <v>2</v>
      </c>
      <c r="F395" s="32" t="n">
        <f aca="false">IF('Raw Orders'!K392="Refunded",'Raw Orders'!G392,0)</f>
        <v>0</v>
      </c>
    </row>
    <row r="396" customFormat="false" ht="15" hidden="false" customHeight="false" outlineLevel="0" collapsed="false">
      <c r="A396" s="36" t="n">
        <f aca="false">IF('Raw Orders'!B393="","",IF(MID('Raw Orders'!B393,5,1)="-",DATE(VALUE(LEFT('Raw Orders'!B393,4)),VALUE(MID('Raw Orders'!B393,6,2)),VALUE(MID('Raw Orders'!B393,9,2))),DATE(VALUE(MID('Raw Orders'!B393,7,4)),VALUE(MID('Raw Orders'!B393,4,2)),VALUE(LEFT('Raw Orders'!B393,2)))))</f>
        <v>46169</v>
      </c>
      <c r="B396" s="36" t="n">
        <f aca="false">IF(A396="","",A396-WEEKDAY(A396,3))</f>
        <v>46167</v>
      </c>
      <c r="C396" s="32" t="n">
        <f aca="false">IF(OR('Raw Orders'!C393&lt;&gt;"Product",'Raw Orders'!K393="Cancelled"),0,'Raw Orders'!G393)</f>
        <v>178</v>
      </c>
      <c r="D396" s="31" t="n">
        <f aca="false">IF(AND('Raw Orders'!C393="Product",'Raw Orders'!K393="Fulfilled",COUNTIFS('Raw Orders'!$A$2:$A393,'Raw Orders'!A393,'Raw Orders'!$C$2:$C393,"Product",'Raw Orders'!$K$2:$K393,"Fulfilled")=1),1,0)</f>
        <v>0</v>
      </c>
      <c r="E396" s="31" t="n">
        <f aca="false">IF(AND('Raw Orders'!C393="Product",'Raw Orders'!K393="Fulfilled"),'Raw Orders'!E393,0)</f>
        <v>2</v>
      </c>
      <c r="F396" s="32" t="n">
        <f aca="false">IF('Raw Orders'!K393="Refunded",'Raw Orders'!G393,0)</f>
        <v>0</v>
      </c>
    </row>
    <row r="397" customFormat="false" ht="15" hidden="false" customHeight="false" outlineLevel="0" collapsed="false">
      <c r="A397" s="36" t="n">
        <f aca="false">IF('Raw Orders'!B394="","",IF(MID('Raw Orders'!B394,5,1)="-",DATE(VALUE(LEFT('Raw Orders'!B394,4)),VALUE(MID('Raw Orders'!B394,6,2)),VALUE(MID('Raw Orders'!B394,9,2))),DATE(VALUE(MID('Raw Orders'!B394,7,4)),VALUE(MID('Raw Orders'!B394,4,2)),VALUE(LEFT('Raw Orders'!B394,2)))))</f>
        <v>46170</v>
      </c>
      <c r="B397" s="36" t="n">
        <f aca="false">IF(A397="","",A397-WEEKDAY(A397,3))</f>
        <v>46167</v>
      </c>
      <c r="C397" s="32" t="n">
        <f aca="false">IF(OR('Raw Orders'!C394&lt;&gt;"Product",'Raw Orders'!K394="Cancelled"),0,'Raw Orders'!G394)</f>
        <v>58</v>
      </c>
      <c r="D397" s="31" t="n">
        <f aca="false">IF(AND('Raw Orders'!C394="Product",'Raw Orders'!K394="Fulfilled",COUNTIFS('Raw Orders'!$A$2:$A394,'Raw Orders'!A394,'Raw Orders'!$C$2:$C394,"Product",'Raw Orders'!$K$2:$K394,"Fulfilled")=1),1,0)</f>
        <v>1</v>
      </c>
      <c r="E397" s="31" t="n">
        <f aca="false">IF(AND('Raw Orders'!C394="Product",'Raw Orders'!K394="Fulfilled"),'Raw Orders'!E394,0)</f>
        <v>2</v>
      </c>
      <c r="F397" s="32" t="n">
        <f aca="false">IF('Raw Orders'!K394="Refunded",'Raw Orders'!G394,0)</f>
        <v>0</v>
      </c>
    </row>
    <row r="398" customFormat="false" ht="15" hidden="false" customHeight="false" outlineLevel="0" collapsed="false">
      <c r="A398" s="36" t="n">
        <f aca="false">IF('Raw Orders'!B395="","",IF(MID('Raw Orders'!B395,5,1)="-",DATE(VALUE(LEFT('Raw Orders'!B395,4)),VALUE(MID('Raw Orders'!B395,6,2)),VALUE(MID('Raw Orders'!B395,9,2))),DATE(VALUE(MID('Raw Orders'!B395,7,4)),VALUE(MID('Raw Orders'!B395,4,2)),VALUE(LEFT('Raw Orders'!B395,2)))))</f>
        <v>46170</v>
      </c>
      <c r="B398" s="36" t="n">
        <f aca="false">IF(A398="","",A398-WEEKDAY(A398,3))</f>
        <v>46167</v>
      </c>
      <c r="C398" s="32" t="n">
        <f aca="false">IF(OR('Raw Orders'!C395&lt;&gt;"Product",'Raw Orders'!K395="Cancelled"),0,'Raw Orders'!G395)</f>
        <v>69</v>
      </c>
      <c r="D398" s="31" t="n">
        <f aca="false">IF(AND('Raw Orders'!C395="Product",'Raw Orders'!K395="Fulfilled",COUNTIFS('Raw Orders'!$A$2:$A395,'Raw Orders'!A395,'Raw Orders'!$C$2:$C395,"Product",'Raw Orders'!$K$2:$K395,"Fulfilled")=1),1,0)</f>
        <v>0</v>
      </c>
      <c r="E398" s="31" t="n">
        <f aca="false">IF(AND('Raw Orders'!C395="Product",'Raw Orders'!K395="Fulfilled"),'Raw Orders'!E395,0)</f>
        <v>1</v>
      </c>
      <c r="F398" s="32" t="n">
        <f aca="false">IF('Raw Orders'!K395="Refunded",'Raw Orders'!G395,0)</f>
        <v>0</v>
      </c>
    </row>
    <row r="399" customFormat="false" ht="15" hidden="false" customHeight="false" outlineLevel="0" collapsed="false">
      <c r="A399" s="36" t="n">
        <f aca="false">IF('Raw Orders'!B396="","",IF(MID('Raw Orders'!B396,5,1)="-",DATE(VALUE(LEFT('Raw Orders'!B396,4)),VALUE(MID('Raw Orders'!B396,6,2)),VALUE(MID('Raw Orders'!B396,9,2))),DATE(VALUE(MID('Raw Orders'!B396,7,4)),VALUE(MID('Raw Orders'!B396,4,2)),VALUE(LEFT('Raw Orders'!B396,2)))))</f>
        <v>46170</v>
      </c>
      <c r="B399" s="36" t="n">
        <f aca="false">IF(A399="","",A399-WEEKDAY(A399,3))</f>
        <v>46167</v>
      </c>
      <c r="C399" s="32" t="n">
        <f aca="false">IF(OR('Raw Orders'!C396&lt;&gt;"Product",'Raw Orders'!K396="Cancelled"),0,'Raw Orders'!G396)</f>
        <v>0</v>
      </c>
      <c r="D399" s="31" t="n">
        <f aca="false">IF(AND('Raw Orders'!C396="Product",'Raw Orders'!K396="Fulfilled",COUNTIFS('Raw Orders'!$A$2:$A396,'Raw Orders'!A396,'Raw Orders'!$C$2:$C396,"Product",'Raw Orders'!$K$2:$K396,"Fulfilled")=1),1,0)</f>
        <v>0</v>
      </c>
      <c r="E399" s="31" t="n">
        <f aca="false">IF(AND('Raw Orders'!C396="Product",'Raw Orders'!K396="Fulfilled"),'Raw Orders'!E396,0)</f>
        <v>0</v>
      </c>
      <c r="F399" s="32" t="n">
        <f aca="false">IF('Raw Orders'!K396="Refunded",'Raw Orders'!G396,0)</f>
        <v>0</v>
      </c>
    </row>
    <row r="400" customFormat="false" ht="15" hidden="false" customHeight="false" outlineLevel="0" collapsed="false">
      <c r="A400" s="36" t="n">
        <f aca="false">IF('Raw Orders'!B397="","",IF(MID('Raw Orders'!B397,5,1)="-",DATE(VALUE(LEFT('Raw Orders'!B397,4)),VALUE(MID('Raw Orders'!B397,6,2)),VALUE(MID('Raw Orders'!B397,9,2))),DATE(VALUE(MID('Raw Orders'!B397,7,4)),VALUE(MID('Raw Orders'!B397,4,2)),VALUE(LEFT('Raw Orders'!B397,2)))))</f>
        <v>46170</v>
      </c>
      <c r="B400" s="36" t="n">
        <f aca="false">IF(A400="","",A400-WEEKDAY(A400,3))</f>
        <v>46167</v>
      </c>
      <c r="C400" s="32" t="n">
        <f aca="false">IF(OR('Raw Orders'!C397&lt;&gt;"Product",'Raw Orders'!K397="Cancelled"),0,'Raw Orders'!G397)</f>
        <v>84</v>
      </c>
      <c r="D400" s="31" t="n">
        <f aca="false">IF(AND('Raw Orders'!C397="Product",'Raw Orders'!K397="Fulfilled",COUNTIFS('Raw Orders'!$A$2:$A397,'Raw Orders'!A397,'Raw Orders'!$C$2:$C397,"Product",'Raw Orders'!$K$2:$K397,"Fulfilled")=1),1,0)</f>
        <v>1</v>
      </c>
      <c r="E400" s="31" t="n">
        <f aca="false">IF(AND('Raw Orders'!C397="Product",'Raw Orders'!K397="Fulfilled"),'Raw Orders'!E397,0)</f>
        <v>3</v>
      </c>
      <c r="F400" s="32" t="n">
        <f aca="false">IF('Raw Orders'!K397="Refunded",'Raw Orders'!G397,0)</f>
        <v>0</v>
      </c>
    </row>
    <row r="401" customFormat="false" ht="15" hidden="false" customHeight="false" outlineLevel="0" collapsed="false">
      <c r="A401" s="36" t="n">
        <f aca="false">IF('Raw Orders'!B398="","",IF(MID('Raw Orders'!B398,5,1)="-",DATE(VALUE(LEFT('Raw Orders'!B398,4)),VALUE(MID('Raw Orders'!B398,6,2)),VALUE(MID('Raw Orders'!B398,9,2))),DATE(VALUE(MID('Raw Orders'!B398,7,4)),VALUE(MID('Raw Orders'!B398,4,2)),VALUE(LEFT('Raw Orders'!B398,2)))))</f>
        <v>46170</v>
      </c>
      <c r="B401" s="36" t="n">
        <f aca="false">IF(A401="","",A401-WEEKDAY(A401,3))</f>
        <v>46167</v>
      </c>
      <c r="C401" s="32" t="n">
        <f aca="false">IF(OR('Raw Orders'!C398&lt;&gt;"Product",'Raw Orders'!K398="Cancelled"),0,'Raw Orders'!G398)</f>
        <v>138</v>
      </c>
      <c r="D401" s="31" t="n">
        <f aca="false">IF(AND('Raw Orders'!C398="Product",'Raw Orders'!K398="Fulfilled",COUNTIFS('Raw Orders'!$A$2:$A398,'Raw Orders'!A398,'Raw Orders'!$C$2:$C398,"Product",'Raw Orders'!$K$2:$K398,"Fulfilled")=1),1,0)</f>
        <v>1</v>
      </c>
      <c r="E401" s="31" t="n">
        <f aca="false">IF(AND('Raw Orders'!C398="Product",'Raw Orders'!K398="Fulfilled"),'Raw Orders'!E398,0)</f>
        <v>2</v>
      </c>
      <c r="F401" s="32" t="n">
        <f aca="false">IF('Raw Orders'!K398="Refunded",'Raw Orders'!G398,0)</f>
        <v>0</v>
      </c>
    </row>
    <row r="402" customFormat="false" ht="15" hidden="false" customHeight="false" outlineLevel="0" collapsed="false">
      <c r="A402" s="36" t="n">
        <f aca="false">IF('Raw Orders'!B399="","",IF(MID('Raw Orders'!B399,5,1)="-",DATE(VALUE(LEFT('Raw Orders'!B399,4)),VALUE(MID('Raw Orders'!B399,6,2)),VALUE(MID('Raw Orders'!B399,9,2))),DATE(VALUE(MID('Raw Orders'!B399,7,4)),VALUE(MID('Raw Orders'!B399,4,2)),VALUE(LEFT('Raw Orders'!B399,2)))))</f>
        <v>46170</v>
      </c>
      <c r="B402" s="36" t="n">
        <f aca="false">IF(A402="","",A402-WEEKDAY(A402,3))</f>
        <v>46167</v>
      </c>
      <c r="C402" s="32" t="n">
        <f aca="false">IF(OR('Raw Orders'!C399&lt;&gt;"Product",'Raw Orders'!K399="Cancelled"),0,'Raw Orders'!G399)</f>
        <v>0</v>
      </c>
      <c r="D402" s="31" t="n">
        <f aca="false">IF(AND('Raw Orders'!C399="Product",'Raw Orders'!K399="Fulfilled",COUNTIFS('Raw Orders'!$A$2:$A399,'Raw Orders'!A399,'Raw Orders'!$C$2:$C399,"Product",'Raw Orders'!$K$2:$K399,"Fulfilled")=1),1,0)</f>
        <v>0</v>
      </c>
      <c r="E402" s="31" t="n">
        <f aca="false">IF(AND('Raw Orders'!C399="Product",'Raw Orders'!K399="Fulfilled"),'Raw Orders'!E399,0)</f>
        <v>0</v>
      </c>
      <c r="F402" s="32" t="n">
        <f aca="false">IF('Raw Orders'!K399="Refunded",'Raw Orders'!G399,0)</f>
        <v>0</v>
      </c>
    </row>
    <row r="403" customFormat="false" ht="15" hidden="false" customHeight="false" outlineLevel="0" collapsed="false">
      <c r="A403" s="36" t="n">
        <f aca="false">IF('Raw Orders'!B400="","",IF(MID('Raw Orders'!B400,5,1)="-",DATE(VALUE(LEFT('Raw Orders'!B400,4)),VALUE(MID('Raw Orders'!B400,6,2)),VALUE(MID('Raw Orders'!B400,9,2))),DATE(VALUE(MID('Raw Orders'!B400,7,4)),VALUE(MID('Raw Orders'!B400,4,2)),VALUE(LEFT('Raw Orders'!B400,2)))))</f>
        <v>46170</v>
      </c>
      <c r="B403" s="36" t="n">
        <f aca="false">IF(A403="","",A403-WEEKDAY(A403,3))</f>
        <v>46167</v>
      </c>
      <c r="C403" s="32" t="n">
        <f aca="false">IF(OR('Raw Orders'!C400&lt;&gt;"Product",'Raw Orders'!K400="Cancelled"),0,'Raw Orders'!G400)</f>
        <v>0</v>
      </c>
      <c r="D403" s="31" t="n">
        <f aca="false">IF(AND('Raw Orders'!C400="Product",'Raw Orders'!K400="Fulfilled",COUNTIFS('Raw Orders'!$A$2:$A400,'Raw Orders'!A400,'Raw Orders'!$C$2:$C400,"Product",'Raw Orders'!$K$2:$K400,"Fulfilled")=1),1,0)</f>
        <v>0</v>
      </c>
      <c r="E403" s="31" t="n">
        <f aca="false">IF(AND('Raw Orders'!C400="Product",'Raw Orders'!K400="Fulfilled"),'Raw Orders'!E400,0)</f>
        <v>0</v>
      </c>
      <c r="F403" s="32" t="n">
        <f aca="false">IF('Raw Orders'!K400="Refunded",'Raw Orders'!G400,0)</f>
        <v>0</v>
      </c>
    </row>
    <row r="404" customFormat="false" ht="15" hidden="false" customHeight="false" outlineLevel="0" collapsed="false">
      <c r="A404" s="36" t="n">
        <f aca="false">IF('Raw Orders'!B401="","",IF(MID('Raw Orders'!B401,5,1)="-",DATE(VALUE(LEFT('Raw Orders'!B401,4)),VALUE(MID('Raw Orders'!B401,6,2)),VALUE(MID('Raw Orders'!B401,9,2))),DATE(VALUE(MID('Raw Orders'!B401,7,4)),VALUE(MID('Raw Orders'!B401,4,2)),VALUE(LEFT('Raw Orders'!B401,2)))))</f>
        <v>46170</v>
      </c>
      <c r="B404" s="36" t="n">
        <f aca="false">IF(A404="","",A404-WEEKDAY(A404,3))</f>
        <v>46167</v>
      </c>
      <c r="C404" s="32" t="n">
        <f aca="false">IF(OR('Raw Orders'!C401&lt;&gt;"Product",'Raw Orders'!K401="Cancelled"),0,'Raw Orders'!G401)</f>
        <v>64</v>
      </c>
      <c r="D404" s="31" t="n">
        <f aca="false">IF(AND('Raw Orders'!C401="Product",'Raw Orders'!K401="Fulfilled",COUNTIFS('Raw Orders'!$A$2:$A401,'Raw Orders'!A401,'Raw Orders'!$C$2:$C401,"Product",'Raw Orders'!$K$2:$K401,"Fulfilled")=1),1,0)</f>
        <v>1</v>
      </c>
      <c r="E404" s="31" t="n">
        <f aca="false">IF(AND('Raw Orders'!C401="Product",'Raw Orders'!K401="Fulfilled"),'Raw Orders'!E401,0)</f>
        <v>2</v>
      </c>
      <c r="F404" s="32" t="n">
        <f aca="false">IF('Raw Orders'!K401="Refunded",'Raw Orders'!G401,0)</f>
        <v>0</v>
      </c>
    </row>
    <row r="405" customFormat="false" ht="15" hidden="false" customHeight="false" outlineLevel="0" collapsed="false">
      <c r="A405" s="36" t="n">
        <f aca="false">IF('Raw Orders'!B402="","",IF(MID('Raw Orders'!B402,5,1)="-",DATE(VALUE(LEFT('Raw Orders'!B402,4)),VALUE(MID('Raw Orders'!B402,6,2)),VALUE(MID('Raw Orders'!B402,9,2))),DATE(VALUE(MID('Raw Orders'!B402,7,4)),VALUE(MID('Raw Orders'!B402,4,2)),VALUE(LEFT('Raw Orders'!B402,2)))))</f>
        <v>46170</v>
      </c>
      <c r="B405" s="36" t="n">
        <f aca="false">IF(A405="","",A405-WEEKDAY(A405,3))</f>
        <v>46167</v>
      </c>
      <c r="C405" s="32" t="n">
        <f aca="false">IF(OR('Raw Orders'!C402&lt;&gt;"Product",'Raw Orders'!K402="Cancelled"),0,'Raw Orders'!G402)</f>
        <v>0</v>
      </c>
      <c r="D405" s="31" t="n">
        <f aca="false">IF(AND('Raw Orders'!C402="Product",'Raw Orders'!K402="Fulfilled",COUNTIFS('Raw Orders'!$A$2:$A402,'Raw Orders'!A402,'Raw Orders'!$C$2:$C402,"Product",'Raw Orders'!$K$2:$K402,"Fulfilled")=1),1,0)</f>
        <v>0</v>
      </c>
      <c r="E405" s="31" t="n">
        <f aca="false">IF(AND('Raw Orders'!C402="Product",'Raw Orders'!K402="Fulfilled"),'Raw Orders'!E402,0)</f>
        <v>0</v>
      </c>
      <c r="F405" s="32" t="n">
        <f aca="false">IF('Raw Orders'!K402="Refunded",'Raw Orders'!G402,0)</f>
        <v>0</v>
      </c>
    </row>
    <row r="406" customFormat="false" ht="15" hidden="false" customHeight="false" outlineLevel="0" collapsed="false">
      <c r="A406" s="36" t="n">
        <f aca="false">IF('Raw Orders'!B403="","",IF(MID('Raw Orders'!B403,5,1)="-",DATE(VALUE(LEFT('Raw Orders'!B403,4)),VALUE(MID('Raw Orders'!B403,6,2)),VALUE(MID('Raw Orders'!B403,9,2))),DATE(VALUE(MID('Raw Orders'!B403,7,4)),VALUE(MID('Raw Orders'!B403,4,2)),VALUE(LEFT('Raw Orders'!B403,2)))))</f>
        <v>46170</v>
      </c>
      <c r="B406" s="36" t="n">
        <f aca="false">IF(A406="","",A406-WEEKDAY(A406,3))</f>
        <v>46167</v>
      </c>
      <c r="C406" s="32" t="n">
        <f aca="false">IF(OR('Raw Orders'!C403&lt;&gt;"Product",'Raw Orders'!K403="Cancelled"),0,'Raw Orders'!G403)</f>
        <v>75</v>
      </c>
      <c r="D406" s="31" t="n">
        <f aca="false">IF(AND('Raw Orders'!C403="Product",'Raw Orders'!K403="Fulfilled",COUNTIFS('Raw Orders'!$A$2:$A403,'Raw Orders'!A403,'Raw Orders'!$C$2:$C403,"Product",'Raw Orders'!$K$2:$K403,"Fulfilled")=1),1,0)</f>
        <v>1</v>
      </c>
      <c r="E406" s="31" t="n">
        <f aca="false">IF(AND('Raw Orders'!C403="Product",'Raw Orders'!K403="Fulfilled"),'Raw Orders'!E403,0)</f>
        <v>1</v>
      </c>
      <c r="F406" s="32" t="n">
        <f aca="false">IF('Raw Orders'!K403="Refunded",'Raw Orders'!G403,0)</f>
        <v>0</v>
      </c>
    </row>
    <row r="407" customFormat="false" ht="15" hidden="false" customHeight="false" outlineLevel="0" collapsed="false">
      <c r="A407" s="36" t="n">
        <f aca="false">IF('Raw Orders'!B404="","",IF(MID('Raw Orders'!B404,5,1)="-",DATE(VALUE(LEFT('Raw Orders'!B404,4)),VALUE(MID('Raw Orders'!B404,6,2)),VALUE(MID('Raw Orders'!B404,9,2))),DATE(VALUE(MID('Raw Orders'!B404,7,4)),VALUE(MID('Raw Orders'!B404,4,2)),VALUE(LEFT('Raw Orders'!B404,2)))))</f>
        <v>46170</v>
      </c>
      <c r="B407" s="36" t="n">
        <f aca="false">IF(A407="","",A407-WEEKDAY(A407,3))</f>
        <v>46167</v>
      </c>
      <c r="C407" s="32" t="n">
        <f aca="false">IF(OR('Raw Orders'!C404&lt;&gt;"Product",'Raw Orders'!K404="Cancelled"),0,'Raw Orders'!G404)</f>
        <v>0</v>
      </c>
      <c r="D407" s="31" t="n">
        <f aca="false">IF(AND('Raw Orders'!C404="Product",'Raw Orders'!K404="Fulfilled",COUNTIFS('Raw Orders'!$A$2:$A404,'Raw Orders'!A404,'Raw Orders'!$C$2:$C404,"Product",'Raw Orders'!$K$2:$K404,"Fulfilled")=1),1,0)</f>
        <v>0</v>
      </c>
      <c r="E407" s="31" t="n">
        <f aca="false">IF(AND('Raw Orders'!C404="Product",'Raw Orders'!K404="Fulfilled"),'Raw Orders'!E404,0)</f>
        <v>0</v>
      </c>
      <c r="F407" s="32" t="n">
        <f aca="false">IF('Raw Orders'!K404="Refunded",'Raw Orders'!G404,0)</f>
        <v>0</v>
      </c>
    </row>
    <row r="408" customFormat="false" ht="15" hidden="false" customHeight="false" outlineLevel="0" collapsed="false">
      <c r="A408" s="36" t="n">
        <f aca="false">IF('Raw Orders'!B405="","",IF(MID('Raw Orders'!B405,5,1)="-",DATE(VALUE(LEFT('Raw Orders'!B405,4)),VALUE(MID('Raw Orders'!B405,6,2)),VALUE(MID('Raw Orders'!B405,9,2))),DATE(VALUE(MID('Raw Orders'!B405,7,4)),VALUE(MID('Raw Orders'!B405,4,2)),VALUE(LEFT('Raw Orders'!B405,2)))))</f>
        <v>46170</v>
      </c>
      <c r="B408" s="36" t="n">
        <f aca="false">IF(A408="","",A408-WEEKDAY(A408,3))</f>
        <v>46167</v>
      </c>
      <c r="C408" s="32" t="n">
        <f aca="false">IF(OR('Raw Orders'!C405&lt;&gt;"Product",'Raw Orders'!K405="Cancelled"),0,'Raw Orders'!G405)</f>
        <v>138</v>
      </c>
      <c r="D408" s="31" t="n">
        <f aca="false">IF(AND('Raw Orders'!C405="Product",'Raw Orders'!K405="Fulfilled",COUNTIFS('Raw Orders'!$A$2:$A405,'Raw Orders'!A405,'Raw Orders'!$C$2:$C405,"Product",'Raw Orders'!$K$2:$K405,"Fulfilled")=1),1,0)</f>
        <v>0</v>
      </c>
      <c r="E408" s="31" t="n">
        <f aca="false">IF(AND('Raw Orders'!C405="Product",'Raw Orders'!K405="Fulfilled"),'Raw Orders'!E405,0)</f>
        <v>2</v>
      </c>
      <c r="F408" s="32" t="n">
        <f aca="false">IF('Raw Orders'!K405="Refunded",'Raw Orders'!G405,0)</f>
        <v>0</v>
      </c>
    </row>
    <row r="409" customFormat="false" ht="15" hidden="false" customHeight="false" outlineLevel="0" collapsed="false">
      <c r="A409" s="36" t="n">
        <f aca="false">IF('Raw Orders'!B406="","",IF(MID('Raw Orders'!B406,5,1)="-",DATE(VALUE(LEFT('Raw Orders'!B406,4)),VALUE(MID('Raw Orders'!B406,6,2)),VALUE(MID('Raw Orders'!B406,9,2))),DATE(VALUE(MID('Raw Orders'!B406,7,4)),VALUE(MID('Raw Orders'!B406,4,2)),VALUE(LEFT('Raw Orders'!B406,2)))))</f>
        <v>46170</v>
      </c>
      <c r="B409" s="36" t="n">
        <f aca="false">IF(A409="","",A409-WEEKDAY(A409,3))</f>
        <v>46167</v>
      </c>
      <c r="C409" s="32" t="n">
        <f aca="false">IF(OR('Raw Orders'!C406&lt;&gt;"Product",'Raw Orders'!K406="Cancelled"),0,'Raw Orders'!G406)</f>
        <v>0</v>
      </c>
      <c r="D409" s="31" t="n">
        <f aca="false">IF(AND('Raw Orders'!C406="Product",'Raw Orders'!K406="Fulfilled",COUNTIFS('Raw Orders'!$A$2:$A406,'Raw Orders'!A406,'Raw Orders'!$C$2:$C406,"Product",'Raw Orders'!$K$2:$K406,"Fulfilled")=1),1,0)</f>
        <v>0</v>
      </c>
      <c r="E409" s="31" t="n">
        <f aca="false">IF(AND('Raw Orders'!C406="Product",'Raw Orders'!K406="Fulfilled"),'Raw Orders'!E406,0)</f>
        <v>0</v>
      </c>
      <c r="F409" s="32" t="n">
        <f aca="false">IF('Raw Orders'!K406="Refunded",'Raw Orders'!G406,0)</f>
        <v>0</v>
      </c>
    </row>
    <row r="410" customFormat="false" ht="15" hidden="false" customHeight="false" outlineLevel="0" collapsed="false">
      <c r="A410" s="36" t="n">
        <f aca="false">IF('Raw Orders'!B407="","",IF(MID('Raw Orders'!B407,5,1)="-",DATE(VALUE(LEFT('Raw Orders'!B407,4)),VALUE(MID('Raw Orders'!B407,6,2)),VALUE(MID('Raw Orders'!B407,9,2))),DATE(VALUE(MID('Raw Orders'!B407,7,4)),VALUE(MID('Raw Orders'!B407,4,2)),VALUE(LEFT('Raw Orders'!B407,2)))))</f>
        <v>46170</v>
      </c>
      <c r="B410" s="36" t="n">
        <f aca="false">IF(A410="","",A410-WEEKDAY(A410,3))</f>
        <v>46167</v>
      </c>
      <c r="C410" s="32" t="n">
        <f aca="false">IF(OR('Raw Orders'!C407&lt;&gt;"Product",'Raw Orders'!K407="Cancelled"),0,'Raw Orders'!G407)</f>
        <v>178</v>
      </c>
      <c r="D410" s="31" t="n">
        <f aca="false">IF(AND('Raw Orders'!C407="Product",'Raw Orders'!K407="Fulfilled",COUNTIFS('Raw Orders'!$A$2:$A407,'Raw Orders'!A407,'Raw Orders'!$C$2:$C407,"Product",'Raw Orders'!$K$2:$K407,"Fulfilled")=1),1,0)</f>
        <v>1</v>
      </c>
      <c r="E410" s="31" t="n">
        <f aca="false">IF(AND('Raw Orders'!C407="Product",'Raw Orders'!K407="Fulfilled"),'Raw Orders'!E407,0)</f>
        <v>2</v>
      </c>
      <c r="F410" s="32" t="n">
        <f aca="false">IF('Raw Orders'!K407="Refunded",'Raw Orders'!G407,0)</f>
        <v>0</v>
      </c>
    </row>
    <row r="411" customFormat="false" ht="15" hidden="false" customHeight="false" outlineLevel="0" collapsed="false">
      <c r="A411" s="36" t="n">
        <f aca="false">IF('Raw Orders'!B408="","",IF(MID('Raw Orders'!B408,5,1)="-",DATE(VALUE(LEFT('Raw Orders'!B408,4)),VALUE(MID('Raw Orders'!B408,6,2)),VALUE(MID('Raw Orders'!B408,9,2))),DATE(VALUE(MID('Raw Orders'!B408,7,4)),VALUE(MID('Raw Orders'!B408,4,2)),VALUE(LEFT('Raw Orders'!B408,2)))))</f>
        <v>46170</v>
      </c>
      <c r="B411" s="36" t="n">
        <f aca="false">IF(A411="","",A411-WEEKDAY(A411,3))</f>
        <v>46167</v>
      </c>
      <c r="C411" s="32" t="n">
        <f aca="false">IF(OR('Raw Orders'!C408&lt;&gt;"Product",'Raw Orders'!K408="Cancelled"),0,'Raw Orders'!G408)</f>
        <v>44</v>
      </c>
      <c r="D411" s="31" t="n">
        <f aca="false">IF(AND('Raw Orders'!C408="Product",'Raw Orders'!K408="Fulfilled",COUNTIFS('Raw Orders'!$A$2:$A408,'Raw Orders'!A408,'Raw Orders'!$C$2:$C408,"Product",'Raw Orders'!$K$2:$K408,"Fulfilled")=1),1,0)</f>
        <v>1</v>
      </c>
      <c r="E411" s="31" t="n">
        <f aca="false">IF(AND('Raw Orders'!C408="Product",'Raw Orders'!K408="Fulfilled"),'Raw Orders'!E408,0)</f>
        <v>2</v>
      </c>
      <c r="F411" s="32" t="n">
        <f aca="false">IF('Raw Orders'!K408="Refunded",'Raw Orders'!G408,0)</f>
        <v>0</v>
      </c>
    </row>
    <row r="412" customFormat="false" ht="15" hidden="false" customHeight="false" outlineLevel="0" collapsed="false">
      <c r="A412" s="36" t="n">
        <f aca="false">IF('Raw Orders'!B409="","",IF(MID('Raw Orders'!B409,5,1)="-",DATE(VALUE(LEFT('Raw Orders'!B409,4)),VALUE(MID('Raw Orders'!B409,6,2)),VALUE(MID('Raw Orders'!B409,9,2))),DATE(VALUE(MID('Raw Orders'!B409,7,4)),VALUE(MID('Raw Orders'!B409,4,2)),VALUE(LEFT('Raw Orders'!B409,2)))))</f>
        <v>46170</v>
      </c>
      <c r="B412" s="36" t="n">
        <f aca="false">IF(A412="","",A412-WEEKDAY(A412,3))</f>
        <v>46167</v>
      </c>
      <c r="C412" s="32" t="n">
        <f aca="false">IF(OR('Raw Orders'!C409&lt;&gt;"Product",'Raw Orders'!K409="Cancelled"),0,'Raw Orders'!G409)</f>
        <v>69</v>
      </c>
      <c r="D412" s="31" t="n">
        <f aca="false">IF(AND('Raw Orders'!C409="Product",'Raw Orders'!K409="Fulfilled",COUNTIFS('Raw Orders'!$A$2:$A409,'Raw Orders'!A409,'Raw Orders'!$C$2:$C409,"Product",'Raw Orders'!$K$2:$K409,"Fulfilled")=1),1,0)</f>
        <v>0</v>
      </c>
      <c r="E412" s="31" t="n">
        <f aca="false">IF(AND('Raw Orders'!C409="Product",'Raw Orders'!K409="Fulfilled"),'Raw Orders'!E409,0)</f>
        <v>1</v>
      </c>
      <c r="F412" s="32" t="n">
        <f aca="false">IF('Raw Orders'!K409="Refunded",'Raw Orders'!G409,0)</f>
        <v>0</v>
      </c>
    </row>
    <row r="413" customFormat="false" ht="15" hidden="false" customHeight="false" outlineLevel="0" collapsed="false">
      <c r="A413" s="36" t="n">
        <f aca="false">IF('Raw Orders'!B410="","",IF(MID('Raw Orders'!B410,5,1)="-",DATE(VALUE(LEFT('Raw Orders'!B410,4)),VALUE(MID('Raw Orders'!B410,6,2)),VALUE(MID('Raw Orders'!B410,9,2))),DATE(VALUE(MID('Raw Orders'!B410,7,4)),VALUE(MID('Raw Orders'!B410,4,2)),VALUE(LEFT('Raw Orders'!B410,2)))))</f>
        <v>46170</v>
      </c>
      <c r="B413" s="36" t="n">
        <f aca="false">IF(A413="","",A413-WEEKDAY(A413,3))</f>
        <v>46167</v>
      </c>
      <c r="C413" s="32" t="n">
        <f aca="false">IF(OR('Raw Orders'!C410&lt;&gt;"Product",'Raw Orders'!K410="Cancelled"),0,'Raw Orders'!G410)</f>
        <v>0</v>
      </c>
      <c r="D413" s="31" t="n">
        <f aca="false">IF(AND('Raw Orders'!C410="Product",'Raw Orders'!K410="Fulfilled",COUNTIFS('Raw Orders'!$A$2:$A410,'Raw Orders'!A410,'Raw Orders'!$C$2:$C410,"Product",'Raw Orders'!$K$2:$K410,"Fulfilled")=1),1,0)</f>
        <v>0</v>
      </c>
      <c r="E413" s="31" t="n">
        <f aca="false">IF(AND('Raw Orders'!C410="Product",'Raw Orders'!K410="Fulfilled"),'Raw Orders'!E410,0)</f>
        <v>0</v>
      </c>
      <c r="F413" s="32" t="n">
        <f aca="false">IF('Raw Orders'!K410="Refunded",'Raw Orders'!G410,0)</f>
        <v>0</v>
      </c>
    </row>
    <row r="414" customFormat="false" ht="15" hidden="false" customHeight="false" outlineLevel="0" collapsed="false">
      <c r="A414" s="36" t="n">
        <f aca="false">IF('Raw Orders'!B411="","",IF(MID('Raw Orders'!B411,5,1)="-",DATE(VALUE(LEFT('Raw Orders'!B411,4)),VALUE(MID('Raw Orders'!B411,6,2)),VALUE(MID('Raw Orders'!B411,9,2))),DATE(VALUE(MID('Raw Orders'!B411,7,4)),VALUE(MID('Raw Orders'!B411,4,2)),VALUE(LEFT('Raw Orders'!B411,2)))))</f>
        <v>46170</v>
      </c>
      <c r="B414" s="36" t="n">
        <f aca="false">IF(A414="","",A414-WEEKDAY(A414,3))</f>
        <v>46167</v>
      </c>
      <c r="C414" s="32" t="n">
        <f aca="false">IF(OR('Raw Orders'!C411&lt;&gt;"Product",'Raw Orders'!K411="Cancelled"),0,'Raw Orders'!G411)</f>
        <v>70</v>
      </c>
      <c r="D414" s="31" t="n">
        <f aca="false">IF(AND('Raw Orders'!C411="Product",'Raw Orders'!K411="Fulfilled",COUNTIFS('Raw Orders'!$A$2:$A411,'Raw Orders'!A411,'Raw Orders'!$C$2:$C411,"Product",'Raw Orders'!$K$2:$K411,"Fulfilled")=1),1,0)</f>
        <v>1</v>
      </c>
      <c r="E414" s="31" t="n">
        <f aca="false">IF(AND('Raw Orders'!C411="Product",'Raw Orders'!K411="Fulfilled"),'Raw Orders'!E411,0)</f>
        <v>2</v>
      </c>
      <c r="F414" s="32" t="n">
        <f aca="false">IF('Raw Orders'!K411="Refunded",'Raw Orders'!G411,0)</f>
        <v>0</v>
      </c>
    </row>
    <row r="415" customFormat="false" ht="15" hidden="false" customHeight="false" outlineLevel="0" collapsed="false">
      <c r="A415" s="36" t="n">
        <f aca="false">IF('Raw Orders'!B412="","",IF(MID('Raw Orders'!B412,5,1)="-",DATE(VALUE(LEFT('Raw Orders'!B412,4)),VALUE(MID('Raw Orders'!B412,6,2)),VALUE(MID('Raw Orders'!B412,9,2))),DATE(VALUE(MID('Raw Orders'!B412,7,4)),VALUE(MID('Raw Orders'!B412,4,2)),VALUE(LEFT('Raw Orders'!B412,2)))))</f>
        <v>46170</v>
      </c>
      <c r="B415" s="36" t="n">
        <f aca="false">IF(A415="","",A415-WEEKDAY(A415,3))</f>
        <v>46167</v>
      </c>
      <c r="C415" s="32" t="n">
        <f aca="false">IF(OR('Raw Orders'!C412&lt;&gt;"Product",'Raw Orders'!K412="Cancelled"),0,'Raw Orders'!G412)</f>
        <v>0</v>
      </c>
      <c r="D415" s="31" t="n">
        <f aca="false">IF(AND('Raw Orders'!C412="Product",'Raw Orders'!K412="Fulfilled",COUNTIFS('Raw Orders'!$A$2:$A412,'Raw Orders'!A412,'Raw Orders'!$C$2:$C412,"Product",'Raw Orders'!$K$2:$K412,"Fulfilled")=1),1,0)</f>
        <v>0</v>
      </c>
      <c r="E415" s="31" t="n">
        <f aca="false">IF(AND('Raw Orders'!C412="Product",'Raw Orders'!K412="Fulfilled"),'Raw Orders'!E412,0)</f>
        <v>0</v>
      </c>
      <c r="F415" s="32" t="n">
        <f aca="false">IF('Raw Orders'!K412="Refunded",'Raw Orders'!G412,0)</f>
        <v>0</v>
      </c>
    </row>
    <row r="416" customFormat="false" ht="15" hidden="false" customHeight="false" outlineLevel="0" collapsed="false">
      <c r="A416" s="36" t="n">
        <f aca="false">IF('Raw Orders'!B413="","",IF(MID('Raw Orders'!B413,5,1)="-",DATE(VALUE(LEFT('Raw Orders'!B413,4)),VALUE(MID('Raw Orders'!B413,6,2)),VALUE(MID('Raw Orders'!B413,9,2))),DATE(VALUE(MID('Raw Orders'!B413,7,4)),VALUE(MID('Raw Orders'!B413,4,2)),VALUE(LEFT('Raw Orders'!B413,2)))))</f>
        <v>46170</v>
      </c>
      <c r="B416" s="36" t="n">
        <f aca="false">IF(A416="","",A416-WEEKDAY(A416,3))</f>
        <v>46167</v>
      </c>
      <c r="C416" s="32" t="n">
        <f aca="false">IF(OR('Raw Orders'!C413&lt;&gt;"Product",'Raw Orders'!K413="Cancelled"),0,'Raw Orders'!G413)</f>
        <v>22</v>
      </c>
      <c r="D416" s="31" t="n">
        <f aca="false">IF(AND('Raw Orders'!C413="Product",'Raw Orders'!K413="Fulfilled",COUNTIFS('Raw Orders'!$A$2:$A413,'Raw Orders'!A413,'Raw Orders'!$C$2:$C413,"Product",'Raw Orders'!$K$2:$K413,"Fulfilled")=1),1,0)</f>
        <v>0</v>
      </c>
      <c r="E416" s="31" t="n">
        <f aca="false">IF(AND('Raw Orders'!C413="Product",'Raw Orders'!K413="Fulfilled"),'Raw Orders'!E413,0)</f>
        <v>1</v>
      </c>
      <c r="F416" s="32" t="n">
        <f aca="false">IF('Raw Orders'!K413="Refunded",'Raw Orders'!G413,0)</f>
        <v>0</v>
      </c>
    </row>
    <row r="417" customFormat="false" ht="15" hidden="false" customHeight="false" outlineLevel="0" collapsed="false">
      <c r="A417" s="36" t="n">
        <f aca="false">IF('Raw Orders'!B414="","",IF(MID('Raw Orders'!B414,5,1)="-",DATE(VALUE(LEFT('Raw Orders'!B414,4)),VALUE(MID('Raw Orders'!B414,6,2)),VALUE(MID('Raw Orders'!B414,9,2))),DATE(VALUE(MID('Raw Orders'!B414,7,4)),VALUE(MID('Raw Orders'!B414,4,2)),VALUE(LEFT('Raw Orders'!B414,2)))))</f>
        <v>46170</v>
      </c>
      <c r="B417" s="36" t="n">
        <f aca="false">IF(A417="","",A417-WEEKDAY(A417,3))</f>
        <v>46167</v>
      </c>
      <c r="C417" s="32" t="n">
        <f aca="false">IF(OR('Raw Orders'!C414&lt;&gt;"Product",'Raw Orders'!K414="Cancelled"),0,'Raw Orders'!G414)</f>
        <v>26</v>
      </c>
      <c r="D417" s="31" t="n">
        <f aca="false">IF(AND('Raw Orders'!C414="Product",'Raw Orders'!K414="Fulfilled",COUNTIFS('Raw Orders'!$A$2:$A414,'Raw Orders'!A414,'Raw Orders'!$C$2:$C414,"Product",'Raw Orders'!$K$2:$K414,"Fulfilled")=1),1,0)</f>
        <v>1</v>
      </c>
      <c r="E417" s="31" t="n">
        <f aca="false">IF(AND('Raw Orders'!C414="Product",'Raw Orders'!K414="Fulfilled"),'Raw Orders'!E414,0)</f>
        <v>1</v>
      </c>
      <c r="F417" s="32" t="n">
        <f aca="false">IF('Raw Orders'!K414="Refunded",'Raw Orders'!G414,0)</f>
        <v>0</v>
      </c>
    </row>
    <row r="418" customFormat="false" ht="15" hidden="false" customHeight="false" outlineLevel="0" collapsed="false">
      <c r="A418" s="36" t="n">
        <f aca="false">IF('Raw Orders'!B415="","",IF(MID('Raw Orders'!B415,5,1)="-",DATE(VALUE(LEFT('Raw Orders'!B415,4)),VALUE(MID('Raw Orders'!B415,6,2)),VALUE(MID('Raw Orders'!B415,9,2))),DATE(VALUE(MID('Raw Orders'!B415,7,4)),VALUE(MID('Raw Orders'!B415,4,2)),VALUE(LEFT('Raw Orders'!B415,2)))))</f>
        <v>46170</v>
      </c>
      <c r="B418" s="36" t="n">
        <f aca="false">IF(A418="","",A418-WEEKDAY(A418,3))</f>
        <v>46167</v>
      </c>
      <c r="C418" s="32" t="n">
        <f aca="false">IF(OR('Raw Orders'!C415&lt;&gt;"Product",'Raw Orders'!K415="Cancelled"),0,'Raw Orders'!G415)</f>
        <v>0</v>
      </c>
      <c r="D418" s="31" t="n">
        <f aca="false">IF(AND('Raw Orders'!C415="Product",'Raw Orders'!K415="Fulfilled",COUNTIFS('Raw Orders'!$A$2:$A415,'Raw Orders'!A415,'Raw Orders'!$C$2:$C415,"Product",'Raw Orders'!$K$2:$K415,"Fulfilled")=1),1,0)</f>
        <v>0</v>
      </c>
      <c r="E418" s="31" t="n">
        <f aca="false">IF(AND('Raw Orders'!C415="Product",'Raw Orders'!K415="Fulfilled"),'Raw Orders'!E415,0)</f>
        <v>0</v>
      </c>
      <c r="F418" s="32" t="n">
        <f aca="false">IF('Raw Orders'!K415="Refunded",'Raw Orders'!G415,0)</f>
        <v>0</v>
      </c>
    </row>
    <row r="419" customFormat="false" ht="15" hidden="false" customHeight="false" outlineLevel="0" collapsed="false">
      <c r="A419" s="36" t="n">
        <f aca="false">IF('Raw Orders'!B416="","",IF(MID('Raw Orders'!B416,5,1)="-",DATE(VALUE(LEFT('Raw Orders'!B416,4)),VALUE(MID('Raw Orders'!B416,6,2)),VALUE(MID('Raw Orders'!B416,9,2))),DATE(VALUE(MID('Raw Orders'!B416,7,4)),VALUE(MID('Raw Orders'!B416,4,2)),VALUE(LEFT('Raw Orders'!B416,2)))))</f>
        <v>46170</v>
      </c>
      <c r="B419" s="36" t="n">
        <f aca="false">IF(A419="","",A419-WEEKDAY(A419,3))</f>
        <v>46167</v>
      </c>
      <c r="C419" s="32" t="n">
        <f aca="false">IF(OR('Raw Orders'!C416&lt;&gt;"Product",'Raw Orders'!K416="Cancelled"),0,'Raw Orders'!G416)</f>
        <v>39</v>
      </c>
      <c r="D419" s="31" t="n">
        <f aca="false">IF(AND('Raw Orders'!C416="Product",'Raw Orders'!K416="Fulfilled",COUNTIFS('Raw Orders'!$A$2:$A416,'Raw Orders'!A416,'Raw Orders'!$C$2:$C416,"Product",'Raw Orders'!$K$2:$K416,"Fulfilled")=1),1,0)</f>
        <v>0</v>
      </c>
      <c r="E419" s="31" t="n">
        <f aca="false">IF(AND('Raw Orders'!C416="Product",'Raw Orders'!K416="Fulfilled"),'Raw Orders'!E416,0)</f>
        <v>1</v>
      </c>
      <c r="F419" s="32" t="n">
        <f aca="false">IF('Raw Orders'!K416="Refunded",'Raw Orders'!G416,0)</f>
        <v>0</v>
      </c>
    </row>
    <row r="420" customFormat="false" ht="15" hidden="false" customHeight="false" outlineLevel="0" collapsed="false">
      <c r="A420" s="36" t="n">
        <f aca="false">IF('Raw Orders'!B417="","",IF(MID('Raw Orders'!B417,5,1)="-",DATE(VALUE(LEFT('Raw Orders'!B417,4)),VALUE(MID('Raw Orders'!B417,6,2)),VALUE(MID('Raw Orders'!B417,9,2))),DATE(VALUE(MID('Raw Orders'!B417,7,4)),VALUE(MID('Raw Orders'!B417,4,2)),VALUE(LEFT('Raw Orders'!B417,2)))))</f>
        <v>46170</v>
      </c>
      <c r="B420" s="36" t="n">
        <f aca="false">IF(A420="","",A420-WEEKDAY(A420,3))</f>
        <v>46167</v>
      </c>
      <c r="C420" s="32" t="n">
        <f aca="false">IF(OR('Raw Orders'!C417&lt;&gt;"Product",'Raw Orders'!K417="Cancelled"),0,'Raw Orders'!G417)</f>
        <v>87</v>
      </c>
      <c r="D420" s="31" t="n">
        <f aca="false">IF(AND('Raw Orders'!C417="Product",'Raw Orders'!K417="Fulfilled",COUNTIFS('Raw Orders'!$A$2:$A417,'Raw Orders'!A417,'Raw Orders'!$C$2:$C417,"Product",'Raw Orders'!$K$2:$K417,"Fulfilled")=1),1,0)</f>
        <v>0</v>
      </c>
      <c r="E420" s="31" t="n">
        <f aca="false">IF(AND('Raw Orders'!C417="Product",'Raw Orders'!K417="Fulfilled"),'Raw Orders'!E417,0)</f>
        <v>3</v>
      </c>
      <c r="F420" s="32" t="n">
        <f aca="false">IF('Raw Orders'!K417="Refunded",'Raw Orders'!G417,0)</f>
        <v>0</v>
      </c>
    </row>
    <row r="421" customFormat="false" ht="15" hidden="false" customHeight="false" outlineLevel="0" collapsed="false">
      <c r="A421" s="36" t="n">
        <f aca="false">IF('Raw Orders'!B418="","",IF(MID('Raw Orders'!B418,5,1)="-",DATE(VALUE(LEFT('Raw Orders'!B418,4)),VALUE(MID('Raw Orders'!B418,6,2)),VALUE(MID('Raw Orders'!B418,9,2))),DATE(VALUE(MID('Raw Orders'!B418,7,4)),VALUE(MID('Raw Orders'!B418,4,2)),VALUE(LEFT('Raw Orders'!B418,2)))))</f>
        <v>46170</v>
      </c>
      <c r="B421" s="36" t="n">
        <f aca="false">IF(A421="","",A421-WEEKDAY(A421,3))</f>
        <v>46167</v>
      </c>
      <c r="C421" s="32" t="n">
        <f aca="false">IF(OR('Raw Orders'!C418&lt;&gt;"Product",'Raw Orders'!K418="Cancelled"),0,'Raw Orders'!G418)</f>
        <v>0</v>
      </c>
      <c r="D421" s="31" t="n">
        <f aca="false">IF(AND('Raw Orders'!C418="Product",'Raw Orders'!K418="Fulfilled",COUNTIFS('Raw Orders'!$A$2:$A418,'Raw Orders'!A418,'Raw Orders'!$C$2:$C418,"Product",'Raw Orders'!$K$2:$K418,"Fulfilled")=1),1,0)</f>
        <v>0</v>
      </c>
      <c r="E421" s="31" t="n">
        <f aca="false">IF(AND('Raw Orders'!C418="Product",'Raw Orders'!K418="Fulfilled"),'Raw Orders'!E418,0)</f>
        <v>0</v>
      </c>
      <c r="F421" s="32" t="n">
        <f aca="false">IF('Raw Orders'!K418="Refunded",'Raw Orders'!G418,0)</f>
        <v>0</v>
      </c>
    </row>
    <row r="422" customFormat="false" ht="15" hidden="false" customHeight="false" outlineLevel="0" collapsed="false">
      <c r="A422" s="36" t="n">
        <f aca="false">IF('Raw Orders'!B419="","",IF(MID('Raw Orders'!B419,5,1)="-",DATE(VALUE(LEFT('Raw Orders'!B419,4)),VALUE(MID('Raw Orders'!B419,6,2)),VALUE(MID('Raw Orders'!B419,9,2))),DATE(VALUE(MID('Raw Orders'!B419,7,4)),VALUE(MID('Raw Orders'!B419,4,2)),VALUE(LEFT('Raw Orders'!B419,2)))))</f>
        <v>46170</v>
      </c>
      <c r="B422" s="36" t="n">
        <f aca="false">IF(A422="","",A422-WEEKDAY(A422,3))</f>
        <v>46167</v>
      </c>
      <c r="C422" s="32" t="n">
        <f aca="false">IF(OR('Raw Orders'!C419&lt;&gt;"Product",'Raw Orders'!K419="Cancelled"),0,'Raw Orders'!G419)</f>
        <v>89</v>
      </c>
      <c r="D422" s="31" t="n">
        <f aca="false">IF(AND('Raw Orders'!C419="Product",'Raw Orders'!K419="Fulfilled",COUNTIFS('Raw Orders'!$A$2:$A419,'Raw Orders'!A419,'Raw Orders'!$C$2:$C419,"Product",'Raw Orders'!$K$2:$K419,"Fulfilled")=1),1,0)</f>
        <v>1</v>
      </c>
      <c r="E422" s="31" t="n">
        <f aca="false">IF(AND('Raw Orders'!C419="Product",'Raw Orders'!K419="Fulfilled"),'Raw Orders'!E419,0)</f>
        <v>1</v>
      </c>
      <c r="F422" s="32" t="n">
        <f aca="false">IF('Raw Orders'!K419="Refunded",'Raw Orders'!G419,0)</f>
        <v>0</v>
      </c>
    </row>
    <row r="423" customFormat="false" ht="15" hidden="false" customHeight="false" outlineLevel="0" collapsed="false">
      <c r="A423" s="36" t="n">
        <f aca="false">IF('Raw Orders'!B420="","",IF(MID('Raw Orders'!B420,5,1)="-",DATE(VALUE(LEFT('Raw Orders'!B420,4)),VALUE(MID('Raw Orders'!B420,6,2)),VALUE(MID('Raw Orders'!B420,9,2))),DATE(VALUE(MID('Raw Orders'!B420,7,4)),VALUE(MID('Raw Orders'!B420,4,2)),VALUE(LEFT('Raw Orders'!B420,2)))))</f>
        <v>46170</v>
      </c>
      <c r="B423" s="36" t="n">
        <f aca="false">IF(A423="","",A423-WEEKDAY(A423,3))</f>
        <v>46167</v>
      </c>
      <c r="C423" s="32" t="n">
        <f aca="false">IF(OR('Raw Orders'!C420&lt;&gt;"Product",'Raw Orders'!K420="Cancelled"),0,'Raw Orders'!G420)</f>
        <v>69</v>
      </c>
      <c r="D423" s="31" t="n">
        <f aca="false">IF(AND('Raw Orders'!C420="Product",'Raw Orders'!K420="Fulfilled",COUNTIFS('Raw Orders'!$A$2:$A420,'Raw Orders'!A420,'Raw Orders'!$C$2:$C420,"Product",'Raw Orders'!$K$2:$K420,"Fulfilled")=1),1,0)</f>
        <v>1</v>
      </c>
      <c r="E423" s="31" t="n">
        <f aca="false">IF(AND('Raw Orders'!C420="Product",'Raw Orders'!K420="Fulfilled"),'Raw Orders'!E420,0)</f>
        <v>1</v>
      </c>
      <c r="F423" s="32" t="n">
        <f aca="false">IF('Raw Orders'!K420="Refunded",'Raw Orders'!G420,0)</f>
        <v>0</v>
      </c>
    </row>
    <row r="424" customFormat="false" ht="15" hidden="false" customHeight="false" outlineLevel="0" collapsed="false">
      <c r="A424" s="36" t="n">
        <f aca="false">IF('Raw Orders'!B421="","",IF(MID('Raw Orders'!B421,5,1)="-",DATE(VALUE(LEFT('Raw Orders'!B421,4)),VALUE(MID('Raw Orders'!B421,6,2)),VALUE(MID('Raw Orders'!B421,9,2))),DATE(VALUE(MID('Raw Orders'!B421,7,4)),VALUE(MID('Raw Orders'!B421,4,2)),VALUE(LEFT('Raw Orders'!B421,2)))))</f>
        <v>46170</v>
      </c>
      <c r="B424" s="36" t="n">
        <f aca="false">IF(A424="","",A424-WEEKDAY(A424,3))</f>
        <v>46167</v>
      </c>
      <c r="C424" s="32" t="n">
        <f aca="false">IF(OR('Raw Orders'!C421&lt;&gt;"Product",'Raw Orders'!K421="Cancelled"),0,'Raw Orders'!G421)</f>
        <v>0</v>
      </c>
      <c r="D424" s="31" t="n">
        <f aca="false">IF(AND('Raw Orders'!C421="Product",'Raw Orders'!K421="Fulfilled",COUNTIFS('Raw Orders'!$A$2:$A421,'Raw Orders'!A421,'Raw Orders'!$C$2:$C421,"Product",'Raw Orders'!$K$2:$K421,"Fulfilled")=1),1,0)</f>
        <v>0</v>
      </c>
      <c r="E424" s="31" t="n">
        <f aca="false">IF(AND('Raw Orders'!C421="Product",'Raw Orders'!K421="Fulfilled"),'Raw Orders'!E421,0)</f>
        <v>0</v>
      </c>
      <c r="F424" s="32" t="n">
        <f aca="false">IF('Raw Orders'!K421="Refunded",'Raw Orders'!G421,0)</f>
        <v>0</v>
      </c>
    </row>
    <row r="425" customFormat="false" ht="15" hidden="false" customHeight="false" outlineLevel="0" collapsed="false">
      <c r="A425" s="36" t="n">
        <f aca="false">IF('Raw Orders'!B422="","",IF(MID('Raw Orders'!B422,5,1)="-",DATE(VALUE(LEFT('Raw Orders'!B422,4)),VALUE(MID('Raw Orders'!B422,6,2)),VALUE(MID('Raw Orders'!B422,9,2))),DATE(VALUE(MID('Raw Orders'!B422,7,4)),VALUE(MID('Raw Orders'!B422,4,2)),VALUE(LEFT('Raw Orders'!B422,2)))))</f>
        <v>46171</v>
      </c>
      <c r="B425" s="36" t="n">
        <f aca="false">IF(A425="","",A425-WEEKDAY(A425,3))</f>
        <v>46167</v>
      </c>
      <c r="C425" s="32" t="n">
        <f aca="false">IF(OR('Raw Orders'!C422&lt;&gt;"Product",'Raw Orders'!K422="Cancelled"),0,'Raw Orders'!G422)</f>
        <v>46.8</v>
      </c>
      <c r="D425" s="31" t="n">
        <f aca="false">IF(AND('Raw Orders'!C422="Product",'Raw Orders'!K422="Fulfilled",COUNTIFS('Raw Orders'!$A$2:$A422,'Raw Orders'!A422,'Raw Orders'!$C$2:$C422,"Product",'Raw Orders'!$K$2:$K422,"Fulfilled")=1),1,0)</f>
        <v>1</v>
      </c>
      <c r="E425" s="31" t="n">
        <f aca="false">IF(AND('Raw Orders'!C422="Product",'Raw Orders'!K422="Fulfilled"),'Raw Orders'!E422,0)</f>
        <v>2</v>
      </c>
      <c r="F425" s="32" t="n">
        <f aca="false">IF('Raw Orders'!K422="Refunded",'Raw Orders'!G422,0)</f>
        <v>0</v>
      </c>
    </row>
    <row r="426" customFormat="false" ht="15" hidden="false" customHeight="false" outlineLevel="0" collapsed="false">
      <c r="A426" s="36" t="n">
        <f aca="false">IF('Raw Orders'!B423="","",IF(MID('Raw Orders'!B423,5,1)="-",DATE(VALUE(LEFT('Raw Orders'!B423,4)),VALUE(MID('Raw Orders'!B423,6,2)),VALUE(MID('Raw Orders'!B423,9,2))),DATE(VALUE(MID('Raw Orders'!B423,7,4)),VALUE(MID('Raw Orders'!B423,4,2)),VALUE(LEFT('Raw Orders'!B423,2)))))</f>
        <v>46171</v>
      </c>
      <c r="B426" s="36" t="n">
        <f aca="false">IF(A426="","",A426-WEEKDAY(A426,3))</f>
        <v>46167</v>
      </c>
      <c r="C426" s="32" t="n">
        <f aca="false">IF(OR('Raw Orders'!C423&lt;&gt;"Product",'Raw Orders'!K423="Cancelled"),0,'Raw Orders'!G423)</f>
        <v>69</v>
      </c>
      <c r="D426" s="31" t="n">
        <f aca="false">IF(AND('Raw Orders'!C423="Product",'Raw Orders'!K423="Fulfilled",COUNTIFS('Raw Orders'!$A$2:$A423,'Raw Orders'!A423,'Raw Orders'!$C$2:$C423,"Product",'Raw Orders'!$K$2:$K423,"Fulfilled")=1),1,0)</f>
        <v>0</v>
      </c>
      <c r="E426" s="31" t="n">
        <f aca="false">IF(AND('Raw Orders'!C423="Product",'Raw Orders'!K423="Fulfilled"),'Raw Orders'!E423,0)</f>
        <v>1</v>
      </c>
      <c r="F426" s="32" t="n">
        <f aca="false">IF('Raw Orders'!K423="Refunded",'Raw Orders'!G423,0)</f>
        <v>0</v>
      </c>
    </row>
    <row r="427" customFormat="false" ht="15" hidden="false" customHeight="false" outlineLevel="0" collapsed="false">
      <c r="A427" s="36" t="n">
        <f aca="false">IF('Raw Orders'!B424="","",IF(MID('Raw Orders'!B424,5,1)="-",DATE(VALUE(LEFT('Raw Orders'!B424,4)),VALUE(MID('Raw Orders'!B424,6,2)),VALUE(MID('Raw Orders'!B424,9,2))),DATE(VALUE(MID('Raw Orders'!B424,7,4)),VALUE(MID('Raw Orders'!B424,4,2)),VALUE(LEFT('Raw Orders'!B424,2)))))</f>
        <v>46171</v>
      </c>
      <c r="B427" s="36" t="n">
        <f aca="false">IF(A427="","",A427-WEEKDAY(A427,3))</f>
        <v>46167</v>
      </c>
      <c r="C427" s="32" t="n">
        <f aca="false">IF(OR('Raw Orders'!C424&lt;&gt;"Product",'Raw Orders'!K424="Cancelled"),0,'Raw Orders'!G424)</f>
        <v>0</v>
      </c>
      <c r="D427" s="31" t="n">
        <f aca="false">IF(AND('Raw Orders'!C424="Product",'Raw Orders'!K424="Fulfilled",COUNTIFS('Raw Orders'!$A$2:$A424,'Raw Orders'!A424,'Raw Orders'!$C$2:$C424,"Product",'Raw Orders'!$K$2:$K424,"Fulfilled")=1),1,0)</f>
        <v>0</v>
      </c>
      <c r="E427" s="31" t="n">
        <f aca="false">IF(AND('Raw Orders'!C424="Product",'Raw Orders'!K424="Fulfilled"),'Raw Orders'!E424,0)</f>
        <v>0</v>
      </c>
      <c r="F427" s="32" t="n">
        <f aca="false">IF('Raw Orders'!K424="Refunded",'Raw Orders'!G424,0)</f>
        <v>0</v>
      </c>
    </row>
    <row r="428" customFormat="false" ht="15" hidden="false" customHeight="false" outlineLevel="0" collapsed="false">
      <c r="A428" s="36" t="n">
        <f aca="false">IF('Raw Orders'!B425="","",IF(MID('Raw Orders'!B425,5,1)="-",DATE(VALUE(LEFT('Raw Orders'!B425,4)),VALUE(MID('Raw Orders'!B425,6,2)),VALUE(MID('Raw Orders'!B425,9,2))),DATE(VALUE(MID('Raw Orders'!B425,7,4)),VALUE(MID('Raw Orders'!B425,4,2)),VALUE(LEFT('Raw Orders'!B425,2)))))</f>
        <v>46171</v>
      </c>
      <c r="B428" s="36" t="n">
        <f aca="false">IF(A428="","",A428-WEEKDAY(A428,3))</f>
        <v>46167</v>
      </c>
      <c r="C428" s="32" t="n">
        <f aca="false">IF(OR('Raw Orders'!C425&lt;&gt;"Product",'Raw Orders'!K425="Cancelled"),0,'Raw Orders'!G425)</f>
        <v>22</v>
      </c>
      <c r="D428" s="31" t="n">
        <f aca="false">IF(AND('Raw Orders'!C425="Product",'Raw Orders'!K425="Fulfilled",COUNTIFS('Raw Orders'!$A$2:$A425,'Raw Orders'!A425,'Raw Orders'!$C$2:$C425,"Product",'Raw Orders'!$K$2:$K425,"Fulfilled")=1),1,0)</f>
        <v>1</v>
      </c>
      <c r="E428" s="31" t="n">
        <f aca="false">IF(AND('Raw Orders'!C425="Product",'Raw Orders'!K425="Fulfilled"),'Raw Orders'!E425,0)</f>
        <v>1</v>
      </c>
      <c r="F428" s="32" t="n">
        <f aca="false">IF('Raw Orders'!K425="Refunded",'Raw Orders'!G425,0)</f>
        <v>0</v>
      </c>
    </row>
    <row r="429" customFormat="false" ht="15" hidden="false" customHeight="false" outlineLevel="0" collapsed="false">
      <c r="A429" s="36" t="n">
        <f aca="false">IF('Raw Orders'!B426="","",IF(MID('Raw Orders'!B426,5,1)="-",DATE(VALUE(LEFT('Raw Orders'!B426,4)),VALUE(MID('Raw Orders'!B426,6,2)),VALUE(MID('Raw Orders'!B426,9,2))),DATE(VALUE(MID('Raw Orders'!B426,7,4)),VALUE(MID('Raw Orders'!B426,4,2)),VALUE(LEFT('Raw Orders'!B426,2)))))</f>
        <v>46171</v>
      </c>
      <c r="B429" s="36" t="n">
        <f aca="false">IF(A429="","",A429-WEEKDAY(A429,3))</f>
        <v>46167</v>
      </c>
      <c r="C429" s="32" t="n">
        <f aca="false">IF(OR('Raw Orders'!C426&lt;&gt;"Product",'Raw Orders'!K426="Cancelled"),0,'Raw Orders'!G426)</f>
        <v>69</v>
      </c>
      <c r="D429" s="31" t="n">
        <f aca="false">IF(AND('Raw Orders'!C426="Product",'Raw Orders'!K426="Fulfilled",COUNTIFS('Raw Orders'!$A$2:$A426,'Raw Orders'!A426,'Raw Orders'!$C$2:$C426,"Product",'Raw Orders'!$K$2:$K426,"Fulfilled")=1),1,0)</f>
        <v>1</v>
      </c>
      <c r="E429" s="31" t="n">
        <f aca="false">IF(AND('Raw Orders'!C426="Product",'Raw Orders'!K426="Fulfilled"),'Raw Orders'!E426,0)</f>
        <v>1</v>
      </c>
      <c r="F429" s="32" t="n">
        <f aca="false">IF('Raw Orders'!K426="Refunded",'Raw Orders'!G426,0)</f>
        <v>0</v>
      </c>
    </row>
    <row r="430" customFormat="false" ht="15" hidden="false" customHeight="false" outlineLevel="0" collapsed="false">
      <c r="A430" s="36" t="n">
        <f aca="false">IF('Raw Orders'!B427="","",IF(MID('Raw Orders'!B427,5,1)="-",DATE(VALUE(LEFT('Raw Orders'!B427,4)),VALUE(MID('Raw Orders'!B427,6,2)),VALUE(MID('Raw Orders'!B427,9,2))),DATE(VALUE(MID('Raw Orders'!B427,7,4)),VALUE(MID('Raw Orders'!B427,4,2)),VALUE(LEFT('Raw Orders'!B427,2)))))</f>
        <v>46171</v>
      </c>
      <c r="B430" s="36" t="n">
        <f aca="false">IF(A430="","",A430-WEEKDAY(A430,3))</f>
        <v>46167</v>
      </c>
      <c r="C430" s="32" t="n">
        <f aca="false">IF(OR('Raw Orders'!C427&lt;&gt;"Product",'Raw Orders'!K427="Cancelled"),0,'Raw Orders'!G427)</f>
        <v>0</v>
      </c>
      <c r="D430" s="31" t="n">
        <f aca="false">IF(AND('Raw Orders'!C427="Product",'Raw Orders'!K427="Fulfilled",COUNTIFS('Raw Orders'!$A$2:$A427,'Raw Orders'!A427,'Raw Orders'!$C$2:$C427,"Product",'Raw Orders'!$K$2:$K427,"Fulfilled")=1),1,0)</f>
        <v>0</v>
      </c>
      <c r="E430" s="31" t="n">
        <f aca="false">IF(AND('Raw Orders'!C427="Product",'Raw Orders'!K427="Fulfilled"),'Raw Orders'!E427,0)</f>
        <v>0</v>
      </c>
      <c r="F430" s="32" t="n">
        <f aca="false">IF('Raw Orders'!K427="Refunded",'Raw Orders'!G427,0)</f>
        <v>0</v>
      </c>
    </row>
    <row r="431" customFormat="false" ht="15" hidden="false" customHeight="false" outlineLevel="0" collapsed="false">
      <c r="A431" s="36" t="n">
        <f aca="false">IF('Raw Orders'!B428="","",IF(MID('Raw Orders'!B428,5,1)="-",DATE(VALUE(LEFT('Raw Orders'!B428,4)),VALUE(MID('Raw Orders'!B428,6,2)),VALUE(MID('Raw Orders'!B428,9,2))),DATE(VALUE(MID('Raw Orders'!B428,7,4)),VALUE(MID('Raw Orders'!B428,4,2)),VALUE(LEFT('Raw Orders'!B428,2)))))</f>
        <v>46171</v>
      </c>
      <c r="B431" s="36" t="n">
        <f aca="false">IF(A431="","",A431-WEEKDAY(A431,3))</f>
        <v>46167</v>
      </c>
      <c r="C431" s="32" t="n">
        <f aca="false">IF(OR('Raw Orders'!C428&lt;&gt;"Product",'Raw Orders'!K428="Cancelled"),0,'Raw Orders'!G428)</f>
        <v>0</v>
      </c>
      <c r="D431" s="31" t="n">
        <f aca="false">IF(AND('Raw Orders'!C428="Product",'Raw Orders'!K428="Fulfilled",COUNTIFS('Raw Orders'!$A$2:$A428,'Raw Orders'!A428,'Raw Orders'!$C$2:$C428,"Product",'Raw Orders'!$K$2:$K428,"Fulfilled")=1),1,0)</f>
        <v>0</v>
      </c>
      <c r="E431" s="31" t="n">
        <f aca="false">IF(AND('Raw Orders'!C428="Product",'Raw Orders'!K428="Fulfilled"),'Raw Orders'!E428,0)</f>
        <v>0</v>
      </c>
      <c r="F431" s="32" t="n">
        <f aca="false">IF('Raw Orders'!K428="Refunded",'Raw Orders'!G428,0)</f>
        <v>0</v>
      </c>
    </row>
    <row r="432" customFormat="false" ht="15" hidden="false" customHeight="false" outlineLevel="0" collapsed="false">
      <c r="A432" s="36" t="n">
        <f aca="false">IF('Raw Orders'!B429="","",IF(MID('Raw Orders'!B429,5,1)="-",DATE(VALUE(LEFT('Raw Orders'!B429,4)),VALUE(MID('Raw Orders'!B429,6,2)),VALUE(MID('Raw Orders'!B429,9,2))),DATE(VALUE(MID('Raw Orders'!B429,7,4)),VALUE(MID('Raw Orders'!B429,4,2)),VALUE(LEFT('Raw Orders'!B429,2)))))</f>
        <v>46171</v>
      </c>
      <c r="B432" s="36" t="n">
        <f aca="false">IF(A432="","",A432-WEEKDAY(A432,3))</f>
        <v>46167</v>
      </c>
      <c r="C432" s="32" t="n">
        <f aca="false">IF(OR('Raw Orders'!C429&lt;&gt;"Product",'Raw Orders'!K429="Cancelled"),0,'Raw Orders'!G429)</f>
        <v>89</v>
      </c>
      <c r="D432" s="31" t="n">
        <f aca="false">IF(AND('Raw Orders'!C429="Product",'Raw Orders'!K429="Fulfilled",COUNTIFS('Raw Orders'!$A$2:$A429,'Raw Orders'!A429,'Raw Orders'!$C$2:$C429,"Product",'Raw Orders'!$K$2:$K429,"Fulfilled")=1),1,0)</f>
        <v>1</v>
      </c>
      <c r="E432" s="31" t="n">
        <f aca="false">IF(AND('Raw Orders'!C429="Product",'Raw Orders'!K429="Fulfilled"),'Raw Orders'!E429,0)</f>
        <v>1</v>
      </c>
      <c r="F432" s="32" t="n">
        <f aca="false">IF('Raw Orders'!K429="Refunded",'Raw Orders'!G429,0)</f>
        <v>0</v>
      </c>
    </row>
    <row r="433" customFormat="false" ht="15" hidden="false" customHeight="false" outlineLevel="0" collapsed="false">
      <c r="A433" s="36" t="n">
        <f aca="false">IF('Raw Orders'!B430="","",IF(MID('Raw Orders'!B430,5,1)="-",DATE(VALUE(LEFT('Raw Orders'!B430,4)),VALUE(MID('Raw Orders'!B430,6,2)),VALUE(MID('Raw Orders'!B430,9,2))),DATE(VALUE(MID('Raw Orders'!B430,7,4)),VALUE(MID('Raw Orders'!B430,4,2)),VALUE(LEFT('Raw Orders'!B430,2)))))</f>
        <v>46171</v>
      </c>
      <c r="B433" s="36" t="n">
        <f aca="false">IF(A433="","",A433-WEEKDAY(A433,3))</f>
        <v>46167</v>
      </c>
      <c r="C433" s="32" t="n">
        <f aca="false">IF(OR('Raw Orders'!C430&lt;&gt;"Product",'Raw Orders'!K430="Cancelled"),0,'Raw Orders'!G430)</f>
        <v>207</v>
      </c>
      <c r="D433" s="31" t="n">
        <f aca="false">IF(AND('Raw Orders'!C430="Product",'Raw Orders'!K430="Fulfilled",COUNTIFS('Raw Orders'!$A$2:$A430,'Raw Orders'!A430,'Raw Orders'!$C$2:$C430,"Product",'Raw Orders'!$K$2:$K430,"Fulfilled")=1),1,0)</f>
        <v>0</v>
      </c>
      <c r="E433" s="31" t="n">
        <f aca="false">IF(AND('Raw Orders'!C430="Product",'Raw Orders'!K430="Fulfilled"),'Raw Orders'!E430,0)</f>
        <v>3</v>
      </c>
      <c r="F433" s="32" t="n">
        <f aca="false">IF('Raw Orders'!K430="Refunded",'Raw Orders'!G430,0)</f>
        <v>0</v>
      </c>
    </row>
    <row r="434" customFormat="false" ht="15" hidden="false" customHeight="false" outlineLevel="0" collapsed="false">
      <c r="A434" s="36" t="n">
        <f aca="false">IF('Raw Orders'!B431="","",IF(MID('Raw Orders'!B431,5,1)="-",DATE(VALUE(LEFT('Raw Orders'!B431,4)),VALUE(MID('Raw Orders'!B431,6,2)),VALUE(MID('Raw Orders'!B431,9,2))),DATE(VALUE(MID('Raw Orders'!B431,7,4)),VALUE(MID('Raw Orders'!B431,4,2)),VALUE(LEFT('Raw Orders'!B431,2)))))</f>
        <v>46171</v>
      </c>
      <c r="B434" s="36" t="n">
        <f aca="false">IF(A434="","",A434-WEEKDAY(A434,3))</f>
        <v>46167</v>
      </c>
      <c r="C434" s="32" t="n">
        <f aca="false">IF(OR('Raw Orders'!C431&lt;&gt;"Product",'Raw Orders'!K431="Cancelled"),0,'Raw Orders'!G431)</f>
        <v>45</v>
      </c>
      <c r="D434" s="31" t="n">
        <f aca="false">IF(AND('Raw Orders'!C431="Product",'Raw Orders'!K431="Fulfilled",COUNTIFS('Raw Orders'!$A$2:$A431,'Raw Orders'!A431,'Raw Orders'!$C$2:$C431,"Product",'Raw Orders'!$K$2:$K431,"Fulfilled")=1),1,0)</f>
        <v>1</v>
      </c>
      <c r="E434" s="31" t="n">
        <f aca="false">IF(AND('Raw Orders'!C431="Product",'Raw Orders'!K431="Fulfilled"),'Raw Orders'!E431,0)</f>
        <v>1</v>
      </c>
      <c r="F434" s="32" t="n">
        <f aca="false">IF('Raw Orders'!K431="Refunded",'Raw Orders'!G431,0)</f>
        <v>0</v>
      </c>
    </row>
    <row r="435" customFormat="false" ht="15" hidden="false" customHeight="false" outlineLevel="0" collapsed="false">
      <c r="A435" s="36" t="n">
        <f aca="false">IF('Raw Orders'!B432="","",IF(MID('Raw Orders'!B432,5,1)="-",DATE(VALUE(LEFT('Raw Orders'!B432,4)),VALUE(MID('Raw Orders'!B432,6,2)),VALUE(MID('Raw Orders'!B432,9,2))),DATE(VALUE(MID('Raw Orders'!B432,7,4)),VALUE(MID('Raw Orders'!B432,4,2)),VALUE(LEFT('Raw Orders'!B432,2)))))</f>
        <v>46171</v>
      </c>
      <c r="B435" s="36" t="n">
        <f aca="false">IF(A435="","",A435-WEEKDAY(A435,3))</f>
        <v>46167</v>
      </c>
      <c r="C435" s="32" t="n">
        <f aca="false">IF(OR('Raw Orders'!C432&lt;&gt;"Product",'Raw Orders'!K432="Cancelled"),0,'Raw Orders'!G432)</f>
        <v>69</v>
      </c>
      <c r="D435" s="31" t="n">
        <f aca="false">IF(AND('Raw Orders'!C432="Product",'Raw Orders'!K432="Fulfilled",COUNTIFS('Raw Orders'!$A$2:$A432,'Raw Orders'!A432,'Raw Orders'!$C$2:$C432,"Product",'Raw Orders'!$K$2:$K432,"Fulfilled")=1),1,0)</f>
        <v>0</v>
      </c>
      <c r="E435" s="31" t="n">
        <f aca="false">IF(AND('Raw Orders'!C432="Product",'Raw Orders'!K432="Fulfilled"),'Raw Orders'!E432,0)</f>
        <v>1</v>
      </c>
      <c r="F435" s="32" t="n">
        <f aca="false">IF('Raw Orders'!K432="Refunded",'Raw Orders'!G432,0)</f>
        <v>0</v>
      </c>
    </row>
    <row r="436" customFormat="false" ht="15" hidden="false" customHeight="false" outlineLevel="0" collapsed="false">
      <c r="A436" s="36" t="n">
        <f aca="false">IF('Raw Orders'!B433="","",IF(MID('Raw Orders'!B433,5,1)="-",DATE(VALUE(LEFT('Raw Orders'!B433,4)),VALUE(MID('Raw Orders'!B433,6,2)),VALUE(MID('Raw Orders'!B433,9,2))),DATE(VALUE(MID('Raw Orders'!B433,7,4)),VALUE(MID('Raw Orders'!B433,4,2)),VALUE(LEFT('Raw Orders'!B433,2)))))</f>
        <v>46171</v>
      </c>
      <c r="B436" s="36" t="n">
        <f aca="false">IF(A436="","",A436-WEEKDAY(A436,3))</f>
        <v>46167</v>
      </c>
      <c r="C436" s="32" t="n">
        <f aca="false">IF(OR('Raw Orders'!C433&lt;&gt;"Product",'Raw Orders'!K433="Cancelled"),0,'Raw Orders'!G433)</f>
        <v>90</v>
      </c>
      <c r="D436" s="31" t="n">
        <f aca="false">IF(AND('Raw Orders'!C433="Product",'Raw Orders'!K433="Fulfilled",COUNTIFS('Raw Orders'!$A$2:$A433,'Raw Orders'!A433,'Raw Orders'!$C$2:$C433,"Product",'Raw Orders'!$K$2:$K433,"Fulfilled")=1),1,0)</f>
        <v>1</v>
      </c>
      <c r="E436" s="31" t="n">
        <f aca="false">IF(AND('Raw Orders'!C433="Product",'Raw Orders'!K433="Fulfilled"),'Raw Orders'!E433,0)</f>
        <v>2</v>
      </c>
      <c r="F436" s="32" t="n">
        <f aca="false">IF('Raw Orders'!K433="Refunded",'Raw Orders'!G433,0)</f>
        <v>0</v>
      </c>
    </row>
    <row r="437" customFormat="false" ht="15" hidden="false" customHeight="false" outlineLevel="0" collapsed="false">
      <c r="A437" s="36" t="n">
        <f aca="false">IF('Raw Orders'!B434="","",IF(MID('Raw Orders'!B434,5,1)="-",DATE(VALUE(LEFT('Raw Orders'!B434,4)),VALUE(MID('Raw Orders'!B434,6,2)),VALUE(MID('Raw Orders'!B434,9,2))),DATE(VALUE(MID('Raw Orders'!B434,7,4)),VALUE(MID('Raw Orders'!B434,4,2)),VALUE(LEFT('Raw Orders'!B434,2)))))</f>
        <v>46171</v>
      </c>
      <c r="B437" s="36" t="n">
        <f aca="false">IF(A437="","",A437-WEEKDAY(A437,3))</f>
        <v>46167</v>
      </c>
      <c r="C437" s="32" t="n">
        <f aca="false">IF(OR('Raw Orders'!C434&lt;&gt;"Product",'Raw Orders'!K434="Cancelled"),0,'Raw Orders'!G434)</f>
        <v>0</v>
      </c>
      <c r="D437" s="31" t="n">
        <f aca="false">IF(AND('Raw Orders'!C434="Product",'Raw Orders'!K434="Fulfilled",COUNTIFS('Raw Orders'!$A$2:$A434,'Raw Orders'!A434,'Raw Orders'!$C$2:$C434,"Product",'Raw Orders'!$K$2:$K434,"Fulfilled")=1),1,0)</f>
        <v>0</v>
      </c>
      <c r="E437" s="31" t="n">
        <f aca="false">IF(AND('Raw Orders'!C434="Product",'Raw Orders'!K434="Fulfilled"),'Raw Orders'!E434,0)</f>
        <v>0</v>
      </c>
      <c r="F437" s="32" t="n">
        <f aca="false">IF('Raw Orders'!K434="Refunded",'Raw Orders'!G434,0)</f>
        <v>0</v>
      </c>
    </row>
    <row r="438" customFormat="false" ht="15" hidden="false" customHeight="false" outlineLevel="0" collapsed="false">
      <c r="A438" s="36" t="n">
        <f aca="false">IF('Raw Orders'!B435="","",IF(MID('Raw Orders'!B435,5,1)="-",DATE(VALUE(LEFT('Raw Orders'!B435,4)),VALUE(MID('Raw Orders'!B435,6,2)),VALUE(MID('Raw Orders'!B435,9,2))),DATE(VALUE(MID('Raw Orders'!B435,7,4)),VALUE(MID('Raw Orders'!B435,4,2)),VALUE(LEFT('Raw Orders'!B435,2)))))</f>
        <v>46171</v>
      </c>
      <c r="B438" s="36" t="n">
        <f aca="false">IF(A438="","",A438-WEEKDAY(A438,3))</f>
        <v>46167</v>
      </c>
      <c r="C438" s="32" t="n">
        <f aca="false">IF(OR('Raw Orders'!C435&lt;&gt;"Product",'Raw Orders'!K435="Cancelled"),0,'Raw Orders'!G435)</f>
        <v>0</v>
      </c>
      <c r="D438" s="31" t="n">
        <f aca="false">IF(AND('Raw Orders'!C435="Product",'Raw Orders'!K435="Fulfilled",COUNTIFS('Raw Orders'!$A$2:$A435,'Raw Orders'!A435,'Raw Orders'!$C$2:$C435,"Product",'Raw Orders'!$K$2:$K435,"Fulfilled")=1),1,0)</f>
        <v>0</v>
      </c>
      <c r="E438" s="31" t="n">
        <f aca="false">IF(AND('Raw Orders'!C435="Product",'Raw Orders'!K435="Fulfilled"),'Raw Orders'!E435,0)</f>
        <v>0</v>
      </c>
      <c r="F438" s="32" t="n">
        <f aca="false">IF('Raw Orders'!K435="Refunded",'Raw Orders'!G435,0)</f>
        <v>0</v>
      </c>
    </row>
    <row r="439" customFormat="false" ht="15" hidden="false" customHeight="false" outlineLevel="0" collapsed="false">
      <c r="A439" s="36" t="n">
        <f aca="false">IF('Raw Orders'!B436="","",IF(MID('Raw Orders'!B436,5,1)="-",DATE(VALUE(LEFT('Raw Orders'!B436,4)),VALUE(MID('Raw Orders'!B436,6,2)),VALUE(MID('Raw Orders'!B436,9,2))),DATE(VALUE(MID('Raw Orders'!B436,7,4)),VALUE(MID('Raw Orders'!B436,4,2)),VALUE(LEFT('Raw Orders'!B436,2)))))</f>
        <v>46171</v>
      </c>
      <c r="B439" s="36" t="n">
        <f aca="false">IF(A439="","",A439-WEEKDAY(A439,3))</f>
        <v>46167</v>
      </c>
      <c r="C439" s="32" t="n">
        <f aca="false">IF(OR('Raw Orders'!C436&lt;&gt;"Product",'Raw Orders'!K436="Cancelled"),0,'Raw Orders'!G436)</f>
        <v>78</v>
      </c>
      <c r="D439" s="31" t="n">
        <f aca="false">IF(AND('Raw Orders'!C436="Product",'Raw Orders'!K436="Fulfilled",COUNTIFS('Raw Orders'!$A$2:$A436,'Raw Orders'!A436,'Raw Orders'!$C$2:$C436,"Product",'Raw Orders'!$K$2:$K436,"Fulfilled")=1),1,0)</f>
        <v>1</v>
      </c>
      <c r="E439" s="31" t="n">
        <f aca="false">IF(AND('Raw Orders'!C436="Product",'Raw Orders'!K436="Fulfilled"),'Raw Orders'!E436,0)</f>
        <v>2</v>
      </c>
      <c r="F439" s="32" t="n">
        <f aca="false">IF('Raw Orders'!K436="Refunded",'Raw Orders'!G436,0)</f>
        <v>0</v>
      </c>
    </row>
    <row r="440" customFormat="false" ht="15" hidden="false" customHeight="false" outlineLevel="0" collapsed="false">
      <c r="A440" s="36" t="n">
        <f aca="false">IF('Raw Orders'!B437="","",IF(MID('Raw Orders'!B437,5,1)="-",DATE(VALUE(LEFT('Raw Orders'!B437,4)),VALUE(MID('Raw Orders'!B437,6,2)),VALUE(MID('Raw Orders'!B437,9,2))),DATE(VALUE(MID('Raw Orders'!B437,7,4)),VALUE(MID('Raw Orders'!B437,4,2)),VALUE(LEFT('Raw Orders'!B437,2)))))</f>
        <v>46171</v>
      </c>
      <c r="B440" s="36" t="n">
        <f aca="false">IF(A440="","",A440-WEEKDAY(A440,3))</f>
        <v>46167</v>
      </c>
      <c r="C440" s="32" t="n">
        <f aca="false">IF(OR('Raw Orders'!C437&lt;&gt;"Product",'Raw Orders'!K437="Cancelled"),0,'Raw Orders'!G437)</f>
        <v>29</v>
      </c>
      <c r="D440" s="31" t="n">
        <f aca="false">IF(AND('Raw Orders'!C437="Product",'Raw Orders'!K437="Fulfilled",COUNTIFS('Raw Orders'!$A$2:$A437,'Raw Orders'!A437,'Raw Orders'!$C$2:$C437,"Product",'Raw Orders'!$K$2:$K437,"Fulfilled")=1),1,0)</f>
        <v>0</v>
      </c>
      <c r="E440" s="31" t="n">
        <f aca="false">IF(AND('Raw Orders'!C437="Product",'Raw Orders'!K437="Fulfilled"),'Raw Orders'!E437,0)</f>
        <v>1</v>
      </c>
      <c r="F440" s="32" t="n">
        <f aca="false">IF('Raw Orders'!K437="Refunded",'Raw Orders'!G437,0)</f>
        <v>0</v>
      </c>
    </row>
    <row r="441" customFormat="false" ht="15" hidden="false" customHeight="false" outlineLevel="0" collapsed="false">
      <c r="A441" s="36" t="n">
        <f aca="false">IF('Raw Orders'!B438="","",IF(MID('Raw Orders'!B438,5,1)="-",DATE(VALUE(LEFT('Raw Orders'!B438,4)),VALUE(MID('Raw Orders'!B438,6,2)),VALUE(MID('Raw Orders'!B438,9,2))),DATE(VALUE(MID('Raw Orders'!B438,7,4)),VALUE(MID('Raw Orders'!B438,4,2)),VALUE(LEFT('Raw Orders'!B438,2)))))</f>
        <v>46171</v>
      </c>
      <c r="B441" s="36" t="n">
        <f aca="false">IF(A441="","",A441-WEEKDAY(A441,3))</f>
        <v>46167</v>
      </c>
      <c r="C441" s="32" t="n">
        <f aca="false">IF(OR('Raw Orders'!C438&lt;&gt;"Product",'Raw Orders'!K438="Cancelled"),0,'Raw Orders'!G438)</f>
        <v>0</v>
      </c>
      <c r="D441" s="31" t="n">
        <f aca="false">IF(AND('Raw Orders'!C438="Product",'Raw Orders'!K438="Fulfilled",COUNTIFS('Raw Orders'!$A$2:$A438,'Raw Orders'!A438,'Raw Orders'!$C$2:$C438,"Product",'Raw Orders'!$K$2:$K438,"Fulfilled")=1),1,0)</f>
        <v>0</v>
      </c>
      <c r="E441" s="31" t="n">
        <f aca="false">IF(AND('Raw Orders'!C438="Product",'Raw Orders'!K438="Fulfilled"),'Raw Orders'!E438,0)</f>
        <v>0</v>
      </c>
      <c r="F441" s="32" t="n">
        <f aca="false">IF('Raw Orders'!K438="Refunded",'Raw Orders'!G438,0)</f>
        <v>0</v>
      </c>
    </row>
    <row r="442" customFormat="false" ht="15" hidden="false" customHeight="false" outlineLevel="0" collapsed="false">
      <c r="A442" s="36" t="n">
        <f aca="false">IF('Raw Orders'!B439="","",IF(MID('Raw Orders'!B439,5,1)="-",DATE(VALUE(LEFT('Raw Orders'!B439,4)),VALUE(MID('Raw Orders'!B439,6,2)),VALUE(MID('Raw Orders'!B439,9,2))),DATE(VALUE(MID('Raw Orders'!B439,7,4)),VALUE(MID('Raw Orders'!B439,4,2)),VALUE(LEFT('Raw Orders'!B439,2)))))</f>
        <v>46171</v>
      </c>
      <c r="B442" s="36" t="n">
        <f aca="false">IF(A442="","",A442-WEEKDAY(A442,3))</f>
        <v>46167</v>
      </c>
      <c r="C442" s="32" t="n">
        <f aca="false">IF(OR('Raw Orders'!C439&lt;&gt;"Product",'Raw Orders'!K439="Cancelled"),0,'Raw Orders'!G439)</f>
        <v>89</v>
      </c>
      <c r="D442" s="31" t="n">
        <f aca="false">IF(AND('Raw Orders'!C439="Product",'Raw Orders'!K439="Fulfilled",COUNTIFS('Raw Orders'!$A$2:$A439,'Raw Orders'!A439,'Raw Orders'!$C$2:$C439,"Product",'Raw Orders'!$K$2:$K439,"Fulfilled")=1),1,0)</f>
        <v>1</v>
      </c>
      <c r="E442" s="31" t="n">
        <f aca="false">IF(AND('Raw Orders'!C439="Product",'Raw Orders'!K439="Fulfilled"),'Raw Orders'!E439,0)</f>
        <v>1</v>
      </c>
      <c r="F442" s="32" t="n">
        <f aca="false">IF('Raw Orders'!K439="Refunded",'Raw Orders'!G439,0)</f>
        <v>0</v>
      </c>
    </row>
    <row r="443" customFormat="false" ht="15" hidden="false" customHeight="false" outlineLevel="0" collapsed="false">
      <c r="A443" s="36" t="n">
        <f aca="false">IF('Raw Orders'!B440="","",IF(MID('Raw Orders'!B440,5,1)="-",DATE(VALUE(LEFT('Raw Orders'!B440,4)),VALUE(MID('Raw Orders'!B440,6,2)),VALUE(MID('Raw Orders'!B440,9,2))),DATE(VALUE(MID('Raw Orders'!B440,7,4)),VALUE(MID('Raw Orders'!B440,4,2)),VALUE(LEFT('Raw Orders'!B440,2)))))</f>
        <v>46171</v>
      </c>
      <c r="B443" s="36" t="n">
        <f aca="false">IF(A443="","",A443-WEEKDAY(A443,3))</f>
        <v>46167</v>
      </c>
      <c r="C443" s="32" t="n">
        <f aca="false">IF(OR('Raw Orders'!C440&lt;&gt;"Product",'Raw Orders'!K440="Cancelled"),0,'Raw Orders'!G440)</f>
        <v>138</v>
      </c>
      <c r="D443" s="31" t="n">
        <f aca="false">IF(AND('Raw Orders'!C440="Product",'Raw Orders'!K440="Fulfilled",COUNTIFS('Raw Orders'!$A$2:$A440,'Raw Orders'!A440,'Raw Orders'!$C$2:$C440,"Product",'Raw Orders'!$K$2:$K440,"Fulfilled")=1),1,0)</f>
        <v>0</v>
      </c>
      <c r="E443" s="31" t="n">
        <f aca="false">IF(AND('Raw Orders'!C440="Product",'Raw Orders'!K440="Fulfilled"),'Raw Orders'!E440,0)</f>
        <v>2</v>
      </c>
      <c r="F443" s="32" t="n">
        <f aca="false">IF('Raw Orders'!K440="Refunded",'Raw Orders'!G440,0)</f>
        <v>0</v>
      </c>
    </row>
    <row r="444" customFormat="false" ht="15" hidden="false" customHeight="false" outlineLevel="0" collapsed="false">
      <c r="A444" s="36" t="n">
        <f aca="false">IF('Raw Orders'!B441="","",IF(MID('Raw Orders'!B441,5,1)="-",DATE(VALUE(LEFT('Raw Orders'!B441,4)),VALUE(MID('Raw Orders'!B441,6,2)),VALUE(MID('Raw Orders'!B441,9,2))),DATE(VALUE(MID('Raw Orders'!B441,7,4)),VALUE(MID('Raw Orders'!B441,4,2)),VALUE(LEFT('Raw Orders'!B441,2)))))</f>
        <v>46171</v>
      </c>
      <c r="B444" s="36" t="n">
        <f aca="false">IF(A444="","",A444-WEEKDAY(A444,3))</f>
        <v>46167</v>
      </c>
      <c r="C444" s="32" t="n">
        <f aca="false">IF(OR('Raw Orders'!C441&lt;&gt;"Product",'Raw Orders'!K441="Cancelled"),0,'Raw Orders'!G441)</f>
        <v>89</v>
      </c>
      <c r="D444" s="31" t="n">
        <f aca="false">IF(AND('Raw Orders'!C441="Product",'Raw Orders'!K441="Fulfilled",COUNTIFS('Raw Orders'!$A$2:$A441,'Raw Orders'!A441,'Raw Orders'!$C$2:$C441,"Product",'Raw Orders'!$K$2:$K441,"Fulfilled")=1),1,0)</f>
        <v>1</v>
      </c>
      <c r="E444" s="31" t="n">
        <f aca="false">IF(AND('Raw Orders'!C441="Product",'Raw Orders'!K441="Fulfilled"),'Raw Orders'!E441,0)</f>
        <v>1</v>
      </c>
      <c r="F444" s="32" t="n">
        <f aca="false">IF('Raw Orders'!K441="Refunded",'Raw Orders'!G441,0)</f>
        <v>0</v>
      </c>
    </row>
    <row r="445" customFormat="false" ht="15" hidden="false" customHeight="false" outlineLevel="0" collapsed="false">
      <c r="A445" s="36" t="n">
        <f aca="false">IF('Raw Orders'!B442="","",IF(MID('Raw Orders'!B442,5,1)="-",DATE(VALUE(LEFT('Raw Orders'!B442,4)),VALUE(MID('Raw Orders'!B442,6,2)),VALUE(MID('Raw Orders'!B442,9,2))),DATE(VALUE(MID('Raw Orders'!B442,7,4)),VALUE(MID('Raw Orders'!B442,4,2)),VALUE(LEFT('Raw Orders'!B442,2)))))</f>
        <v>46171</v>
      </c>
      <c r="B445" s="36" t="n">
        <f aca="false">IF(A445="","",A445-WEEKDAY(A445,3))</f>
        <v>46167</v>
      </c>
      <c r="C445" s="32" t="n">
        <f aca="false">IF(OR('Raw Orders'!C442&lt;&gt;"Product",'Raw Orders'!K442="Cancelled"),0,'Raw Orders'!G442)</f>
        <v>0</v>
      </c>
      <c r="D445" s="31" t="n">
        <f aca="false">IF(AND('Raw Orders'!C442="Product",'Raw Orders'!K442="Fulfilled",COUNTIFS('Raw Orders'!$A$2:$A442,'Raw Orders'!A442,'Raw Orders'!$C$2:$C442,"Product",'Raw Orders'!$K$2:$K442,"Fulfilled")=1),1,0)</f>
        <v>0</v>
      </c>
      <c r="E445" s="31" t="n">
        <f aca="false">IF(AND('Raw Orders'!C442="Product",'Raw Orders'!K442="Fulfilled"),'Raw Orders'!E442,0)</f>
        <v>0</v>
      </c>
      <c r="F445" s="32" t="n">
        <f aca="false">IF('Raw Orders'!K442="Refunded",'Raw Orders'!G442,0)</f>
        <v>0</v>
      </c>
    </row>
    <row r="446" customFormat="false" ht="15" hidden="false" customHeight="false" outlineLevel="0" collapsed="false">
      <c r="A446" s="36" t="n">
        <f aca="false">IF('Raw Orders'!B443="","",IF(MID('Raw Orders'!B443,5,1)="-",DATE(VALUE(LEFT('Raw Orders'!B443,4)),VALUE(MID('Raw Orders'!B443,6,2)),VALUE(MID('Raw Orders'!B443,9,2))),DATE(VALUE(MID('Raw Orders'!B443,7,4)),VALUE(MID('Raw Orders'!B443,4,2)),VALUE(LEFT('Raw Orders'!B443,2)))))</f>
        <v>46171</v>
      </c>
      <c r="B446" s="36" t="n">
        <f aca="false">IF(A446="","",A446-WEEKDAY(A446,3))</f>
        <v>46167</v>
      </c>
      <c r="C446" s="32" t="n">
        <f aca="false">IF(OR('Raw Orders'!C443&lt;&gt;"Product",'Raw Orders'!K443="Cancelled"),0,'Raw Orders'!G443)</f>
        <v>89</v>
      </c>
      <c r="D446" s="31" t="n">
        <f aca="false">IF(AND('Raw Orders'!C443="Product",'Raw Orders'!K443="Fulfilled",COUNTIFS('Raw Orders'!$A$2:$A443,'Raw Orders'!A443,'Raw Orders'!$C$2:$C443,"Product",'Raw Orders'!$K$2:$K443,"Fulfilled")=1),1,0)</f>
        <v>1</v>
      </c>
      <c r="E446" s="31" t="n">
        <f aca="false">IF(AND('Raw Orders'!C443="Product",'Raw Orders'!K443="Fulfilled"),'Raw Orders'!E443,0)</f>
        <v>1</v>
      </c>
      <c r="F446" s="32" t="n">
        <f aca="false">IF('Raw Orders'!K443="Refunded",'Raw Orders'!G443,0)</f>
        <v>0</v>
      </c>
    </row>
    <row r="447" customFormat="false" ht="15" hidden="false" customHeight="false" outlineLevel="0" collapsed="false">
      <c r="A447" s="36" t="n">
        <f aca="false">IF('Raw Orders'!B444="","",IF(MID('Raw Orders'!B444,5,1)="-",DATE(VALUE(LEFT('Raw Orders'!B444,4)),VALUE(MID('Raw Orders'!B444,6,2)),VALUE(MID('Raw Orders'!B444,9,2))),DATE(VALUE(MID('Raw Orders'!B444,7,4)),VALUE(MID('Raw Orders'!B444,4,2)),VALUE(LEFT('Raw Orders'!B444,2)))))</f>
        <v>46171</v>
      </c>
      <c r="B447" s="36" t="n">
        <f aca="false">IF(A447="","",A447-WEEKDAY(A447,3))</f>
        <v>46167</v>
      </c>
      <c r="C447" s="32" t="n">
        <f aca="false">IF(OR('Raw Orders'!C444&lt;&gt;"Product",'Raw Orders'!K444="Cancelled"),0,'Raw Orders'!G444)</f>
        <v>12.6</v>
      </c>
      <c r="D447" s="31" t="n">
        <f aca="false">IF(AND('Raw Orders'!C444="Product",'Raw Orders'!K444="Fulfilled",COUNTIFS('Raw Orders'!$A$2:$A444,'Raw Orders'!A444,'Raw Orders'!$C$2:$C444,"Product",'Raw Orders'!$K$2:$K444,"Fulfilled")=1),1,0)</f>
        <v>0</v>
      </c>
      <c r="E447" s="31" t="n">
        <f aca="false">IF(AND('Raw Orders'!C444="Product",'Raw Orders'!K444="Fulfilled"),'Raw Orders'!E444,0)</f>
        <v>1</v>
      </c>
      <c r="F447" s="32" t="n">
        <f aca="false">IF('Raw Orders'!K444="Refunded",'Raw Orders'!G444,0)</f>
        <v>0</v>
      </c>
    </row>
    <row r="448" customFormat="false" ht="15" hidden="false" customHeight="false" outlineLevel="0" collapsed="false">
      <c r="A448" s="36" t="n">
        <f aca="false">IF('Raw Orders'!B445="","",IF(MID('Raw Orders'!B445,5,1)="-",DATE(VALUE(LEFT('Raw Orders'!B445,4)),VALUE(MID('Raw Orders'!B445,6,2)),VALUE(MID('Raw Orders'!B445,9,2))),DATE(VALUE(MID('Raw Orders'!B445,7,4)),VALUE(MID('Raw Orders'!B445,4,2)),VALUE(LEFT('Raw Orders'!B445,2)))))</f>
        <v>46171</v>
      </c>
      <c r="B448" s="36" t="n">
        <f aca="false">IF(A448="","",A448-WEEKDAY(A448,3))</f>
        <v>46167</v>
      </c>
      <c r="C448" s="32" t="n">
        <f aca="false">IF(OR('Raw Orders'!C445&lt;&gt;"Product",'Raw Orders'!K445="Cancelled"),0,'Raw Orders'!G445)</f>
        <v>0</v>
      </c>
      <c r="D448" s="31" t="n">
        <f aca="false">IF(AND('Raw Orders'!C445="Product",'Raw Orders'!K445="Fulfilled",COUNTIFS('Raw Orders'!$A$2:$A445,'Raw Orders'!A445,'Raw Orders'!$C$2:$C445,"Product",'Raw Orders'!$K$2:$K445,"Fulfilled")=1),1,0)</f>
        <v>0</v>
      </c>
      <c r="E448" s="31" t="n">
        <f aca="false">IF(AND('Raw Orders'!C445="Product",'Raw Orders'!K445="Fulfilled"),'Raw Orders'!E445,0)</f>
        <v>0</v>
      </c>
      <c r="F448" s="32" t="n">
        <f aca="false">IF('Raw Orders'!K445="Refunded",'Raw Orders'!G445,0)</f>
        <v>0</v>
      </c>
    </row>
    <row r="449" customFormat="false" ht="15" hidden="false" customHeight="false" outlineLevel="0" collapsed="false">
      <c r="A449" s="36" t="n">
        <f aca="false">IF('Raw Orders'!B446="","",IF(MID('Raw Orders'!B446,5,1)="-",DATE(VALUE(LEFT('Raw Orders'!B446,4)),VALUE(MID('Raw Orders'!B446,6,2)),VALUE(MID('Raw Orders'!B446,9,2))),DATE(VALUE(MID('Raw Orders'!B446,7,4)),VALUE(MID('Raw Orders'!B446,4,2)),VALUE(LEFT('Raw Orders'!B446,2)))))</f>
        <v>46171</v>
      </c>
      <c r="B449" s="36" t="n">
        <f aca="false">IF(A449="","",A449-WEEKDAY(A449,3))</f>
        <v>46167</v>
      </c>
      <c r="C449" s="32" t="n">
        <f aca="false">IF(OR('Raw Orders'!C446&lt;&gt;"Product",'Raw Orders'!K446="Cancelled"),0,'Raw Orders'!G446)</f>
        <v>69</v>
      </c>
      <c r="D449" s="31" t="n">
        <f aca="false">IF(AND('Raw Orders'!C446="Product",'Raw Orders'!K446="Fulfilled",COUNTIFS('Raw Orders'!$A$2:$A446,'Raw Orders'!A446,'Raw Orders'!$C$2:$C446,"Product",'Raw Orders'!$K$2:$K446,"Fulfilled")=1),1,0)</f>
        <v>1</v>
      </c>
      <c r="E449" s="31" t="n">
        <f aca="false">IF(AND('Raw Orders'!C446="Product",'Raw Orders'!K446="Fulfilled"),'Raw Orders'!E446,0)</f>
        <v>1</v>
      </c>
      <c r="F449" s="32" t="n">
        <f aca="false">IF('Raw Orders'!K446="Refunded",'Raw Orders'!G446,0)</f>
        <v>0</v>
      </c>
    </row>
    <row r="450" customFormat="false" ht="15" hidden="false" customHeight="false" outlineLevel="0" collapsed="false">
      <c r="A450" s="36" t="n">
        <f aca="false">IF('Raw Orders'!B447="","",IF(MID('Raw Orders'!B447,5,1)="-",DATE(VALUE(LEFT('Raw Orders'!B447,4)),VALUE(MID('Raw Orders'!B447,6,2)),VALUE(MID('Raw Orders'!B447,9,2))),DATE(VALUE(MID('Raw Orders'!B447,7,4)),VALUE(MID('Raw Orders'!B447,4,2)),VALUE(LEFT('Raw Orders'!B447,2)))))</f>
        <v>46171</v>
      </c>
      <c r="B450" s="36" t="n">
        <f aca="false">IF(A450="","",A450-WEEKDAY(A450,3))</f>
        <v>46167</v>
      </c>
      <c r="C450" s="32" t="n">
        <f aca="false">IF(OR('Raw Orders'!C447&lt;&gt;"Product",'Raw Orders'!K447="Cancelled"),0,'Raw Orders'!G447)</f>
        <v>0</v>
      </c>
      <c r="D450" s="31" t="n">
        <f aca="false">IF(AND('Raw Orders'!C447="Product",'Raw Orders'!K447="Fulfilled",COUNTIFS('Raw Orders'!$A$2:$A447,'Raw Orders'!A447,'Raw Orders'!$C$2:$C447,"Product",'Raw Orders'!$K$2:$K447,"Fulfilled")=1),1,0)</f>
        <v>0</v>
      </c>
      <c r="E450" s="31" t="n">
        <f aca="false">IF(AND('Raw Orders'!C447="Product",'Raw Orders'!K447="Fulfilled"),'Raw Orders'!E447,0)</f>
        <v>0</v>
      </c>
      <c r="F450" s="32" t="n">
        <f aca="false">IF('Raw Orders'!K447="Refunded",'Raw Orders'!G447,0)</f>
        <v>0</v>
      </c>
    </row>
    <row r="451" customFormat="false" ht="15" hidden="false" customHeight="false" outlineLevel="0" collapsed="false">
      <c r="A451" s="36" t="n">
        <f aca="false">IF('Raw Orders'!B448="","",IF(MID('Raw Orders'!B448,5,1)="-",DATE(VALUE(LEFT('Raw Orders'!B448,4)),VALUE(MID('Raw Orders'!B448,6,2)),VALUE(MID('Raw Orders'!B448,9,2))),DATE(VALUE(MID('Raw Orders'!B448,7,4)),VALUE(MID('Raw Orders'!B448,4,2)),VALUE(LEFT('Raw Orders'!B448,2)))))</f>
        <v>46171</v>
      </c>
      <c r="B451" s="36" t="n">
        <f aca="false">IF(A451="","",A451-WEEKDAY(A451,3))</f>
        <v>46167</v>
      </c>
      <c r="C451" s="32" t="n">
        <f aca="false">IF(OR('Raw Orders'!C448&lt;&gt;"Product",'Raw Orders'!K448="Cancelled"),0,'Raw Orders'!G448)</f>
        <v>44</v>
      </c>
      <c r="D451" s="31" t="n">
        <f aca="false">IF(AND('Raw Orders'!C448="Product",'Raw Orders'!K448="Fulfilled",COUNTIFS('Raw Orders'!$A$2:$A448,'Raw Orders'!A448,'Raw Orders'!$C$2:$C448,"Product",'Raw Orders'!$K$2:$K448,"Fulfilled")=1),1,0)</f>
        <v>1</v>
      </c>
      <c r="E451" s="31" t="n">
        <f aca="false">IF(AND('Raw Orders'!C448="Product",'Raw Orders'!K448="Fulfilled"),'Raw Orders'!E448,0)</f>
        <v>2</v>
      </c>
      <c r="F451" s="32" t="n">
        <f aca="false">IF('Raw Orders'!K448="Refunded",'Raw Orders'!G448,0)</f>
        <v>0</v>
      </c>
    </row>
    <row r="452" customFormat="false" ht="15" hidden="false" customHeight="false" outlineLevel="0" collapsed="false">
      <c r="A452" s="36" t="n">
        <f aca="false">IF('Raw Orders'!B449="","",IF(MID('Raw Orders'!B449,5,1)="-",DATE(VALUE(LEFT('Raw Orders'!B449,4)),VALUE(MID('Raw Orders'!B449,6,2)),VALUE(MID('Raw Orders'!B449,9,2))),DATE(VALUE(MID('Raw Orders'!B449,7,4)),VALUE(MID('Raw Orders'!B449,4,2)),VALUE(LEFT('Raw Orders'!B449,2)))))</f>
        <v>46171</v>
      </c>
      <c r="B452" s="36" t="n">
        <f aca="false">IF(A452="","",A452-WEEKDAY(A452,3))</f>
        <v>46167</v>
      </c>
      <c r="C452" s="32" t="n">
        <f aca="false">IF(OR('Raw Orders'!C449&lt;&gt;"Product",'Raw Orders'!K449="Cancelled"),0,'Raw Orders'!G449)</f>
        <v>35</v>
      </c>
      <c r="D452" s="31" t="n">
        <f aca="false">IF(AND('Raw Orders'!C449="Product",'Raw Orders'!K449="Fulfilled",COUNTIFS('Raw Orders'!$A$2:$A449,'Raw Orders'!A449,'Raw Orders'!$C$2:$C449,"Product",'Raw Orders'!$K$2:$K449,"Fulfilled")=1),1,0)</f>
        <v>0</v>
      </c>
      <c r="E452" s="31" t="n">
        <f aca="false">IF(AND('Raw Orders'!C449="Product",'Raw Orders'!K449="Fulfilled"),'Raw Orders'!E449,0)</f>
        <v>1</v>
      </c>
      <c r="F452" s="32" t="n">
        <f aca="false">IF('Raw Orders'!K449="Refunded",'Raw Orders'!G449,0)</f>
        <v>0</v>
      </c>
    </row>
    <row r="453" customFormat="false" ht="15" hidden="false" customHeight="false" outlineLevel="0" collapsed="false">
      <c r="A453" s="36" t="n">
        <f aca="false">IF('Raw Orders'!B450="","",IF(MID('Raw Orders'!B450,5,1)="-",DATE(VALUE(LEFT('Raw Orders'!B450,4)),VALUE(MID('Raw Orders'!B450,6,2)),VALUE(MID('Raw Orders'!B450,9,2))),DATE(VALUE(MID('Raw Orders'!B450,7,4)),VALUE(MID('Raw Orders'!B450,4,2)),VALUE(LEFT('Raw Orders'!B450,2)))))</f>
        <v>46171</v>
      </c>
      <c r="B453" s="36" t="n">
        <f aca="false">IF(A453="","",A453-WEEKDAY(A453,3))</f>
        <v>46167</v>
      </c>
      <c r="C453" s="32" t="n">
        <f aca="false">IF(OR('Raw Orders'!C450&lt;&gt;"Product",'Raw Orders'!K450="Cancelled"),0,'Raw Orders'!G450)</f>
        <v>-45</v>
      </c>
      <c r="D453" s="31" t="n">
        <f aca="false">IF(AND('Raw Orders'!C450="Product",'Raw Orders'!K450="Fulfilled",COUNTIFS('Raw Orders'!$A$2:$A450,'Raw Orders'!A450,'Raw Orders'!$C$2:$C450,"Product",'Raw Orders'!$K$2:$K450,"Fulfilled")=1),1,0)</f>
        <v>0</v>
      </c>
      <c r="E453" s="31" t="n">
        <f aca="false">IF(AND('Raw Orders'!C450="Product",'Raw Orders'!K450="Fulfilled"),'Raw Orders'!E450,0)</f>
        <v>0</v>
      </c>
      <c r="F453" s="32" t="n">
        <f aca="false">IF('Raw Orders'!K450="Refunded",'Raw Orders'!G450,0)</f>
        <v>-45</v>
      </c>
    </row>
    <row r="454" customFormat="false" ht="15" hidden="false" customHeight="false" outlineLevel="0" collapsed="false">
      <c r="A454" s="36" t="n">
        <f aca="false">IF('Raw Orders'!B451="","",IF(MID('Raw Orders'!B451,5,1)="-",DATE(VALUE(LEFT('Raw Orders'!B451,4)),VALUE(MID('Raw Orders'!B451,6,2)),VALUE(MID('Raw Orders'!B451,9,2))),DATE(VALUE(MID('Raw Orders'!B451,7,4)),VALUE(MID('Raw Orders'!B451,4,2)),VALUE(LEFT('Raw Orders'!B451,2)))))</f>
        <v>46172</v>
      </c>
      <c r="B454" s="36" t="n">
        <f aca="false">IF(A454="","",A454-WEEKDAY(A454,3))</f>
        <v>46167</v>
      </c>
      <c r="C454" s="32" t="n">
        <f aca="false">IF(OR('Raw Orders'!C451&lt;&gt;"Product",'Raw Orders'!K451="Cancelled"),0,'Raw Orders'!G451)</f>
        <v>22</v>
      </c>
      <c r="D454" s="31" t="n">
        <f aca="false">IF(AND('Raw Orders'!C451="Product",'Raw Orders'!K451="Fulfilled",COUNTIFS('Raw Orders'!$A$2:$A451,'Raw Orders'!A451,'Raw Orders'!$C$2:$C451,"Product",'Raw Orders'!$K$2:$K451,"Fulfilled")=1),1,0)</f>
        <v>1</v>
      </c>
      <c r="E454" s="31" t="n">
        <f aca="false">IF(AND('Raw Orders'!C451="Product",'Raw Orders'!K451="Fulfilled"),'Raw Orders'!E451,0)</f>
        <v>1</v>
      </c>
      <c r="F454" s="32" t="n">
        <f aca="false">IF('Raw Orders'!K451="Refunded",'Raw Orders'!G451,0)</f>
        <v>0</v>
      </c>
    </row>
    <row r="455" customFormat="false" ht="15" hidden="false" customHeight="false" outlineLevel="0" collapsed="false">
      <c r="A455" s="36" t="n">
        <f aca="false">IF('Raw Orders'!B452="","",IF(MID('Raw Orders'!B452,5,1)="-",DATE(VALUE(LEFT('Raw Orders'!B452,4)),VALUE(MID('Raw Orders'!B452,6,2)),VALUE(MID('Raw Orders'!B452,9,2))),DATE(VALUE(MID('Raw Orders'!B452,7,4)),VALUE(MID('Raw Orders'!B452,4,2)),VALUE(LEFT('Raw Orders'!B452,2)))))</f>
        <v>46172</v>
      </c>
      <c r="B455" s="36" t="n">
        <f aca="false">IF(A455="","",A455-WEEKDAY(A455,3))</f>
        <v>46167</v>
      </c>
      <c r="C455" s="32" t="n">
        <f aca="false">IF(OR('Raw Orders'!C452&lt;&gt;"Product",'Raw Orders'!K452="Cancelled"),0,'Raw Orders'!G452)</f>
        <v>29</v>
      </c>
      <c r="D455" s="31" t="n">
        <f aca="false">IF(AND('Raw Orders'!C452="Product",'Raw Orders'!K452="Fulfilled",COUNTIFS('Raw Orders'!$A$2:$A452,'Raw Orders'!A452,'Raw Orders'!$C$2:$C452,"Product",'Raw Orders'!$K$2:$K452,"Fulfilled")=1),1,0)</f>
        <v>0</v>
      </c>
      <c r="E455" s="31" t="n">
        <f aca="false">IF(AND('Raw Orders'!C452="Product",'Raw Orders'!K452="Fulfilled"),'Raw Orders'!E452,0)</f>
        <v>1</v>
      </c>
      <c r="F455" s="32" t="n">
        <f aca="false">IF('Raw Orders'!K452="Refunded",'Raw Orders'!G452,0)</f>
        <v>0</v>
      </c>
    </row>
    <row r="456" customFormat="false" ht="15" hidden="false" customHeight="false" outlineLevel="0" collapsed="false">
      <c r="A456" s="36" t="n">
        <f aca="false">IF('Raw Orders'!B453="","",IF(MID('Raw Orders'!B453,5,1)="-",DATE(VALUE(LEFT('Raw Orders'!B453,4)),VALUE(MID('Raw Orders'!B453,6,2)),VALUE(MID('Raw Orders'!B453,9,2))),DATE(VALUE(MID('Raw Orders'!B453,7,4)),VALUE(MID('Raw Orders'!B453,4,2)),VALUE(LEFT('Raw Orders'!B453,2)))))</f>
        <v>46172</v>
      </c>
      <c r="B456" s="36" t="n">
        <f aca="false">IF(A456="","",A456-WEEKDAY(A456,3))</f>
        <v>46167</v>
      </c>
      <c r="C456" s="32" t="n">
        <f aca="false">IF(OR('Raw Orders'!C453&lt;&gt;"Product",'Raw Orders'!K453="Cancelled"),0,'Raw Orders'!G453)</f>
        <v>0</v>
      </c>
      <c r="D456" s="31" t="n">
        <f aca="false">IF(AND('Raw Orders'!C453="Product",'Raw Orders'!K453="Fulfilled",COUNTIFS('Raw Orders'!$A$2:$A453,'Raw Orders'!A453,'Raw Orders'!$C$2:$C453,"Product",'Raw Orders'!$K$2:$K453,"Fulfilled")=1),1,0)</f>
        <v>0</v>
      </c>
      <c r="E456" s="31" t="n">
        <f aca="false">IF(AND('Raw Orders'!C453="Product",'Raw Orders'!K453="Fulfilled"),'Raw Orders'!E453,0)</f>
        <v>0</v>
      </c>
      <c r="F456" s="32" t="n">
        <f aca="false">IF('Raw Orders'!K453="Refunded",'Raw Orders'!G453,0)</f>
        <v>0</v>
      </c>
    </row>
    <row r="457" customFormat="false" ht="15" hidden="false" customHeight="false" outlineLevel="0" collapsed="false">
      <c r="A457" s="36" t="n">
        <f aca="false">IF('Raw Orders'!B454="","",IF(MID('Raw Orders'!B454,5,1)="-",DATE(VALUE(LEFT('Raw Orders'!B454,4)),VALUE(MID('Raw Orders'!B454,6,2)),VALUE(MID('Raw Orders'!B454,9,2))),DATE(VALUE(MID('Raw Orders'!B454,7,4)),VALUE(MID('Raw Orders'!B454,4,2)),VALUE(LEFT('Raw Orders'!B454,2)))))</f>
        <v>46172</v>
      </c>
      <c r="B457" s="36" t="n">
        <f aca="false">IF(A457="","",A457-WEEKDAY(A457,3))</f>
        <v>46167</v>
      </c>
      <c r="C457" s="32" t="n">
        <f aca="false">IF(OR('Raw Orders'!C454&lt;&gt;"Product",'Raw Orders'!K454="Cancelled"),0,'Raw Orders'!G454)</f>
        <v>0</v>
      </c>
      <c r="D457" s="31" t="n">
        <f aca="false">IF(AND('Raw Orders'!C454="Product",'Raw Orders'!K454="Fulfilled",COUNTIFS('Raw Orders'!$A$2:$A454,'Raw Orders'!A454,'Raw Orders'!$C$2:$C454,"Product",'Raw Orders'!$K$2:$K454,"Fulfilled")=1),1,0)</f>
        <v>0</v>
      </c>
      <c r="E457" s="31" t="n">
        <f aca="false">IF(AND('Raw Orders'!C454="Product",'Raw Orders'!K454="Fulfilled"),'Raw Orders'!E454,0)</f>
        <v>0</v>
      </c>
      <c r="F457" s="32" t="n">
        <f aca="false">IF('Raw Orders'!K454="Refunded",'Raw Orders'!G454,0)</f>
        <v>0</v>
      </c>
    </row>
    <row r="458" customFormat="false" ht="15" hidden="false" customHeight="false" outlineLevel="0" collapsed="false">
      <c r="A458" s="36" t="n">
        <f aca="false">IF('Raw Orders'!B455="","",IF(MID('Raw Orders'!B455,5,1)="-",DATE(VALUE(LEFT('Raw Orders'!B455,4)),VALUE(MID('Raw Orders'!B455,6,2)),VALUE(MID('Raw Orders'!B455,9,2))),DATE(VALUE(MID('Raw Orders'!B455,7,4)),VALUE(MID('Raw Orders'!B455,4,2)),VALUE(LEFT('Raw Orders'!B455,2)))))</f>
        <v>46172</v>
      </c>
      <c r="B458" s="36" t="n">
        <f aca="false">IF(A458="","",A458-WEEKDAY(A458,3))</f>
        <v>46167</v>
      </c>
      <c r="C458" s="32" t="n">
        <f aca="false">IF(OR('Raw Orders'!C455&lt;&gt;"Product",'Raw Orders'!K455="Cancelled"),0,'Raw Orders'!G455)</f>
        <v>39</v>
      </c>
      <c r="D458" s="31" t="n">
        <f aca="false">IF(AND('Raw Orders'!C455="Product",'Raw Orders'!K455="Fulfilled",COUNTIFS('Raw Orders'!$A$2:$A455,'Raw Orders'!A455,'Raw Orders'!$C$2:$C455,"Product",'Raw Orders'!$K$2:$K455,"Fulfilled")=1),1,0)</f>
        <v>1</v>
      </c>
      <c r="E458" s="31" t="n">
        <f aca="false">IF(AND('Raw Orders'!C455="Product",'Raw Orders'!K455="Fulfilled"),'Raw Orders'!E455,0)</f>
        <v>1</v>
      </c>
      <c r="F458" s="32" t="n">
        <f aca="false">IF('Raw Orders'!K455="Refunded",'Raw Orders'!G455,0)</f>
        <v>0</v>
      </c>
    </row>
    <row r="459" customFormat="false" ht="15" hidden="false" customHeight="false" outlineLevel="0" collapsed="false">
      <c r="A459" s="36" t="n">
        <f aca="false">IF('Raw Orders'!B456="","",IF(MID('Raw Orders'!B456,5,1)="-",DATE(VALUE(LEFT('Raw Orders'!B456,4)),VALUE(MID('Raw Orders'!B456,6,2)),VALUE(MID('Raw Orders'!B456,9,2))),DATE(VALUE(MID('Raw Orders'!B456,7,4)),VALUE(MID('Raw Orders'!B456,4,2)),VALUE(LEFT('Raw Orders'!B456,2)))))</f>
        <v>46172</v>
      </c>
      <c r="B459" s="36" t="n">
        <f aca="false">IF(A459="","",A459-WEEKDAY(A459,3))</f>
        <v>46167</v>
      </c>
      <c r="C459" s="32" t="n">
        <f aca="false">IF(OR('Raw Orders'!C456&lt;&gt;"Product",'Raw Orders'!K456="Cancelled"),0,'Raw Orders'!G456)</f>
        <v>0</v>
      </c>
      <c r="D459" s="31" t="n">
        <f aca="false">IF(AND('Raw Orders'!C456="Product",'Raw Orders'!K456="Fulfilled",COUNTIFS('Raw Orders'!$A$2:$A456,'Raw Orders'!A456,'Raw Orders'!$C$2:$C456,"Product",'Raw Orders'!$K$2:$K456,"Fulfilled")=1),1,0)</f>
        <v>0</v>
      </c>
      <c r="E459" s="31" t="n">
        <f aca="false">IF(AND('Raw Orders'!C456="Product",'Raw Orders'!K456="Fulfilled"),'Raw Orders'!E456,0)</f>
        <v>0</v>
      </c>
      <c r="F459" s="32" t="n">
        <f aca="false">IF('Raw Orders'!K456="Refunded",'Raw Orders'!G456,0)</f>
        <v>0</v>
      </c>
    </row>
    <row r="460" customFormat="false" ht="15" hidden="false" customHeight="false" outlineLevel="0" collapsed="false">
      <c r="A460" s="36" t="n">
        <f aca="false">IF('Raw Orders'!B457="","",IF(MID('Raw Orders'!B457,5,1)="-",DATE(VALUE(LEFT('Raw Orders'!B457,4)),VALUE(MID('Raw Orders'!B457,6,2)),VALUE(MID('Raw Orders'!B457,9,2))),DATE(VALUE(MID('Raw Orders'!B457,7,4)),VALUE(MID('Raw Orders'!B457,4,2)),VALUE(LEFT('Raw Orders'!B457,2)))))</f>
        <v>46172</v>
      </c>
      <c r="B460" s="36" t="n">
        <f aca="false">IF(A460="","",A460-WEEKDAY(A460,3))</f>
        <v>46167</v>
      </c>
      <c r="C460" s="32" t="n">
        <f aca="false">IF(OR('Raw Orders'!C457&lt;&gt;"Product",'Raw Orders'!K457="Cancelled"),0,'Raw Orders'!G457)</f>
        <v>0</v>
      </c>
      <c r="D460" s="31" t="n">
        <f aca="false">IF(AND('Raw Orders'!C457="Product",'Raw Orders'!K457="Fulfilled",COUNTIFS('Raw Orders'!$A$2:$A457,'Raw Orders'!A457,'Raw Orders'!$C$2:$C457,"Product",'Raw Orders'!$K$2:$K457,"Fulfilled")=1),1,0)</f>
        <v>0</v>
      </c>
      <c r="E460" s="31" t="n">
        <f aca="false">IF(AND('Raw Orders'!C457="Product",'Raw Orders'!K457="Fulfilled"),'Raw Orders'!E457,0)</f>
        <v>0</v>
      </c>
      <c r="F460" s="32" t="n">
        <f aca="false">IF('Raw Orders'!K457="Refunded",'Raw Orders'!G457,0)</f>
        <v>0</v>
      </c>
    </row>
    <row r="461" customFormat="false" ht="15" hidden="false" customHeight="false" outlineLevel="0" collapsed="false">
      <c r="A461" s="36" t="n">
        <f aca="false">IF('Raw Orders'!B458="","",IF(MID('Raw Orders'!B458,5,1)="-",DATE(VALUE(LEFT('Raw Orders'!B458,4)),VALUE(MID('Raw Orders'!B458,6,2)),VALUE(MID('Raw Orders'!B458,9,2))),DATE(VALUE(MID('Raw Orders'!B458,7,4)),VALUE(MID('Raw Orders'!B458,4,2)),VALUE(LEFT('Raw Orders'!B458,2)))))</f>
        <v>46172</v>
      </c>
      <c r="B461" s="36" t="n">
        <f aca="false">IF(A461="","",A461-WEEKDAY(A461,3))</f>
        <v>46167</v>
      </c>
      <c r="C461" s="32" t="n">
        <f aca="false">IF(OR('Raw Orders'!C458&lt;&gt;"Product",'Raw Orders'!K458="Cancelled"),0,'Raw Orders'!G458)</f>
        <v>0</v>
      </c>
      <c r="D461" s="31" t="n">
        <f aca="false">IF(AND('Raw Orders'!C458="Product",'Raw Orders'!K458="Fulfilled",COUNTIFS('Raw Orders'!$A$2:$A458,'Raw Orders'!A458,'Raw Orders'!$C$2:$C458,"Product",'Raw Orders'!$K$2:$K458,"Fulfilled")=1),1,0)</f>
        <v>0</v>
      </c>
      <c r="E461" s="31" t="n">
        <f aca="false">IF(AND('Raw Orders'!C458="Product",'Raw Orders'!K458="Fulfilled"),'Raw Orders'!E458,0)</f>
        <v>0</v>
      </c>
      <c r="F461" s="32" t="n">
        <f aca="false">IF('Raw Orders'!K458="Refunded",'Raw Orders'!G458,0)</f>
        <v>0</v>
      </c>
    </row>
    <row r="462" customFormat="false" ht="15" hidden="false" customHeight="false" outlineLevel="0" collapsed="false">
      <c r="A462" s="36" t="n">
        <f aca="false">IF('Raw Orders'!B459="","",IF(MID('Raw Orders'!B459,5,1)="-",DATE(VALUE(LEFT('Raw Orders'!B459,4)),VALUE(MID('Raw Orders'!B459,6,2)),VALUE(MID('Raw Orders'!B459,9,2))),DATE(VALUE(MID('Raw Orders'!B459,7,4)),VALUE(MID('Raw Orders'!B459,4,2)),VALUE(LEFT('Raw Orders'!B459,2)))))</f>
        <v>46172</v>
      </c>
      <c r="B462" s="36" t="n">
        <f aca="false">IF(A462="","",A462-WEEKDAY(A462,3))</f>
        <v>46167</v>
      </c>
      <c r="C462" s="32" t="n">
        <f aca="false">IF(OR('Raw Orders'!C459&lt;&gt;"Product",'Raw Orders'!K459="Cancelled"),0,'Raw Orders'!G459)</f>
        <v>71.2</v>
      </c>
      <c r="D462" s="31" t="n">
        <f aca="false">IF(AND('Raw Orders'!C459="Product",'Raw Orders'!K459="Fulfilled",COUNTIFS('Raw Orders'!$A$2:$A459,'Raw Orders'!A459,'Raw Orders'!$C$2:$C459,"Product",'Raw Orders'!$K$2:$K459,"Fulfilled")=1),1,0)</f>
        <v>1</v>
      </c>
      <c r="E462" s="31" t="n">
        <f aca="false">IF(AND('Raw Orders'!C459="Product",'Raw Orders'!K459="Fulfilled"),'Raw Orders'!E459,0)</f>
        <v>1</v>
      </c>
      <c r="F462" s="32" t="n">
        <f aca="false">IF('Raw Orders'!K459="Refunded",'Raw Orders'!G459,0)</f>
        <v>0</v>
      </c>
    </row>
    <row r="463" customFormat="false" ht="15" hidden="false" customHeight="false" outlineLevel="0" collapsed="false">
      <c r="A463" s="36" t="n">
        <f aca="false">IF('Raw Orders'!B460="","",IF(MID('Raw Orders'!B460,5,1)="-",DATE(VALUE(LEFT('Raw Orders'!B460,4)),VALUE(MID('Raw Orders'!B460,6,2)),VALUE(MID('Raw Orders'!B460,9,2))),DATE(VALUE(MID('Raw Orders'!B460,7,4)),VALUE(MID('Raw Orders'!B460,4,2)),VALUE(LEFT('Raw Orders'!B460,2)))))</f>
        <v>46172</v>
      </c>
      <c r="B463" s="36" t="n">
        <f aca="false">IF(A463="","",A463-WEEKDAY(A463,3))</f>
        <v>46167</v>
      </c>
      <c r="C463" s="32" t="n">
        <f aca="false">IF(OR('Raw Orders'!C460&lt;&gt;"Product",'Raw Orders'!K460="Cancelled"),0,'Raw Orders'!G460)</f>
        <v>0</v>
      </c>
      <c r="D463" s="31" t="n">
        <f aca="false">IF(AND('Raw Orders'!C460="Product",'Raw Orders'!K460="Fulfilled",COUNTIFS('Raw Orders'!$A$2:$A460,'Raw Orders'!A460,'Raw Orders'!$C$2:$C460,"Product",'Raw Orders'!$K$2:$K460,"Fulfilled")=1),1,0)</f>
        <v>0</v>
      </c>
      <c r="E463" s="31" t="n">
        <f aca="false">IF(AND('Raw Orders'!C460="Product",'Raw Orders'!K460="Fulfilled"),'Raw Orders'!E460,0)</f>
        <v>0</v>
      </c>
      <c r="F463" s="32" t="n">
        <f aca="false">IF('Raw Orders'!K460="Refunded",'Raw Orders'!G460,0)</f>
        <v>0</v>
      </c>
    </row>
    <row r="464" customFormat="false" ht="15" hidden="false" customHeight="false" outlineLevel="0" collapsed="false">
      <c r="A464" s="36" t="n">
        <f aca="false">IF('Raw Orders'!B461="","",IF(MID('Raw Orders'!B461,5,1)="-",DATE(VALUE(LEFT('Raw Orders'!B461,4)),VALUE(MID('Raw Orders'!B461,6,2)),VALUE(MID('Raw Orders'!B461,9,2))),DATE(VALUE(MID('Raw Orders'!B461,7,4)),VALUE(MID('Raw Orders'!B461,4,2)),VALUE(LEFT('Raw Orders'!B461,2)))))</f>
        <v>46173</v>
      </c>
      <c r="B464" s="36" t="n">
        <f aca="false">IF(A464="","",A464-WEEKDAY(A464,3))</f>
        <v>46167</v>
      </c>
      <c r="C464" s="32" t="n">
        <f aca="false">IF(OR('Raw Orders'!C461&lt;&gt;"Product",'Raw Orders'!K461="Cancelled"),0,'Raw Orders'!G461)</f>
        <v>45</v>
      </c>
      <c r="D464" s="31" t="n">
        <f aca="false">IF(AND('Raw Orders'!C461="Product",'Raw Orders'!K461="Fulfilled",COUNTIFS('Raw Orders'!$A$2:$A461,'Raw Orders'!A461,'Raw Orders'!$C$2:$C461,"Product",'Raw Orders'!$K$2:$K461,"Fulfilled")=1),1,0)</f>
        <v>1</v>
      </c>
      <c r="E464" s="31" t="n">
        <f aca="false">IF(AND('Raw Orders'!C461="Product",'Raw Orders'!K461="Fulfilled"),'Raw Orders'!E461,0)</f>
        <v>1</v>
      </c>
      <c r="F464" s="32" t="n">
        <f aca="false">IF('Raw Orders'!K461="Refunded",'Raw Orders'!G461,0)</f>
        <v>0</v>
      </c>
    </row>
    <row r="465" customFormat="false" ht="15" hidden="false" customHeight="false" outlineLevel="0" collapsed="false">
      <c r="A465" s="36" t="n">
        <f aca="false">IF('Raw Orders'!B462="","",IF(MID('Raw Orders'!B462,5,1)="-",DATE(VALUE(LEFT('Raw Orders'!B462,4)),VALUE(MID('Raw Orders'!B462,6,2)),VALUE(MID('Raw Orders'!B462,9,2))),DATE(VALUE(MID('Raw Orders'!B462,7,4)),VALUE(MID('Raw Orders'!B462,4,2)),VALUE(LEFT('Raw Orders'!B462,2)))))</f>
        <v>46173</v>
      </c>
      <c r="B465" s="36" t="n">
        <f aca="false">IF(A465="","",A465-WEEKDAY(A465,3))</f>
        <v>46167</v>
      </c>
      <c r="C465" s="32" t="n">
        <f aca="false">IF(OR('Raw Orders'!C462&lt;&gt;"Product",'Raw Orders'!K462="Cancelled"),0,'Raw Orders'!G462)</f>
        <v>32</v>
      </c>
      <c r="D465" s="31" t="n">
        <f aca="false">IF(AND('Raw Orders'!C462="Product",'Raw Orders'!K462="Fulfilled",COUNTIFS('Raw Orders'!$A$2:$A462,'Raw Orders'!A462,'Raw Orders'!$C$2:$C462,"Product",'Raw Orders'!$K$2:$K462,"Fulfilled")=1),1,0)</f>
        <v>1</v>
      </c>
      <c r="E465" s="31" t="n">
        <f aca="false">IF(AND('Raw Orders'!C462="Product",'Raw Orders'!K462="Fulfilled"),'Raw Orders'!E462,0)</f>
        <v>1</v>
      </c>
      <c r="F465" s="32" t="n">
        <f aca="false">IF('Raw Orders'!K462="Refunded",'Raw Orders'!G462,0)</f>
        <v>0</v>
      </c>
    </row>
    <row r="466" customFormat="false" ht="15" hidden="false" customHeight="false" outlineLevel="0" collapsed="false">
      <c r="A466" s="36" t="n">
        <f aca="false">IF('Raw Orders'!B463="","",IF(MID('Raw Orders'!B463,5,1)="-",DATE(VALUE(LEFT('Raw Orders'!B463,4)),VALUE(MID('Raw Orders'!B463,6,2)),VALUE(MID('Raw Orders'!B463,9,2))),DATE(VALUE(MID('Raw Orders'!B463,7,4)),VALUE(MID('Raw Orders'!B463,4,2)),VALUE(LEFT('Raw Orders'!B463,2)))))</f>
        <v>46173</v>
      </c>
      <c r="B466" s="36" t="n">
        <f aca="false">IF(A466="","",A466-WEEKDAY(A466,3))</f>
        <v>46167</v>
      </c>
      <c r="C466" s="32" t="n">
        <f aca="false">IF(OR('Raw Orders'!C463&lt;&gt;"Product",'Raw Orders'!K463="Cancelled"),0,'Raw Orders'!G463)</f>
        <v>0</v>
      </c>
      <c r="D466" s="31" t="n">
        <f aca="false">IF(AND('Raw Orders'!C463="Product",'Raw Orders'!K463="Fulfilled",COUNTIFS('Raw Orders'!$A$2:$A463,'Raw Orders'!A463,'Raw Orders'!$C$2:$C463,"Product",'Raw Orders'!$K$2:$K463,"Fulfilled")=1),1,0)</f>
        <v>0</v>
      </c>
      <c r="E466" s="31" t="n">
        <f aca="false">IF(AND('Raw Orders'!C463="Product",'Raw Orders'!K463="Fulfilled"),'Raw Orders'!E463,0)</f>
        <v>0</v>
      </c>
      <c r="F466" s="32" t="n">
        <f aca="false">IF('Raw Orders'!K463="Refunded",'Raw Orders'!G463,0)</f>
        <v>0</v>
      </c>
    </row>
    <row r="467" customFormat="false" ht="15" hidden="false" customHeight="false" outlineLevel="0" collapsed="false">
      <c r="A467" s="36" t="n">
        <f aca="false">IF('Raw Orders'!B464="","",IF(MID('Raw Orders'!B464,5,1)="-",DATE(VALUE(LEFT('Raw Orders'!B464,4)),VALUE(MID('Raw Orders'!B464,6,2)),VALUE(MID('Raw Orders'!B464,9,2))),DATE(VALUE(MID('Raw Orders'!B464,7,4)),VALUE(MID('Raw Orders'!B464,4,2)),VALUE(LEFT('Raw Orders'!B464,2)))))</f>
        <v>46173</v>
      </c>
      <c r="B467" s="36" t="n">
        <f aca="false">IF(A467="","",A467-WEEKDAY(A467,3))</f>
        <v>46167</v>
      </c>
      <c r="C467" s="32" t="n">
        <f aca="false">IF(OR('Raw Orders'!C464&lt;&gt;"Product",'Raw Orders'!K464="Cancelled"),0,'Raw Orders'!G464)</f>
        <v>0</v>
      </c>
      <c r="D467" s="31" t="n">
        <f aca="false">IF(AND('Raw Orders'!C464="Product",'Raw Orders'!K464="Fulfilled",COUNTIFS('Raw Orders'!$A$2:$A464,'Raw Orders'!A464,'Raw Orders'!$C$2:$C464,"Product",'Raw Orders'!$K$2:$K464,"Fulfilled")=1),1,0)</f>
        <v>0</v>
      </c>
      <c r="E467" s="31" t="n">
        <f aca="false">IF(AND('Raw Orders'!C464="Product",'Raw Orders'!K464="Fulfilled"),'Raw Orders'!E464,0)</f>
        <v>0</v>
      </c>
      <c r="F467" s="32" t="n">
        <f aca="false">IF('Raw Orders'!K464="Refunded",'Raw Orders'!G464,0)</f>
        <v>0</v>
      </c>
    </row>
    <row r="468" customFormat="false" ht="15" hidden="false" customHeight="false" outlineLevel="0" collapsed="false">
      <c r="A468" s="36" t="n">
        <f aca="false">IF('Raw Orders'!B465="","",IF(MID('Raw Orders'!B465,5,1)="-",DATE(VALUE(LEFT('Raw Orders'!B465,4)),VALUE(MID('Raw Orders'!B465,6,2)),VALUE(MID('Raw Orders'!B465,9,2))),DATE(VALUE(MID('Raw Orders'!B465,7,4)),VALUE(MID('Raw Orders'!B465,4,2)),VALUE(LEFT('Raw Orders'!B465,2)))))</f>
        <v>46173</v>
      </c>
      <c r="B468" s="36" t="n">
        <f aca="false">IF(A468="","",A468-WEEKDAY(A468,3))</f>
        <v>46167</v>
      </c>
      <c r="C468" s="32" t="n">
        <f aca="false">IF(OR('Raw Orders'!C465&lt;&gt;"Product",'Raw Orders'!K465="Cancelled"),0,'Raw Orders'!G465)</f>
        <v>78</v>
      </c>
      <c r="D468" s="31" t="n">
        <f aca="false">IF(AND('Raw Orders'!C465="Product",'Raw Orders'!K465="Fulfilled",COUNTIFS('Raw Orders'!$A$2:$A465,'Raw Orders'!A465,'Raw Orders'!$C$2:$C465,"Product",'Raw Orders'!$K$2:$K465,"Fulfilled")=1),1,0)</f>
        <v>1</v>
      </c>
      <c r="E468" s="31" t="n">
        <f aca="false">IF(AND('Raw Orders'!C465="Product",'Raw Orders'!K465="Fulfilled"),'Raw Orders'!E465,0)</f>
        <v>2</v>
      </c>
      <c r="F468" s="32" t="n">
        <f aca="false">IF('Raw Orders'!K465="Refunded",'Raw Orders'!G465,0)</f>
        <v>0</v>
      </c>
    </row>
    <row r="469" customFormat="false" ht="15" hidden="false" customHeight="false" outlineLevel="0" collapsed="false">
      <c r="A469" s="36" t="n">
        <f aca="false">IF('Raw Orders'!B466="","",IF(MID('Raw Orders'!B466,5,1)="-",DATE(VALUE(LEFT('Raw Orders'!B466,4)),VALUE(MID('Raw Orders'!B466,6,2)),VALUE(MID('Raw Orders'!B466,9,2))),DATE(VALUE(MID('Raw Orders'!B466,7,4)),VALUE(MID('Raw Orders'!B466,4,2)),VALUE(LEFT('Raw Orders'!B466,2)))))</f>
        <v>46173</v>
      </c>
      <c r="B469" s="36" t="n">
        <f aca="false">IF(A469="","",A469-WEEKDAY(A469,3))</f>
        <v>46167</v>
      </c>
      <c r="C469" s="32" t="n">
        <f aca="false">IF(OR('Raw Orders'!C466&lt;&gt;"Product",'Raw Orders'!K466="Cancelled"),0,'Raw Orders'!G466)</f>
        <v>0</v>
      </c>
      <c r="D469" s="31" t="n">
        <f aca="false">IF(AND('Raw Orders'!C466="Product",'Raw Orders'!K466="Fulfilled",COUNTIFS('Raw Orders'!$A$2:$A466,'Raw Orders'!A466,'Raw Orders'!$C$2:$C466,"Product",'Raw Orders'!$K$2:$K466,"Fulfilled")=1),1,0)</f>
        <v>0</v>
      </c>
      <c r="E469" s="31" t="n">
        <f aca="false">IF(AND('Raw Orders'!C466="Product",'Raw Orders'!K466="Fulfilled"),'Raw Orders'!E466,0)</f>
        <v>0</v>
      </c>
      <c r="F469" s="32" t="n">
        <f aca="false">IF('Raw Orders'!K466="Refunded",'Raw Orders'!G466,0)</f>
        <v>0</v>
      </c>
    </row>
    <row r="470" customFormat="false" ht="15" hidden="false" customHeight="false" outlineLevel="0" collapsed="false">
      <c r="A470" s="36" t="n">
        <f aca="false">IF('Raw Orders'!B467="","",IF(MID('Raw Orders'!B467,5,1)="-",DATE(VALUE(LEFT('Raw Orders'!B467,4)),VALUE(MID('Raw Orders'!B467,6,2)),VALUE(MID('Raw Orders'!B467,9,2))),DATE(VALUE(MID('Raw Orders'!B467,7,4)),VALUE(MID('Raw Orders'!B467,4,2)),VALUE(LEFT('Raw Orders'!B467,2)))))</f>
        <v>46173</v>
      </c>
      <c r="B470" s="36" t="n">
        <f aca="false">IF(A470="","",A470-WEEKDAY(A470,3))</f>
        <v>46167</v>
      </c>
      <c r="C470" s="32" t="n">
        <f aca="false">IF(OR('Raw Orders'!C467&lt;&gt;"Product",'Raw Orders'!K467="Cancelled"),0,'Raw Orders'!G467)</f>
        <v>89</v>
      </c>
      <c r="D470" s="31" t="n">
        <f aca="false">IF(AND('Raw Orders'!C467="Product",'Raw Orders'!K467="Fulfilled",COUNTIFS('Raw Orders'!$A$2:$A467,'Raw Orders'!A467,'Raw Orders'!$C$2:$C467,"Product",'Raw Orders'!$K$2:$K467,"Fulfilled")=1),1,0)</f>
        <v>1</v>
      </c>
      <c r="E470" s="31" t="n">
        <f aca="false">IF(AND('Raw Orders'!C467="Product",'Raw Orders'!K467="Fulfilled"),'Raw Orders'!E467,0)</f>
        <v>1</v>
      </c>
      <c r="F470" s="32" t="n">
        <f aca="false">IF('Raw Orders'!K467="Refunded",'Raw Orders'!G467,0)</f>
        <v>0</v>
      </c>
    </row>
    <row r="471" customFormat="false" ht="15" hidden="false" customHeight="false" outlineLevel="0" collapsed="false">
      <c r="A471" s="36" t="n">
        <f aca="false">IF('Raw Orders'!B468="","",IF(MID('Raw Orders'!B468,5,1)="-",DATE(VALUE(LEFT('Raw Orders'!B468,4)),VALUE(MID('Raw Orders'!B468,6,2)),VALUE(MID('Raw Orders'!B468,9,2))),DATE(VALUE(MID('Raw Orders'!B468,7,4)),VALUE(MID('Raw Orders'!B468,4,2)),VALUE(LEFT('Raw Orders'!B468,2)))))</f>
        <v>46173</v>
      </c>
      <c r="B471" s="36" t="n">
        <f aca="false">IF(A471="","",A471-WEEKDAY(A471,3))</f>
        <v>46167</v>
      </c>
      <c r="C471" s="32" t="n">
        <f aca="false">IF(OR('Raw Orders'!C468&lt;&gt;"Product",'Raw Orders'!K468="Cancelled"),0,'Raw Orders'!G468)</f>
        <v>70</v>
      </c>
      <c r="D471" s="31" t="n">
        <f aca="false">IF(AND('Raw Orders'!C468="Product",'Raw Orders'!K468="Fulfilled",COUNTIFS('Raw Orders'!$A$2:$A468,'Raw Orders'!A468,'Raw Orders'!$C$2:$C468,"Product",'Raw Orders'!$K$2:$K468,"Fulfilled")=1),1,0)</f>
        <v>0</v>
      </c>
      <c r="E471" s="31" t="n">
        <f aca="false">IF(AND('Raw Orders'!C468="Product",'Raw Orders'!K468="Fulfilled"),'Raw Orders'!E468,0)</f>
        <v>2</v>
      </c>
      <c r="F471" s="32" t="n">
        <f aca="false">IF('Raw Orders'!K468="Refunded",'Raw Orders'!G468,0)</f>
        <v>0</v>
      </c>
    </row>
    <row r="472" customFormat="false" ht="15" hidden="false" customHeight="false" outlineLevel="0" collapsed="false">
      <c r="A472" s="36" t="n">
        <f aca="false">IF('Raw Orders'!B469="","",IF(MID('Raw Orders'!B469,5,1)="-",DATE(VALUE(LEFT('Raw Orders'!B469,4)),VALUE(MID('Raw Orders'!B469,6,2)),VALUE(MID('Raw Orders'!B469,9,2))),DATE(VALUE(MID('Raw Orders'!B469,7,4)),VALUE(MID('Raw Orders'!B469,4,2)),VALUE(LEFT('Raw Orders'!B469,2)))))</f>
        <v>46173</v>
      </c>
      <c r="B472" s="36" t="n">
        <f aca="false">IF(A472="","",A472-WEEKDAY(A472,3))</f>
        <v>46167</v>
      </c>
      <c r="C472" s="32" t="n">
        <f aca="false">IF(OR('Raw Orders'!C469&lt;&gt;"Product",'Raw Orders'!K469="Cancelled"),0,'Raw Orders'!G469)</f>
        <v>36</v>
      </c>
      <c r="D472" s="31" t="n">
        <f aca="false">IF(AND('Raw Orders'!C469="Product",'Raw Orders'!K469="Fulfilled",COUNTIFS('Raw Orders'!$A$2:$A469,'Raw Orders'!A469,'Raw Orders'!$C$2:$C469,"Product",'Raw Orders'!$K$2:$K469,"Fulfilled")=1),1,0)</f>
        <v>1</v>
      </c>
      <c r="E472" s="31" t="n">
        <f aca="false">IF(AND('Raw Orders'!C469="Product",'Raw Orders'!K469="Fulfilled"),'Raw Orders'!E469,0)</f>
        <v>1</v>
      </c>
      <c r="F472" s="32" t="n">
        <f aca="false">IF('Raw Orders'!K469="Refunded",'Raw Orders'!G469,0)</f>
        <v>0</v>
      </c>
    </row>
    <row r="473" customFormat="false" ht="15" hidden="false" customHeight="false" outlineLevel="0" collapsed="false">
      <c r="A473" s="36" t="n">
        <f aca="false">IF('Raw Orders'!B470="","",IF(MID('Raw Orders'!B470,5,1)="-",DATE(VALUE(LEFT('Raw Orders'!B470,4)),VALUE(MID('Raw Orders'!B470,6,2)),VALUE(MID('Raw Orders'!B470,9,2))),DATE(VALUE(MID('Raw Orders'!B470,7,4)),VALUE(MID('Raw Orders'!B470,4,2)),VALUE(LEFT('Raw Orders'!B470,2)))))</f>
        <v>46173</v>
      </c>
      <c r="B473" s="36" t="n">
        <f aca="false">IF(A473="","",A473-WEEKDAY(A473,3))</f>
        <v>46167</v>
      </c>
      <c r="C473" s="32" t="n">
        <f aca="false">IF(OR('Raw Orders'!C470&lt;&gt;"Product",'Raw Orders'!K470="Cancelled"),0,'Raw Orders'!G470)</f>
        <v>29</v>
      </c>
      <c r="D473" s="31" t="n">
        <f aca="false">IF(AND('Raw Orders'!C470="Product",'Raw Orders'!K470="Fulfilled",COUNTIFS('Raw Orders'!$A$2:$A470,'Raw Orders'!A470,'Raw Orders'!$C$2:$C470,"Product",'Raw Orders'!$K$2:$K470,"Fulfilled")=1),1,0)</f>
        <v>0</v>
      </c>
      <c r="E473" s="31" t="n">
        <f aca="false">IF(AND('Raw Orders'!C470="Product",'Raw Orders'!K470="Fulfilled"),'Raw Orders'!E470,0)</f>
        <v>1</v>
      </c>
      <c r="F473" s="32" t="n">
        <f aca="false">IF('Raw Orders'!K470="Refunded",'Raw Orders'!G470,0)</f>
        <v>0</v>
      </c>
    </row>
    <row r="474" customFormat="false" ht="15" hidden="false" customHeight="false" outlineLevel="0" collapsed="false">
      <c r="A474" s="36" t="n">
        <f aca="false">IF('Raw Orders'!B471="","",IF(MID('Raw Orders'!B471,5,1)="-",DATE(VALUE(LEFT('Raw Orders'!B471,4)),VALUE(MID('Raw Orders'!B471,6,2)),VALUE(MID('Raw Orders'!B471,9,2))),DATE(VALUE(MID('Raw Orders'!B471,7,4)),VALUE(MID('Raw Orders'!B471,4,2)),VALUE(LEFT('Raw Orders'!B471,2)))))</f>
        <v>46173</v>
      </c>
      <c r="B474" s="36" t="n">
        <f aca="false">IF(A474="","",A474-WEEKDAY(A474,3))</f>
        <v>46167</v>
      </c>
      <c r="C474" s="32" t="n">
        <f aca="false">IF(OR('Raw Orders'!C471&lt;&gt;"Product",'Raw Orders'!K471="Cancelled"),0,'Raw Orders'!G471)</f>
        <v>0</v>
      </c>
      <c r="D474" s="31" t="n">
        <f aca="false">IF(AND('Raw Orders'!C471="Product",'Raw Orders'!K471="Fulfilled",COUNTIFS('Raw Orders'!$A$2:$A471,'Raw Orders'!A471,'Raw Orders'!$C$2:$C471,"Product",'Raw Orders'!$K$2:$K471,"Fulfilled")=1),1,0)</f>
        <v>0</v>
      </c>
      <c r="E474" s="31" t="n">
        <f aca="false">IF(AND('Raw Orders'!C471="Product",'Raw Orders'!K471="Fulfilled"),'Raw Orders'!E471,0)</f>
        <v>0</v>
      </c>
      <c r="F474" s="32" t="n">
        <f aca="false">IF('Raw Orders'!K471="Refunded",'Raw Orders'!G471,0)</f>
        <v>0</v>
      </c>
    </row>
    <row r="475" customFormat="false" ht="15" hidden="false" customHeight="false" outlineLevel="0" collapsed="false">
      <c r="A475" s="36" t="n">
        <f aca="false">IF('Raw Orders'!B472="","",IF(MID('Raw Orders'!B472,5,1)="-",DATE(VALUE(LEFT('Raw Orders'!B472,4)),VALUE(MID('Raw Orders'!B472,6,2)),VALUE(MID('Raw Orders'!B472,9,2))),DATE(VALUE(MID('Raw Orders'!B472,7,4)),VALUE(MID('Raw Orders'!B472,4,2)),VALUE(LEFT('Raw Orders'!B472,2)))))</f>
        <v>46173</v>
      </c>
      <c r="B475" s="36" t="n">
        <f aca="false">IF(A475="","",A475-WEEKDAY(A475,3))</f>
        <v>46167</v>
      </c>
      <c r="C475" s="32" t="n">
        <f aca="false">IF(OR('Raw Orders'!C472&lt;&gt;"Product",'Raw Orders'!K472="Cancelled"),0,'Raw Orders'!G472)</f>
        <v>22</v>
      </c>
      <c r="D475" s="31" t="n">
        <f aca="false">IF(AND('Raw Orders'!C472="Product",'Raw Orders'!K472="Fulfilled",COUNTIFS('Raw Orders'!$A$2:$A472,'Raw Orders'!A472,'Raw Orders'!$C$2:$C472,"Product",'Raw Orders'!$K$2:$K472,"Fulfilled")=1),1,0)</f>
        <v>1</v>
      </c>
      <c r="E475" s="31" t="n">
        <f aca="false">IF(AND('Raw Orders'!C472="Product",'Raw Orders'!K472="Fulfilled"),'Raw Orders'!E472,0)</f>
        <v>1</v>
      </c>
      <c r="F475" s="32" t="n">
        <f aca="false">IF('Raw Orders'!K472="Refunded",'Raw Orders'!G472,0)</f>
        <v>0</v>
      </c>
    </row>
    <row r="476" customFormat="false" ht="15" hidden="false" customHeight="false" outlineLevel="0" collapsed="false">
      <c r="A476" s="36" t="n">
        <f aca="false">IF('Raw Orders'!B473="","",IF(MID('Raw Orders'!B473,5,1)="-",DATE(VALUE(LEFT('Raw Orders'!B473,4)),VALUE(MID('Raw Orders'!B473,6,2)),VALUE(MID('Raw Orders'!B473,9,2))),DATE(VALUE(MID('Raw Orders'!B473,7,4)),VALUE(MID('Raw Orders'!B473,4,2)),VALUE(LEFT('Raw Orders'!B473,2)))))</f>
        <v>46173</v>
      </c>
      <c r="B476" s="36" t="n">
        <f aca="false">IF(A476="","",A476-WEEKDAY(A476,3))</f>
        <v>46167</v>
      </c>
      <c r="C476" s="32" t="n">
        <f aca="false">IF(OR('Raw Orders'!C473&lt;&gt;"Product",'Raw Orders'!K473="Cancelled"),0,'Raw Orders'!G473)</f>
        <v>90</v>
      </c>
      <c r="D476" s="31" t="n">
        <f aca="false">IF(AND('Raw Orders'!C473="Product",'Raw Orders'!K473="Fulfilled",COUNTIFS('Raw Orders'!$A$2:$A473,'Raw Orders'!A473,'Raw Orders'!$C$2:$C473,"Product",'Raw Orders'!$K$2:$K473,"Fulfilled")=1),1,0)</f>
        <v>0</v>
      </c>
      <c r="E476" s="31" t="n">
        <f aca="false">IF(AND('Raw Orders'!C473="Product",'Raw Orders'!K473="Fulfilled"),'Raw Orders'!E473,0)</f>
        <v>2</v>
      </c>
      <c r="F476" s="32" t="n">
        <f aca="false">IF('Raw Orders'!K473="Refunded",'Raw Orders'!G473,0)</f>
        <v>0</v>
      </c>
    </row>
    <row r="477" customFormat="false" ht="15" hidden="false" customHeight="false" outlineLevel="0" collapsed="false">
      <c r="A477" s="36" t="n">
        <f aca="false">IF('Raw Orders'!B474="","",IF(MID('Raw Orders'!B474,5,1)="-",DATE(VALUE(LEFT('Raw Orders'!B474,4)),VALUE(MID('Raw Orders'!B474,6,2)),VALUE(MID('Raw Orders'!B474,9,2))),DATE(VALUE(MID('Raw Orders'!B474,7,4)),VALUE(MID('Raw Orders'!B474,4,2)),VALUE(LEFT('Raw Orders'!B474,2)))))</f>
        <v>46173</v>
      </c>
      <c r="B477" s="36" t="n">
        <f aca="false">IF(A477="","",A477-WEEKDAY(A477,3))</f>
        <v>46167</v>
      </c>
      <c r="C477" s="32" t="n">
        <f aca="false">IF(OR('Raw Orders'!C474&lt;&gt;"Product",'Raw Orders'!K474="Cancelled"),0,'Raw Orders'!G474)</f>
        <v>225</v>
      </c>
      <c r="D477" s="31" t="n">
        <f aca="false">IF(AND('Raw Orders'!C474="Product",'Raw Orders'!K474="Fulfilled",COUNTIFS('Raw Orders'!$A$2:$A474,'Raw Orders'!A474,'Raw Orders'!$C$2:$C474,"Product",'Raw Orders'!$K$2:$K474,"Fulfilled")=1),1,0)</f>
        <v>1</v>
      </c>
      <c r="E477" s="31" t="n">
        <f aca="false">IF(AND('Raw Orders'!C474="Product",'Raw Orders'!K474="Fulfilled"),'Raw Orders'!E474,0)</f>
        <v>3</v>
      </c>
      <c r="F477" s="32" t="n">
        <f aca="false">IF('Raw Orders'!K474="Refunded",'Raw Orders'!G474,0)</f>
        <v>0</v>
      </c>
    </row>
    <row r="478" customFormat="false" ht="15" hidden="false" customHeight="false" outlineLevel="0" collapsed="false">
      <c r="A478" s="36" t="n">
        <f aca="false">IF('Raw Orders'!B475="","",IF(MID('Raw Orders'!B475,5,1)="-",DATE(VALUE(LEFT('Raw Orders'!B475,4)),VALUE(MID('Raw Orders'!B475,6,2)),VALUE(MID('Raw Orders'!B475,9,2))),DATE(VALUE(MID('Raw Orders'!B475,7,4)),VALUE(MID('Raw Orders'!B475,4,2)),VALUE(LEFT('Raw Orders'!B475,2)))))</f>
        <v>46173</v>
      </c>
      <c r="B478" s="36" t="n">
        <f aca="false">IF(A478="","",A478-WEEKDAY(A478,3))</f>
        <v>46167</v>
      </c>
      <c r="C478" s="32" t="n">
        <f aca="false">IF(OR('Raw Orders'!C475&lt;&gt;"Product",'Raw Orders'!K475="Cancelled"),0,'Raw Orders'!G475)</f>
        <v>78</v>
      </c>
      <c r="D478" s="31" t="n">
        <f aca="false">IF(AND('Raw Orders'!C475="Product",'Raw Orders'!K475="Fulfilled",COUNTIFS('Raw Orders'!$A$2:$A475,'Raw Orders'!A475,'Raw Orders'!$C$2:$C475,"Product",'Raw Orders'!$K$2:$K475,"Fulfilled")=1),1,0)</f>
        <v>0</v>
      </c>
      <c r="E478" s="31" t="n">
        <f aca="false">IF(AND('Raw Orders'!C475="Product",'Raw Orders'!K475="Fulfilled"),'Raw Orders'!E475,0)</f>
        <v>2</v>
      </c>
      <c r="F478" s="32" t="n">
        <f aca="false">IF('Raw Orders'!K475="Refunded",'Raw Orders'!G475,0)</f>
        <v>0</v>
      </c>
    </row>
    <row r="479" customFormat="false" ht="15" hidden="false" customHeight="false" outlineLevel="0" collapsed="false">
      <c r="A479" s="36" t="n">
        <f aca="false">IF('Raw Orders'!B476="","",IF(MID('Raw Orders'!B476,5,1)="-",DATE(VALUE(LEFT('Raw Orders'!B476,4)),VALUE(MID('Raw Orders'!B476,6,2)),VALUE(MID('Raw Orders'!B476,9,2))),DATE(VALUE(MID('Raw Orders'!B476,7,4)),VALUE(MID('Raw Orders'!B476,4,2)),VALUE(LEFT('Raw Orders'!B476,2)))))</f>
        <v>46173</v>
      </c>
      <c r="B479" s="36" t="n">
        <f aca="false">IF(A479="","",A479-WEEKDAY(A479,3))</f>
        <v>46167</v>
      </c>
      <c r="C479" s="32" t="n">
        <f aca="false">IF(OR('Raw Orders'!C476&lt;&gt;"Product",'Raw Orders'!K476="Cancelled"),0,'Raw Orders'!G476)</f>
        <v>89</v>
      </c>
      <c r="D479" s="31" t="n">
        <f aca="false">IF(AND('Raw Orders'!C476="Product",'Raw Orders'!K476="Fulfilled",COUNTIFS('Raw Orders'!$A$2:$A476,'Raw Orders'!A476,'Raw Orders'!$C$2:$C476,"Product",'Raw Orders'!$K$2:$K476,"Fulfilled")=1),1,0)</f>
        <v>0</v>
      </c>
      <c r="E479" s="31" t="n">
        <f aca="false">IF(AND('Raw Orders'!C476="Product",'Raw Orders'!K476="Fulfilled"),'Raw Orders'!E476,0)</f>
        <v>1</v>
      </c>
      <c r="F479" s="32" t="n">
        <f aca="false">IF('Raw Orders'!K476="Refunded",'Raw Orders'!G476,0)</f>
        <v>0</v>
      </c>
    </row>
    <row r="480" customFormat="false" ht="15" hidden="false" customHeight="false" outlineLevel="0" collapsed="false">
      <c r="A480" s="36" t="n">
        <f aca="false">IF('Raw Orders'!B477="","",IF(MID('Raw Orders'!B477,5,1)="-",DATE(VALUE(LEFT('Raw Orders'!B477,4)),VALUE(MID('Raw Orders'!B477,6,2)),VALUE(MID('Raw Orders'!B477,9,2))),DATE(VALUE(MID('Raw Orders'!B477,7,4)),VALUE(MID('Raw Orders'!B477,4,2)),VALUE(LEFT('Raw Orders'!B477,2)))))</f>
        <v>46173</v>
      </c>
      <c r="B480" s="36" t="n">
        <f aca="false">IF(A480="","",A480-WEEKDAY(A480,3))</f>
        <v>46167</v>
      </c>
      <c r="C480" s="32" t="n">
        <f aca="false">IF(OR('Raw Orders'!C477&lt;&gt;"Product",'Raw Orders'!K477="Cancelled"),0,'Raw Orders'!G477)</f>
        <v>-178</v>
      </c>
      <c r="D480" s="31" t="n">
        <f aca="false">IF(AND('Raw Orders'!C477="Product",'Raw Orders'!K477="Fulfilled",COUNTIFS('Raw Orders'!$A$2:$A477,'Raw Orders'!A477,'Raw Orders'!$C$2:$C477,"Product",'Raw Orders'!$K$2:$K477,"Fulfilled")=1),1,0)</f>
        <v>0</v>
      </c>
      <c r="E480" s="31" t="n">
        <f aca="false">IF(AND('Raw Orders'!C477="Product",'Raw Orders'!K477="Fulfilled"),'Raw Orders'!E477,0)</f>
        <v>0</v>
      </c>
      <c r="F480" s="32" t="n">
        <f aca="false">IF('Raw Orders'!K477="Refunded",'Raw Orders'!G477,0)</f>
        <v>-178</v>
      </c>
    </row>
    <row r="481" customFormat="false" ht="15" hidden="false" customHeight="false" outlineLevel="0" collapsed="false">
      <c r="A481" s="36" t="n">
        <f aca="false">IF('Raw Orders'!B478="","",IF(MID('Raw Orders'!B478,5,1)="-",DATE(VALUE(LEFT('Raw Orders'!B478,4)),VALUE(MID('Raw Orders'!B478,6,2)),VALUE(MID('Raw Orders'!B478,9,2))),DATE(VALUE(MID('Raw Orders'!B478,7,4)),VALUE(MID('Raw Orders'!B478,4,2)),VALUE(LEFT('Raw Orders'!B478,2)))))</f>
        <v>46173</v>
      </c>
      <c r="B481" s="36" t="n">
        <f aca="false">IF(A481="","",A481-WEEKDAY(A481,3))</f>
        <v>46167</v>
      </c>
      <c r="C481" s="32" t="n">
        <f aca="false">IF(OR('Raw Orders'!C478&lt;&gt;"Product",'Raw Orders'!K478="Cancelled"),0,'Raw Orders'!G478)</f>
        <v>0</v>
      </c>
      <c r="D481" s="31" t="n">
        <f aca="false">IF(AND('Raw Orders'!C478="Product",'Raw Orders'!K478="Fulfilled",COUNTIFS('Raw Orders'!$A$2:$A478,'Raw Orders'!A478,'Raw Orders'!$C$2:$C478,"Product",'Raw Orders'!$K$2:$K478,"Fulfilled")=1),1,0)</f>
        <v>0</v>
      </c>
      <c r="E481" s="31" t="n">
        <f aca="false">IF(AND('Raw Orders'!C478="Product",'Raw Orders'!K478="Fulfilled"),'Raw Orders'!E478,0)</f>
        <v>0</v>
      </c>
      <c r="F481" s="32" t="n">
        <f aca="false">IF('Raw Orders'!K478="Refunded",'Raw Orders'!G478,0)</f>
        <v>0</v>
      </c>
    </row>
    <row r="482" customFormat="false" ht="15" hidden="false" customHeight="false" outlineLevel="0" collapsed="false">
      <c r="A482" s="36" t="n">
        <f aca="false">IF('Raw Orders'!B479="","",IF(MID('Raw Orders'!B479,5,1)="-",DATE(VALUE(LEFT('Raw Orders'!B479,4)),VALUE(MID('Raw Orders'!B479,6,2)),VALUE(MID('Raw Orders'!B479,9,2))),DATE(VALUE(MID('Raw Orders'!B479,7,4)),VALUE(MID('Raw Orders'!B479,4,2)),VALUE(LEFT('Raw Orders'!B479,2)))))</f>
        <v>46173</v>
      </c>
      <c r="B482" s="36" t="n">
        <f aca="false">IF(A482="","",A482-WEEKDAY(A482,3))</f>
        <v>46167</v>
      </c>
      <c r="C482" s="32" t="n">
        <f aca="false">IF(OR('Raw Orders'!C479&lt;&gt;"Product",'Raw Orders'!K479="Cancelled"),0,'Raw Orders'!G479)</f>
        <v>35</v>
      </c>
      <c r="D482" s="31" t="n">
        <f aca="false">IF(AND('Raw Orders'!C479="Product",'Raw Orders'!K479="Fulfilled",COUNTIFS('Raw Orders'!$A$2:$A479,'Raw Orders'!A479,'Raw Orders'!$C$2:$C479,"Product",'Raw Orders'!$K$2:$K479,"Fulfilled")=1),1,0)</f>
        <v>1</v>
      </c>
      <c r="E482" s="31" t="n">
        <f aca="false">IF(AND('Raw Orders'!C479="Product",'Raw Orders'!K479="Fulfilled"),'Raw Orders'!E479,0)</f>
        <v>1</v>
      </c>
      <c r="F482" s="32" t="n">
        <f aca="false">IF('Raw Orders'!K479="Refunded",'Raw Orders'!G479,0)</f>
        <v>0</v>
      </c>
    </row>
    <row r="483" customFormat="false" ht="15" hidden="false" customHeight="false" outlineLevel="0" collapsed="false">
      <c r="A483" s="36" t="n">
        <f aca="false">IF('Raw Orders'!B480="","",IF(MID('Raw Orders'!B480,5,1)="-",DATE(VALUE(LEFT('Raw Orders'!B480,4)),VALUE(MID('Raw Orders'!B480,6,2)),VALUE(MID('Raw Orders'!B480,9,2))),DATE(VALUE(MID('Raw Orders'!B480,7,4)),VALUE(MID('Raw Orders'!B480,4,2)),VALUE(LEFT('Raw Orders'!B480,2)))))</f>
        <v>46173</v>
      </c>
      <c r="B483" s="36" t="n">
        <f aca="false">IF(A483="","",A483-WEEKDAY(A483,3))</f>
        <v>46167</v>
      </c>
      <c r="C483" s="32" t="n">
        <f aca="false">IF(OR('Raw Orders'!C480&lt;&gt;"Product",'Raw Orders'!K480="Cancelled"),0,'Raw Orders'!G480)</f>
        <v>178</v>
      </c>
      <c r="D483" s="31" t="n">
        <f aca="false">IF(AND('Raw Orders'!C480="Product",'Raw Orders'!K480="Fulfilled",COUNTIFS('Raw Orders'!$A$2:$A480,'Raw Orders'!A480,'Raw Orders'!$C$2:$C480,"Product",'Raw Orders'!$K$2:$K480,"Fulfilled")=1),1,0)</f>
        <v>0</v>
      </c>
      <c r="E483" s="31" t="n">
        <f aca="false">IF(AND('Raw Orders'!C480="Product",'Raw Orders'!K480="Fulfilled"),'Raw Orders'!E480,0)</f>
        <v>2</v>
      </c>
      <c r="F483" s="32" t="n">
        <f aca="false">IF('Raw Orders'!K480="Refunded",'Raw Orders'!G480,0)</f>
        <v>0</v>
      </c>
    </row>
    <row r="484" customFormat="false" ht="15" hidden="false" customHeight="false" outlineLevel="0" collapsed="false">
      <c r="A484" s="36" t="n">
        <f aca="false">IF('Raw Orders'!B481="","",IF(MID('Raw Orders'!B481,5,1)="-",DATE(VALUE(LEFT('Raw Orders'!B481,4)),VALUE(MID('Raw Orders'!B481,6,2)),VALUE(MID('Raw Orders'!B481,9,2))),DATE(VALUE(MID('Raw Orders'!B481,7,4)),VALUE(MID('Raw Orders'!B481,4,2)),VALUE(LEFT('Raw Orders'!B481,2)))))</f>
        <v>46173</v>
      </c>
      <c r="B484" s="36" t="n">
        <f aca="false">IF(A484="","",A484-WEEKDAY(A484,3))</f>
        <v>46167</v>
      </c>
      <c r="C484" s="32" t="n">
        <f aca="false">IF(OR('Raw Orders'!C481&lt;&gt;"Product",'Raw Orders'!K481="Cancelled"),0,'Raw Orders'!G481)</f>
        <v>89</v>
      </c>
      <c r="D484" s="31" t="n">
        <f aca="false">IF(AND('Raw Orders'!C481="Product",'Raw Orders'!K481="Fulfilled",COUNTIFS('Raw Orders'!$A$2:$A481,'Raw Orders'!A481,'Raw Orders'!$C$2:$C481,"Product",'Raw Orders'!$K$2:$K481,"Fulfilled")=1),1,0)</f>
        <v>1</v>
      </c>
      <c r="E484" s="31" t="n">
        <f aca="false">IF(AND('Raw Orders'!C481="Product",'Raw Orders'!K481="Fulfilled"),'Raw Orders'!E481,0)</f>
        <v>1</v>
      </c>
      <c r="F484" s="32" t="n">
        <f aca="false">IF('Raw Orders'!K481="Refunded",'Raw Orders'!G481,0)</f>
        <v>0</v>
      </c>
    </row>
    <row r="485" customFormat="false" ht="15" hidden="false" customHeight="false" outlineLevel="0" collapsed="false">
      <c r="A485" s="36" t="n">
        <f aca="false">IF('Raw Orders'!B482="","",IF(MID('Raw Orders'!B482,5,1)="-",DATE(VALUE(LEFT('Raw Orders'!B482,4)),VALUE(MID('Raw Orders'!B482,6,2)),VALUE(MID('Raw Orders'!B482,9,2))),DATE(VALUE(MID('Raw Orders'!B482,7,4)),VALUE(MID('Raw Orders'!B482,4,2)),VALUE(LEFT('Raw Orders'!B482,2)))))</f>
        <v>46173</v>
      </c>
      <c r="B485" s="36" t="n">
        <f aca="false">IF(A485="","",A485-WEEKDAY(A485,3))</f>
        <v>46167</v>
      </c>
      <c r="C485" s="32" t="n">
        <f aca="false">IF(OR('Raw Orders'!C482&lt;&gt;"Product",'Raw Orders'!K482="Cancelled"),0,'Raw Orders'!G482)</f>
        <v>0</v>
      </c>
      <c r="D485" s="31" t="n">
        <f aca="false">IF(AND('Raw Orders'!C482="Product",'Raw Orders'!K482="Fulfilled",COUNTIFS('Raw Orders'!$A$2:$A482,'Raw Orders'!A482,'Raw Orders'!$C$2:$C482,"Product",'Raw Orders'!$K$2:$K482,"Fulfilled")=1),1,0)</f>
        <v>0</v>
      </c>
      <c r="E485" s="31" t="n">
        <f aca="false">IF(AND('Raw Orders'!C482="Product",'Raw Orders'!K482="Fulfilled"),'Raw Orders'!E482,0)</f>
        <v>0</v>
      </c>
      <c r="F485" s="32" t="n">
        <f aca="false">IF('Raw Orders'!K482="Refunded",'Raw Orders'!G482,0)</f>
        <v>0</v>
      </c>
    </row>
    <row r="486" customFormat="false" ht="15" hidden="false" customHeight="false" outlineLevel="0" collapsed="false">
      <c r="A486" s="36" t="n">
        <f aca="false">IF('Raw Orders'!B483="","",IF(MID('Raw Orders'!B483,5,1)="-",DATE(VALUE(LEFT('Raw Orders'!B483,4)),VALUE(MID('Raw Orders'!B483,6,2)),VALUE(MID('Raw Orders'!B483,9,2))),DATE(VALUE(MID('Raw Orders'!B483,7,4)),VALUE(MID('Raw Orders'!B483,4,2)),VALUE(LEFT('Raw Orders'!B483,2)))))</f>
        <v>46174</v>
      </c>
      <c r="B486" s="36" t="n">
        <f aca="false">IF(A486="","",A486-WEEKDAY(A486,3))</f>
        <v>46174</v>
      </c>
      <c r="C486" s="32" t="n">
        <f aca="false">IF(OR('Raw Orders'!C483&lt;&gt;"Product",'Raw Orders'!K483="Cancelled"),0,'Raw Orders'!G483)</f>
        <v>29</v>
      </c>
      <c r="D486" s="31" t="n">
        <f aca="false">IF(AND('Raw Orders'!C483="Product",'Raw Orders'!K483="Fulfilled",COUNTIFS('Raw Orders'!$A$2:$A483,'Raw Orders'!A483,'Raw Orders'!$C$2:$C483,"Product",'Raw Orders'!$K$2:$K483,"Fulfilled")=1),1,0)</f>
        <v>1</v>
      </c>
      <c r="E486" s="31" t="n">
        <f aca="false">IF(AND('Raw Orders'!C483="Product",'Raw Orders'!K483="Fulfilled"),'Raw Orders'!E483,0)</f>
        <v>1</v>
      </c>
      <c r="F486" s="32" t="n">
        <f aca="false">IF('Raw Orders'!K483="Refunded",'Raw Orders'!G483,0)</f>
        <v>0</v>
      </c>
    </row>
    <row r="487" customFormat="false" ht="15" hidden="false" customHeight="false" outlineLevel="0" collapsed="false">
      <c r="A487" s="36" t="n">
        <f aca="false">IF('Raw Orders'!B484="","",IF(MID('Raw Orders'!B484,5,1)="-",DATE(VALUE(LEFT('Raw Orders'!B484,4)),VALUE(MID('Raw Orders'!B484,6,2)),VALUE(MID('Raw Orders'!B484,9,2))),DATE(VALUE(MID('Raw Orders'!B484,7,4)),VALUE(MID('Raw Orders'!B484,4,2)),VALUE(LEFT('Raw Orders'!B484,2)))))</f>
        <v>46174</v>
      </c>
      <c r="B487" s="36" t="n">
        <f aca="false">IF(A487="","",A487-WEEKDAY(A487,3))</f>
        <v>46174</v>
      </c>
      <c r="C487" s="32" t="n">
        <f aca="false">IF(OR('Raw Orders'!C484&lt;&gt;"Product",'Raw Orders'!K484="Cancelled"),0,'Raw Orders'!G484)</f>
        <v>0</v>
      </c>
      <c r="D487" s="31" t="n">
        <f aca="false">IF(AND('Raw Orders'!C484="Product",'Raw Orders'!K484="Fulfilled",COUNTIFS('Raw Orders'!$A$2:$A484,'Raw Orders'!A484,'Raw Orders'!$C$2:$C484,"Product",'Raw Orders'!$K$2:$K484,"Fulfilled")=1),1,0)</f>
        <v>0</v>
      </c>
      <c r="E487" s="31" t="n">
        <f aca="false">IF(AND('Raw Orders'!C484="Product",'Raw Orders'!K484="Fulfilled"),'Raw Orders'!E484,0)</f>
        <v>0</v>
      </c>
      <c r="F487" s="32" t="n">
        <f aca="false">IF('Raw Orders'!K484="Refunded",'Raw Orders'!G484,0)</f>
        <v>0</v>
      </c>
    </row>
    <row r="488" customFormat="false" ht="15" hidden="false" customHeight="false" outlineLevel="0" collapsed="false">
      <c r="A488" s="36" t="n">
        <f aca="false">IF('Raw Orders'!B485="","",IF(MID('Raw Orders'!B485,5,1)="-",DATE(VALUE(LEFT('Raw Orders'!B485,4)),VALUE(MID('Raw Orders'!B485,6,2)),VALUE(MID('Raw Orders'!B485,9,2))),DATE(VALUE(MID('Raw Orders'!B485,7,4)),VALUE(MID('Raw Orders'!B485,4,2)),VALUE(LEFT('Raw Orders'!B485,2)))))</f>
        <v>46174</v>
      </c>
      <c r="B488" s="36" t="n">
        <f aca="false">IF(A488="","",A488-WEEKDAY(A488,3))</f>
        <v>46174</v>
      </c>
      <c r="C488" s="32" t="n">
        <f aca="false">IF(OR('Raw Orders'!C485&lt;&gt;"Product",'Raw Orders'!K485="Cancelled"),0,'Raw Orders'!G485)</f>
        <v>75</v>
      </c>
      <c r="D488" s="31" t="n">
        <f aca="false">IF(AND('Raw Orders'!C485="Product",'Raw Orders'!K485="Fulfilled",COUNTIFS('Raw Orders'!$A$2:$A485,'Raw Orders'!A485,'Raw Orders'!$C$2:$C485,"Product",'Raw Orders'!$K$2:$K485,"Fulfilled")=1),1,0)</f>
        <v>0</v>
      </c>
      <c r="E488" s="31" t="n">
        <f aca="false">IF(AND('Raw Orders'!C485="Product",'Raw Orders'!K485="Fulfilled"),'Raw Orders'!E485,0)</f>
        <v>1</v>
      </c>
      <c r="F488" s="32" t="n">
        <f aca="false">IF('Raw Orders'!K485="Refunded",'Raw Orders'!G485,0)</f>
        <v>0</v>
      </c>
    </row>
    <row r="489" customFormat="false" ht="15" hidden="false" customHeight="false" outlineLevel="0" collapsed="false">
      <c r="A489" s="36" t="n">
        <f aca="false">IF('Raw Orders'!B486="","",IF(MID('Raw Orders'!B486,5,1)="-",DATE(VALUE(LEFT('Raw Orders'!B486,4)),VALUE(MID('Raw Orders'!B486,6,2)),VALUE(MID('Raw Orders'!B486,9,2))),DATE(VALUE(MID('Raw Orders'!B486,7,4)),VALUE(MID('Raw Orders'!B486,4,2)),VALUE(LEFT('Raw Orders'!B486,2)))))</f>
        <v>46174</v>
      </c>
      <c r="B489" s="36" t="n">
        <f aca="false">IF(A489="","",A489-WEEKDAY(A489,3))</f>
        <v>46174</v>
      </c>
      <c r="C489" s="32" t="n">
        <f aca="false">IF(OR('Raw Orders'!C486&lt;&gt;"Product",'Raw Orders'!K486="Cancelled"),0,'Raw Orders'!G486)</f>
        <v>178</v>
      </c>
      <c r="D489" s="31" t="n">
        <f aca="false">IF(AND('Raw Orders'!C486="Product",'Raw Orders'!K486="Fulfilled",COUNTIFS('Raw Orders'!$A$2:$A486,'Raw Orders'!A486,'Raw Orders'!$C$2:$C486,"Product",'Raw Orders'!$K$2:$K486,"Fulfilled")=1),1,0)</f>
        <v>1</v>
      </c>
      <c r="E489" s="31" t="n">
        <f aca="false">IF(AND('Raw Orders'!C486="Product",'Raw Orders'!K486="Fulfilled"),'Raw Orders'!E486,0)</f>
        <v>2</v>
      </c>
      <c r="F489" s="32" t="n">
        <f aca="false">IF('Raw Orders'!K486="Refunded",'Raw Orders'!G486,0)</f>
        <v>0</v>
      </c>
    </row>
    <row r="490" customFormat="false" ht="15" hidden="false" customHeight="false" outlineLevel="0" collapsed="false">
      <c r="A490" s="36" t="n">
        <f aca="false">IF('Raw Orders'!B487="","",IF(MID('Raw Orders'!B487,5,1)="-",DATE(VALUE(LEFT('Raw Orders'!B487,4)),VALUE(MID('Raw Orders'!B487,6,2)),VALUE(MID('Raw Orders'!B487,9,2))),DATE(VALUE(MID('Raw Orders'!B487,7,4)),VALUE(MID('Raw Orders'!B487,4,2)),VALUE(LEFT('Raw Orders'!B487,2)))))</f>
        <v>46174</v>
      </c>
      <c r="B490" s="36" t="n">
        <f aca="false">IF(A490="","",A490-WEEKDAY(A490,3))</f>
        <v>46174</v>
      </c>
      <c r="C490" s="32" t="n">
        <f aca="false">IF(OR('Raw Orders'!C487&lt;&gt;"Product",'Raw Orders'!K487="Cancelled"),0,'Raw Orders'!G487)</f>
        <v>0</v>
      </c>
      <c r="D490" s="31" t="n">
        <f aca="false">IF(AND('Raw Orders'!C487="Product",'Raw Orders'!K487="Fulfilled",COUNTIFS('Raw Orders'!$A$2:$A487,'Raw Orders'!A487,'Raw Orders'!$C$2:$C487,"Product",'Raw Orders'!$K$2:$K487,"Fulfilled")=1),1,0)</f>
        <v>0</v>
      </c>
      <c r="E490" s="31" t="n">
        <f aca="false">IF(AND('Raw Orders'!C487="Product",'Raw Orders'!K487="Fulfilled"),'Raw Orders'!E487,0)</f>
        <v>0</v>
      </c>
      <c r="F490" s="32" t="n">
        <f aca="false">IF('Raw Orders'!K487="Refunded",'Raw Orders'!G487,0)</f>
        <v>0</v>
      </c>
    </row>
    <row r="491" customFormat="false" ht="15" hidden="false" customHeight="false" outlineLevel="0" collapsed="false">
      <c r="A491" s="36" t="n">
        <f aca="false">IF('Raw Orders'!B488="","",IF(MID('Raw Orders'!B488,5,1)="-",DATE(VALUE(LEFT('Raw Orders'!B488,4)),VALUE(MID('Raw Orders'!B488,6,2)),VALUE(MID('Raw Orders'!B488,9,2))),DATE(VALUE(MID('Raw Orders'!B488,7,4)),VALUE(MID('Raw Orders'!B488,4,2)),VALUE(LEFT('Raw Orders'!B488,2)))))</f>
        <v>46174</v>
      </c>
      <c r="B491" s="36" t="n">
        <f aca="false">IF(A491="","",A491-WEEKDAY(A491,3))</f>
        <v>46174</v>
      </c>
      <c r="C491" s="32" t="n">
        <f aca="false">IF(OR('Raw Orders'!C488&lt;&gt;"Product",'Raw Orders'!K488="Cancelled"),0,'Raw Orders'!G488)</f>
        <v>0</v>
      </c>
      <c r="D491" s="31" t="n">
        <f aca="false">IF(AND('Raw Orders'!C488="Product",'Raw Orders'!K488="Fulfilled",COUNTIFS('Raw Orders'!$A$2:$A488,'Raw Orders'!A488,'Raw Orders'!$C$2:$C488,"Product",'Raw Orders'!$K$2:$K488,"Fulfilled")=1),1,0)</f>
        <v>0</v>
      </c>
      <c r="E491" s="31" t="n">
        <f aca="false">IF(AND('Raw Orders'!C488="Product",'Raw Orders'!K488="Fulfilled"),'Raw Orders'!E488,0)</f>
        <v>0</v>
      </c>
      <c r="F491" s="32" t="n">
        <f aca="false">IF('Raw Orders'!K488="Refunded",'Raw Orders'!G488,0)</f>
        <v>0</v>
      </c>
    </row>
    <row r="492" customFormat="false" ht="15" hidden="false" customHeight="false" outlineLevel="0" collapsed="false">
      <c r="A492" s="36" t="n">
        <f aca="false">IF('Raw Orders'!B489="","",IF(MID('Raw Orders'!B489,5,1)="-",DATE(VALUE(LEFT('Raw Orders'!B489,4)),VALUE(MID('Raw Orders'!B489,6,2)),VALUE(MID('Raw Orders'!B489,9,2))),DATE(VALUE(MID('Raw Orders'!B489,7,4)),VALUE(MID('Raw Orders'!B489,4,2)),VALUE(LEFT('Raw Orders'!B489,2)))))</f>
        <v>46174</v>
      </c>
      <c r="B492" s="36" t="n">
        <f aca="false">IF(A492="","",A492-WEEKDAY(A492,3))</f>
        <v>46174</v>
      </c>
      <c r="C492" s="32" t="n">
        <f aca="false">IF(OR('Raw Orders'!C489&lt;&gt;"Product",'Raw Orders'!K489="Cancelled"),0,'Raw Orders'!G489)</f>
        <v>29</v>
      </c>
      <c r="D492" s="31" t="n">
        <f aca="false">IF(AND('Raw Orders'!C489="Product",'Raw Orders'!K489="Fulfilled",COUNTIFS('Raw Orders'!$A$2:$A489,'Raw Orders'!A489,'Raw Orders'!$C$2:$C489,"Product",'Raw Orders'!$K$2:$K489,"Fulfilled")=1),1,0)</f>
        <v>1</v>
      </c>
      <c r="E492" s="31" t="n">
        <f aca="false">IF(AND('Raw Orders'!C489="Product",'Raw Orders'!K489="Fulfilled"),'Raw Orders'!E489,0)</f>
        <v>1</v>
      </c>
      <c r="F492" s="32" t="n">
        <f aca="false">IF('Raw Orders'!K489="Refunded",'Raw Orders'!G489,0)</f>
        <v>0</v>
      </c>
    </row>
    <row r="493" customFormat="false" ht="15" hidden="false" customHeight="false" outlineLevel="0" collapsed="false">
      <c r="A493" s="36" t="n">
        <f aca="false">IF('Raw Orders'!B490="","",IF(MID('Raw Orders'!B490,5,1)="-",DATE(VALUE(LEFT('Raw Orders'!B490,4)),VALUE(MID('Raw Orders'!B490,6,2)),VALUE(MID('Raw Orders'!B490,9,2))),DATE(VALUE(MID('Raw Orders'!B490,7,4)),VALUE(MID('Raw Orders'!B490,4,2)),VALUE(LEFT('Raw Orders'!B490,2)))))</f>
        <v>46174</v>
      </c>
      <c r="B493" s="36" t="n">
        <f aca="false">IF(A493="","",A493-WEEKDAY(A493,3))</f>
        <v>46174</v>
      </c>
      <c r="C493" s="32" t="n">
        <f aca="false">IF(OR('Raw Orders'!C490&lt;&gt;"Product",'Raw Orders'!K490="Cancelled"),0,'Raw Orders'!G490)</f>
        <v>0</v>
      </c>
      <c r="D493" s="31" t="n">
        <f aca="false">IF(AND('Raw Orders'!C490="Product",'Raw Orders'!K490="Fulfilled",COUNTIFS('Raw Orders'!$A$2:$A490,'Raw Orders'!A490,'Raw Orders'!$C$2:$C490,"Product",'Raw Orders'!$K$2:$K490,"Fulfilled")=1),1,0)</f>
        <v>0</v>
      </c>
      <c r="E493" s="31" t="n">
        <f aca="false">IF(AND('Raw Orders'!C490="Product",'Raw Orders'!K490="Fulfilled"),'Raw Orders'!E490,0)</f>
        <v>0</v>
      </c>
      <c r="F493" s="32" t="n">
        <f aca="false">IF('Raw Orders'!K490="Refunded",'Raw Orders'!G490,0)</f>
        <v>0</v>
      </c>
    </row>
    <row r="494" customFormat="false" ht="15" hidden="false" customHeight="false" outlineLevel="0" collapsed="false">
      <c r="A494" s="36" t="n">
        <f aca="false">IF('Raw Orders'!B491="","",IF(MID('Raw Orders'!B491,5,1)="-",DATE(VALUE(LEFT('Raw Orders'!B491,4)),VALUE(MID('Raw Orders'!B491,6,2)),VALUE(MID('Raw Orders'!B491,9,2))),DATE(VALUE(MID('Raw Orders'!B491,7,4)),VALUE(MID('Raw Orders'!B491,4,2)),VALUE(LEFT('Raw Orders'!B491,2)))))</f>
        <v>46174</v>
      </c>
      <c r="B494" s="36" t="n">
        <f aca="false">IF(A494="","",A494-WEEKDAY(A494,3))</f>
        <v>46174</v>
      </c>
      <c r="C494" s="32" t="n">
        <f aca="false">IF(OR('Raw Orders'!C491&lt;&gt;"Product",'Raw Orders'!K491="Cancelled"),0,'Raw Orders'!G491)</f>
        <v>90</v>
      </c>
      <c r="D494" s="31" t="n">
        <f aca="false">IF(AND('Raw Orders'!C491="Product",'Raw Orders'!K491="Fulfilled",COUNTIFS('Raw Orders'!$A$2:$A491,'Raw Orders'!A491,'Raw Orders'!$C$2:$C491,"Product",'Raw Orders'!$K$2:$K491,"Fulfilled")=1),1,0)</f>
        <v>1</v>
      </c>
      <c r="E494" s="31" t="n">
        <f aca="false">IF(AND('Raw Orders'!C491="Product",'Raw Orders'!K491="Fulfilled"),'Raw Orders'!E491,0)</f>
        <v>2</v>
      </c>
      <c r="F494" s="32" t="n">
        <f aca="false">IF('Raw Orders'!K491="Refunded",'Raw Orders'!G491,0)</f>
        <v>0</v>
      </c>
    </row>
    <row r="495" customFormat="false" ht="15" hidden="false" customHeight="false" outlineLevel="0" collapsed="false">
      <c r="A495" s="36" t="n">
        <f aca="false">IF('Raw Orders'!B492="","",IF(MID('Raw Orders'!B492,5,1)="-",DATE(VALUE(LEFT('Raw Orders'!B492,4)),VALUE(MID('Raw Orders'!B492,6,2)),VALUE(MID('Raw Orders'!B492,9,2))),DATE(VALUE(MID('Raw Orders'!B492,7,4)),VALUE(MID('Raw Orders'!B492,4,2)),VALUE(LEFT('Raw Orders'!B492,2)))))</f>
        <v>46174</v>
      </c>
      <c r="B495" s="36" t="n">
        <f aca="false">IF(A495="","",A495-WEEKDAY(A495,3))</f>
        <v>46174</v>
      </c>
      <c r="C495" s="32" t="n">
        <f aca="false">IF(OR('Raw Orders'!C492&lt;&gt;"Product",'Raw Orders'!K492="Cancelled"),0,'Raw Orders'!G492)</f>
        <v>0</v>
      </c>
      <c r="D495" s="31" t="n">
        <f aca="false">IF(AND('Raw Orders'!C492="Product",'Raw Orders'!K492="Fulfilled",COUNTIFS('Raw Orders'!$A$2:$A492,'Raw Orders'!A492,'Raw Orders'!$C$2:$C492,"Product",'Raw Orders'!$K$2:$K492,"Fulfilled")=1),1,0)</f>
        <v>0</v>
      </c>
      <c r="E495" s="31" t="n">
        <f aca="false">IF(AND('Raw Orders'!C492="Product",'Raw Orders'!K492="Fulfilled"),'Raw Orders'!E492,0)</f>
        <v>0</v>
      </c>
      <c r="F495" s="32" t="n">
        <f aca="false">IF('Raw Orders'!K492="Refunded",'Raw Orders'!G492,0)</f>
        <v>0</v>
      </c>
    </row>
    <row r="496" customFormat="false" ht="15" hidden="false" customHeight="false" outlineLevel="0" collapsed="false">
      <c r="A496" s="36" t="n">
        <f aca="false">IF('Raw Orders'!B493="","",IF(MID('Raw Orders'!B493,5,1)="-",DATE(VALUE(LEFT('Raw Orders'!B493,4)),VALUE(MID('Raw Orders'!B493,6,2)),VALUE(MID('Raw Orders'!B493,9,2))),DATE(VALUE(MID('Raw Orders'!B493,7,4)),VALUE(MID('Raw Orders'!B493,4,2)),VALUE(LEFT('Raw Orders'!B493,2)))))</f>
        <v>46174</v>
      </c>
      <c r="B496" s="36" t="n">
        <f aca="false">IF(A496="","",A496-WEEKDAY(A496,3))</f>
        <v>46174</v>
      </c>
      <c r="C496" s="32" t="n">
        <f aca="false">IF(OR('Raw Orders'!C493&lt;&gt;"Product",'Raw Orders'!K493="Cancelled"),0,'Raw Orders'!G493)</f>
        <v>39</v>
      </c>
      <c r="D496" s="31" t="n">
        <f aca="false">IF(AND('Raw Orders'!C493="Product",'Raw Orders'!K493="Fulfilled",COUNTIFS('Raw Orders'!$A$2:$A493,'Raw Orders'!A493,'Raw Orders'!$C$2:$C493,"Product",'Raw Orders'!$K$2:$K493,"Fulfilled")=1),1,0)</f>
        <v>1</v>
      </c>
      <c r="E496" s="31" t="n">
        <f aca="false">IF(AND('Raw Orders'!C493="Product",'Raw Orders'!K493="Fulfilled"),'Raw Orders'!E493,0)</f>
        <v>1</v>
      </c>
      <c r="F496" s="32" t="n">
        <f aca="false">IF('Raw Orders'!K493="Refunded",'Raw Orders'!G493,0)</f>
        <v>0</v>
      </c>
    </row>
    <row r="497" customFormat="false" ht="15" hidden="false" customHeight="false" outlineLevel="0" collapsed="false">
      <c r="A497" s="36" t="n">
        <f aca="false">IF('Raw Orders'!B494="","",IF(MID('Raw Orders'!B494,5,1)="-",DATE(VALUE(LEFT('Raw Orders'!B494,4)),VALUE(MID('Raw Orders'!B494,6,2)),VALUE(MID('Raw Orders'!B494,9,2))),DATE(VALUE(MID('Raw Orders'!B494,7,4)),VALUE(MID('Raw Orders'!B494,4,2)),VALUE(LEFT('Raw Orders'!B494,2)))))</f>
        <v>46174</v>
      </c>
      <c r="B497" s="36" t="n">
        <f aca="false">IF(A497="","",A497-WEEKDAY(A497,3))</f>
        <v>46174</v>
      </c>
      <c r="C497" s="32" t="n">
        <f aca="false">IF(OR('Raw Orders'!C494&lt;&gt;"Product",'Raw Orders'!K494="Cancelled"),0,'Raw Orders'!G494)</f>
        <v>29.75</v>
      </c>
      <c r="D497" s="31" t="n">
        <f aca="false">IF(AND('Raw Orders'!C494="Product",'Raw Orders'!K494="Fulfilled",COUNTIFS('Raw Orders'!$A$2:$A494,'Raw Orders'!A494,'Raw Orders'!$C$2:$C494,"Product",'Raw Orders'!$K$2:$K494,"Fulfilled")=1),1,0)</f>
        <v>1</v>
      </c>
      <c r="E497" s="31" t="n">
        <f aca="false">IF(AND('Raw Orders'!C494="Product",'Raw Orders'!K494="Fulfilled"),'Raw Orders'!E494,0)</f>
        <v>1</v>
      </c>
      <c r="F497" s="32" t="n">
        <f aca="false">IF('Raw Orders'!K494="Refunded",'Raw Orders'!G494,0)</f>
        <v>0</v>
      </c>
    </row>
    <row r="498" customFormat="false" ht="15" hidden="false" customHeight="false" outlineLevel="0" collapsed="false">
      <c r="A498" s="36" t="n">
        <f aca="false">IF('Raw Orders'!B495="","",IF(MID('Raw Orders'!B495,5,1)="-",DATE(VALUE(LEFT('Raw Orders'!B495,4)),VALUE(MID('Raw Orders'!B495,6,2)),VALUE(MID('Raw Orders'!B495,9,2))),DATE(VALUE(MID('Raw Orders'!B495,7,4)),VALUE(MID('Raw Orders'!B495,4,2)),VALUE(LEFT('Raw Orders'!B495,2)))))</f>
        <v>46174</v>
      </c>
      <c r="B498" s="36" t="n">
        <f aca="false">IF(A498="","",A498-WEEKDAY(A498,3))</f>
        <v>46174</v>
      </c>
      <c r="C498" s="32" t="n">
        <f aca="false">IF(OR('Raw Orders'!C495&lt;&gt;"Product",'Raw Orders'!K495="Cancelled"),0,'Raw Orders'!G495)</f>
        <v>0</v>
      </c>
      <c r="D498" s="31" t="n">
        <f aca="false">IF(AND('Raw Orders'!C495="Product",'Raw Orders'!K495="Fulfilled",COUNTIFS('Raw Orders'!$A$2:$A495,'Raw Orders'!A495,'Raw Orders'!$C$2:$C495,"Product",'Raw Orders'!$K$2:$K495,"Fulfilled")=1),1,0)</f>
        <v>0</v>
      </c>
      <c r="E498" s="31" t="n">
        <f aca="false">IF(AND('Raw Orders'!C495="Product",'Raw Orders'!K495="Fulfilled"),'Raw Orders'!E495,0)</f>
        <v>0</v>
      </c>
      <c r="F498" s="32" t="n">
        <f aca="false">IF('Raw Orders'!K495="Refunded",'Raw Orders'!G495,0)</f>
        <v>0</v>
      </c>
    </row>
    <row r="499" customFormat="false" ht="15" hidden="false" customHeight="false" outlineLevel="0" collapsed="false">
      <c r="A499" s="36" t="n">
        <f aca="false">IF('Raw Orders'!B496="","",IF(MID('Raw Orders'!B496,5,1)="-",DATE(VALUE(LEFT('Raw Orders'!B496,4)),VALUE(MID('Raw Orders'!B496,6,2)),VALUE(MID('Raw Orders'!B496,9,2))),DATE(VALUE(MID('Raw Orders'!B496,7,4)),VALUE(MID('Raw Orders'!B496,4,2)),VALUE(LEFT('Raw Orders'!B496,2)))))</f>
        <v>46174</v>
      </c>
      <c r="B499" s="36" t="n">
        <f aca="false">IF(A499="","",A499-WEEKDAY(A499,3))</f>
        <v>46174</v>
      </c>
      <c r="C499" s="32" t="n">
        <f aca="false">IF(OR('Raw Orders'!C496&lt;&gt;"Product",'Raw Orders'!K496="Cancelled"),0,'Raw Orders'!G496)</f>
        <v>89</v>
      </c>
      <c r="D499" s="31" t="n">
        <f aca="false">IF(AND('Raw Orders'!C496="Product",'Raw Orders'!K496="Fulfilled",COUNTIFS('Raw Orders'!$A$2:$A496,'Raw Orders'!A496,'Raw Orders'!$C$2:$C496,"Product",'Raw Orders'!$K$2:$K496,"Fulfilled")=1),1,0)</f>
        <v>0</v>
      </c>
      <c r="E499" s="31" t="n">
        <f aca="false">IF(AND('Raw Orders'!C496="Product",'Raw Orders'!K496="Fulfilled"),'Raw Orders'!E496,0)</f>
        <v>1</v>
      </c>
      <c r="F499" s="32" t="n">
        <f aca="false">IF('Raw Orders'!K496="Refunded",'Raw Orders'!G496,0)</f>
        <v>0</v>
      </c>
    </row>
    <row r="500" customFormat="false" ht="15" hidden="false" customHeight="false" outlineLevel="0" collapsed="false">
      <c r="A500" s="36" t="n">
        <f aca="false">IF('Raw Orders'!B497="","",IF(MID('Raw Orders'!B497,5,1)="-",DATE(VALUE(LEFT('Raw Orders'!B497,4)),VALUE(MID('Raw Orders'!B497,6,2)),VALUE(MID('Raw Orders'!B497,9,2))),DATE(VALUE(MID('Raw Orders'!B497,7,4)),VALUE(MID('Raw Orders'!B497,4,2)),VALUE(LEFT('Raw Orders'!B497,2)))))</f>
        <v>46174</v>
      </c>
      <c r="B500" s="36" t="n">
        <f aca="false">IF(A500="","",A500-WEEKDAY(A500,3))</f>
        <v>46174</v>
      </c>
      <c r="C500" s="32" t="n">
        <f aca="false">IF(OR('Raw Orders'!C497&lt;&gt;"Product",'Raw Orders'!K497="Cancelled"),0,'Raw Orders'!G497)</f>
        <v>32</v>
      </c>
      <c r="D500" s="31" t="n">
        <f aca="false">IF(AND('Raw Orders'!C497="Product",'Raw Orders'!K497="Fulfilled",COUNTIFS('Raw Orders'!$A$2:$A497,'Raw Orders'!A497,'Raw Orders'!$C$2:$C497,"Product",'Raw Orders'!$K$2:$K497,"Fulfilled")=1),1,0)</f>
        <v>1</v>
      </c>
      <c r="E500" s="31" t="n">
        <f aca="false">IF(AND('Raw Orders'!C497="Product",'Raw Orders'!K497="Fulfilled"),'Raw Orders'!E497,0)</f>
        <v>1</v>
      </c>
      <c r="F500" s="32" t="n">
        <f aca="false">IF('Raw Orders'!K497="Refunded",'Raw Orders'!G497,0)</f>
        <v>0</v>
      </c>
    </row>
    <row r="501" customFormat="false" ht="15" hidden="false" customHeight="false" outlineLevel="0" collapsed="false">
      <c r="A501" s="36" t="n">
        <f aca="false">IF('Raw Orders'!B498="","",IF(MID('Raw Orders'!B498,5,1)="-",DATE(VALUE(LEFT('Raw Orders'!B498,4)),VALUE(MID('Raw Orders'!B498,6,2)),VALUE(MID('Raw Orders'!B498,9,2))),DATE(VALUE(MID('Raw Orders'!B498,7,4)),VALUE(MID('Raw Orders'!B498,4,2)),VALUE(LEFT('Raw Orders'!B498,2)))))</f>
        <v>46174</v>
      </c>
      <c r="B501" s="36" t="n">
        <f aca="false">IF(A501="","",A501-WEEKDAY(A501,3))</f>
        <v>46174</v>
      </c>
      <c r="C501" s="32" t="n">
        <f aca="false">IF(OR('Raw Orders'!C498&lt;&gt;"Product",'Raw Orders'!K498="Cancelled"),0,'Raw Orders'!G498)</f>
        <v>45</v>
      </c>
      <c r="D501" s="31" t="n">
        <f aca="false">IF(AND('Raw Orders'!C498="Product",'Raw Orders'!K498="Fulfilled",COUNTIFS('Raw Orders'!$A$2:$A498,'Raw Orders'!A498,'Raw Orders'!$C$2:$C498,"Product",'Raw Orders'!$K$2:$K498,"Fulfilled")=1),1,0)</f>
        <v>0</v>
      </c>
      <c r="E501" s="31" t="n">
        <f aca="false">IF(AND('Raw Orders'!C498="Product",'Raw Orders'!K498="Fulfilled"),'Raw Orders'!E498,0)</f>
        <v>1</v>
      </c>
      <c r="F501" s="32" t="n">
        <f aca="false">IF('Raw Orders'!K498="Refunded",'Raw Orders'!G498,0)</f>
        <v>0</v>
      </c>
    </row>
    <row r="502" customFormat="false" ht="15" hidden="false" customHeight="false" outlineLevel="0" collapsed="false">
      <c r="A502" s="36" t="n">
        <f aca="false">IF('Raw Orders'!B499="","",IF(MID('Raw Orders'!B499,5,1)="-",DATE(VALUE(LEFT('Raw Orders'!B499,4)),VALUE(MID('Raw Orders'!B499,6,2)),VALUE(MID('Raw Orders'!B499,9,2))),DATE(VALUE(MID('Raw Orders'!B499,7,4)),VALUE(MID('Raw Orders'!B499,4,2)),VALUE(LEFT('Raw Orders'!B499,2)))))</f>
        <v>46174</v>
      </c>
      <c r="B502" s="36" t="n">
        <f aca="false">IF(A502="","",A502-WEEKDAY(A502,3))</f>
        <v>46174</v>
      </c>
      <c r="C502" s="32" t="n">
        <f aca="false">IF(OR('Raw Orders'!C499&lt;&gt;"Product",'Raw Orders'!K499="Cancelled"),0,'Raw Orders'!G499)</f>
        <v>178</v>
      </c>
      <c r="D502" s="31" t="n">
        <f aca="false">IF(AND('Raw Orders'!C499="Product",'Raw Orders'!K499="Fulfilled",COUNTIFS('Raw Orders'!$A$2:$A499,'Raw Orders'!A499,'Raw Orders'!$C$2:$C499,"Product",'Raw Orders'!$K$2:$K499,"Fulfilled")=1),1,0)</f>
        <v>1</v>
      </c>
      <c r="E502" s="31" t="n">
        <f aca="false">IF(AND('Raw Orders'!C499="Product",'Raw Orders'!K499="Fulfilled"),'Raw Orders'!E499,0)</f>
        <v>2</v>
      </c>
      <c r="F502" s="32" t="n">
        <f aca="false">IF('Raw Orders'!K499="Refunded",'Raw Orders'!G499,0)</f>
        <v>0</v>
      </c>
    </row>
    <row r="503" customFormat="false" ht="15" hidden="false" customHeight="false" outlineLevel="0" collapsed="false">
      <c r="A503" s="36" t="n">
        <f aca="false">IF('Raw Orders'!B500="","",IF(MID('Raw Orders'!B500,5,1)="-",DATE(VALUE(LEFT('Raw Orders'!B500,4)),VALUE(MID('Raw Orders'!B500,6,2)),VALUE(MID('Raw Orders'!B500,9,2))),DATE(VALUE(MID('Raw Orders'!B500,7,4)),VALUE(MID('Raw Orders'!B500,4,2)),VALUE(LEFT('Raw Orders'!B500,2)))))</f>
        <v>46174</v>
      </c>
      <c r="B503" s="36" t="n">
        <f aca="false">IF(A503="","",A503-WEEKDAY(A503,3))</f>
        <v>46174</v>
      </c>
      <c r="C503" s="32" t="n">
        <f aca="false">IF(OR('Raw Orders'!C500&lt;&gt;"Product",'Raw Orders'!K500="Cancelled"),0,'Raw Orders'!G500)</f>
        <v>75</v>
      </c>
      <c r="D503" s="31" t="n">
        <f aca="false">IF(AND('Raw Orders'!C500="Product",'Raw Orders'!K500="Fulfilled",COUNTIFS('Raw Orders'!$A$2:$A500,'Raw Orders'!A500,'Raw Orders'!$C$2:$C500,"Product",'Raw Orders'!$K$2:$K500,"Fulfilled")=1),1,0)</f>
        <v>1</v>
      </c>
      <c r="E503" s="31" t="n">
        <f aca="false">IF(AND('Raw Orders'!C500="Product",'Raw Orders'!K500="Fulfilled"),'Raw Orders'!E500,0)</f>
        <v>1</v>
      </c>
      <c r="F503" s="32" t="n">
        <f aca="false">IF('Raw Orders'!K500="Refunded",'Raw Orders'!G500,0)</f>
        <v>0</v>
      </c>
    </row>
    <row r="504" customFormat="false" ht="15" hidden="false" customHeight="false" outlineLevel="0" collapsed="false">
      <c r="A504" s="36" t="n">
        <f aca="false">IF('Raw Orders'!B501="","",IF(MID('Raw Orders'!B501,5,1)="-",DATE(VALUE(LEFT('Raw Orders'!B501,4)),VALUE(MID('Raw Orders'!B501,6,2)),VALUE(MID('Raw Orders'!B501,9,2))),DATE(VALUE(MID('Raw Orders'!B501,7,4)),VALUE(MID('Raw Orders'!B501,4,2)),VALUE(LEFT('Raw Orders'!B501,2)))))</f>
        <v>46174</v>
      </c>
      <c r="B504" s="36" t="n">
        <f aca="false">IF(A504="","",A504-WEEKDAY(A504,3))</f>
        <v>46174</v>
      </c>
      <c r="C504" s="32" t="n">
        <f aca="false">IF(OR('Raw Orders'!C501&lt;&gt;"Product",'Raw Orders'!K501="Cancelled"),0,'Raw Orders'!G501)</f>
        <v>0</v>
      </c>
      <c r="D504" s="31" t="n">
        <f aca="false">IF(AND('Raw Orders'!C501="Product",'Raw Orders'!K501="Fulfilled",COUNTIFS('Raw Orders'!$A$2:$A501,'Raw Orders'!A501,'Raw Orders'!$C$2:$C501,"Product",'Raw Orders'!$K$2:$K501,"Fulfilled")=1),1,0)</f>
        <v>0</v>
      </c>
      <c r="E504" s="31" t="n">
        <f aca="false">IF(AND('Raw Orders'!C501="Product",'Raw Orders'!K501="Fulfilled"),'Raw Orders'!E501,0)</f>
        <v>0</v>
      </c>
      <c r="F504" s="32" t="n">
        <f aca="false">IF('Raw Orders'!K501="Refunded",'Raw Orders'!G501,0)</f>
        <v>0</v>
      </c>
    </row>
    <row r="505" customFormat="false" ht="15" hidden="false" customHeight="false" outlineLevel="0" collapsed="false">
      <c r="A505" s="36" t="n">
        <f aca="false">IF('Raw Orders'!B502="","",IF(MID('Raw Orders'!B502,5,1)="-",DATE(VALUE(LEFT('Raw Orders'!B502,4)),VALUE(MID('Raw Orders'!B502,6,2)),VALUE(MID('Raw Orders'!B502,9,2))),DATE(VALUE(MID('Raw Orders'!B502,7,4)),VALUE(MID('Raw Orders'!B502,4,2)),VALUE(LEFT('Raw Orders'!B502,2)))))</f>
        <v>46174</v>
      </c>
      <c r="B505" s="36" t="n">
        <f aca="false">IF(A505="","",A505-WEEKDAY(A505,3))</f>
        <v>46174</v>
      </c>
      <c r="C505" s="32" t="n">
        <f aca="false">IF(OR('Raw Orders'!C502&lt;&gt;"Product",'Raw Orders'!K502="Cancelled"),0,'Raw Orders'!G502)</f>
        <v>0</v>
      </c>
      <c r="D505" s="31" t="n">
        <f aca="false">IF(AND('Raw Orders'!C502="Product",'Raw Orders'!K502="Fulfilled",COUNTIFS('Raw Orders'!$A$2:$A502,'Raw Orders'!A502,'Raw Orders'!$C$2:$C502,"Product",'Raw Orders'!$K$2:$K502,"Fulfilled")=1),1,0)</f>
        <v>0</v>
      </c>
      <c r="E505" s="31" t="n">
        <f aca="false">IF(AND('Raw Orders'!C502="Product",'Raw Orders'!K502="Fulfilled"),'Raw Orders'!E502,0)</f>
        <v>0</v>
      </c>
      <c r="F505" s="32" t="n">
        <f aca="false">IF('Raw Orders'!K502="Refunded",'Raw Orders'!G502,0)</f>
        <v>0</v>
      </c>
    </row>
    <row r="506" customFormat="false" ht="15" hidden="false" customHeight="false" outlineLevel="0" collapsed="false">
      <c r="A506" s="36" t="n">
        <f aca="false">IF('Raw Orders'!B503="","",IF(MID('Raw Orders'!B503,5,1)="-",DATE(VALUE(LEFT('Raw Orders'!B503,4)),VALUE(MID('Raw Orders'!B503,6,2)),VALUE(MID('Raw Orders'!B503,9,2))),DATE(VALUE(MID('Raw Orders'!B503,7,4)),VALUE(MID('Raw Orders'!B503,4,2)),VALUE(LEFT('Raw Orders'!B503,2)))))</f>
        <v>46174</v>
      </c>
      <c r="B506" s="36" t="n">
        <f aca="false">IF(A506="","",A506-WEEKDAY(A506,3))</f>
        <v>46174</v>
      </c>
      <c r="C506" s="32" t="n">
        <f aca="false">IF(OR('Raw Orders'!C503&lt;&gt;"Product",'Raw Orders'!K503="Cancelled"),0,'Raw Orders'!G503)</f>
        <v>0</v>
      </c>
      <c r="D506" s="31" t="n">
        <f aca="false">IF(AND('Raw Orders'!C503="Product",'Raw Orders'!K503="Fulfilled",COUNTIFS('Raw Orders'!$A$2:$A503,'Raw Orders'!A503,'Raw Orders'!$C$2:$C503,"Product",'Raw Orders'!$K$2:$K503,"Fulfilled")=1),1,0)</f>
        <v>0</v>
      </c>
      <c r="E506" s="31" t="n">
        <f aca="false">IF(AND('Raw Orders'!C503="Product",'Raw Orders'!K503="Fulfilled"),'Raw Orders'!E503,0)</f>
        <v>0</v>
      </c>
      <c r="F506" s="32" t="n">
        <f aca="false">IF('Raw Orders'!K503="Refunded",'Raw Orders'!G503,0)</f>
        <v>0</v>
      </c>
    </row>
    <row r="507" customFormat="false" ht="15" hidden="false" customHeight="false" outlineLevel="0" collapsed="false">
      <c r="A507" s="36" t="n">
        <f aca="false">IF('Raw Orders'!B504="","",IF(MID('Raw Orders'!B504,5,1)="-",DATE(VALUE(LEFT('Raw Orders'!B504,4)),VALUE(MID('Raw Orders'!B504,6,2)),VALUE(MID('Raw Orders'!B504,9,2))),DATE(VALUE(MID('Raw Orders'!B504,7,4)),VALUE(MID('Raw Orders'!B504,4,2)),VALUE(LEFT('Raw Orders'!B504,2)))))</f>
        <v>46174</v>
      </c>
      <c r="B507" s="36" t="n">
        <f aca="false">IF(A507="","",A507-WEEKDAY(A507,3))</f>
        <v>46174</v>
      </c>
      <c r="C507" s="32" t="n">
        <f aca="false">IF(OR('Raw Orders'!C504&lt;&gt;"Product",'Raw Orders'!K504="Cancelled"),0,'Raw Orders'!G504)</f>
        <v>75</v>
      </c>
      <c r="D507" s="31" t="n">
        <f aca="false">IF(AND('Raw Orders'!C504="Product",'Raw Orders'!K504="Fulfilled",COUNTIFS('Raw Orders'!$A$2:$A504,'Raw Orders'!A504,'Raw Orders'!$C$2:$C504,"Product",'Raw Orders'!$K$2:$K504,"Fulfilled")=1),1,0)</f>
        <v>1</v>
      </c>
      <c r="E507" s="31" t="n">
        <f aca="false">IF(AND('Raw Orders'!C504="Product",'Raw Orders'!K504="Fulfilled"),'Raw Orders'!E504,0)</f>
        <v>1</v>
      </c>
      <c r="F507" s="32" t="n">
        <f aca="false">IF('Raw Orders'!K504="Refunded",'Raw Orders'!G504,0)</f>
        <v>0</v>
      </c>
    </row>
    <row r="508" customFormat="false" ht="15" hidden="false" customHeight="false" outlineLevel="0" collapsed="false">
      <c r="A508" s="36" t="n">
        <f aca="false">IF('Raw Orders'!B505="","",IF(MID('Raw Orders'!B505,5,1)="-",DATE(VALUE(LEFT('Raw Orders'!B505,4)),VALUE(MID('Raw Orders'!B505,6,2)),VALUE(MID('Raw Orders'!B505,9,2))),DATE(VALUE(MID('Raw Orders'!B505,7,4)),VALUE(MID('Raw Orders'!B505,4,2)),VALUE(LEFT('Raw Orders'!B505,2)))))</f>
        <v>46174</v>
      </c>
      <c r="B508" s="36" t="n">
        <f aca="false">IF(A508="","",A508-WEEKDAY(A508,3))</f>
        <v>46174</v>
      </c>
      <c r="C508" s="32" t="n">
        <f aca="false">IF(OR('Raw Orders'!C505&lt;&gt;"Product",'Raw Orders'!K505="Cancelled"),0,'Raw Orders'!G505)</f>
        <v>32</v>
      </c>
      <c r="D508" s="31" t="n">
        <f aca="false">IF(AND('Raw Orders'!C505="Product",'Raw Orders'!K505="Fulfilled",COUNTIFS('Raw Orders'!$A$2:$A505,'Raw Orders'!A505,'Raw Orders'!$C$2:$C505,"Product",'Raw Orders'!$K$2:$K505,"Fulfilled")=1),1,0)</f>
        <v>1</v>
      </c>
      <c r="E508" s="31" t="n">
        <f aca="false">IF(AND('Raw Orders'!C505="Product",'Raw Orders'!K505="Fulfilled"),'Raw Orders'!E505,0)</f>
        <v>1</v>
      </c>
      <c r="F508" s="32" t="n">
        <f aca="false">IF('Raw Orders'!K505="Refunded",'Raw Orders'!G505,0)</f>
        <v>0</v>
      </c>
    </row>
    <row r="509" customFormat="false" ht="15" hidden="false" customHeight="false" outlineLevel="0" collapsed="false">
      <c r="A509" s="36" t="n">
        <f aca="false">IF('Raw Orders'!B506="","",IF(MID('Raw Orders'!B506,5,1)="-",DATE(VALUE(LEFT('Raw Orders'!B506,4)),VALUE(MID('Raw Orders'!B506,6,2)),VALUE(MID('Raw Orders'!B506,9,2))),DATE(VALUE(MID('Raw Orders'!B506,7,4)),VALUE(MID('Raw Orders'!B506,4,2)),VALUE(LEFT('Raw Orders'!B506,2)))))</f>
        <v>46174</v>
      </c>
      <c r="B509" s="36" t="n">
        <f aca="false">IF(A509="","",A509-WEEKDAY(A509,3))</f>
        <v>46174</v>
      </c>
      <c r="C509" s="32" t="n">
        <f aca="false">IF(OR('Raw Orders'!C506&lt;&gt;"Product",'Raw Orders'!K506="Cancelled"),0,'Raw Orders'!G506)</f>
        <v>35</v>
      </c>
      <c r="D509" s="31" t="n">
        <f aca="false">IF(AND('Raw Orders'!C506="Product",'Raw Orders'!K506="Fulfilled",COUNTIFS('Raw Orders'!$A$2:$A506,'Raw Orders'!A506,'Raw Orders'!$C$2:$C506,"Product",'Raw Orders'!$K$2:$K506,"Fulfilled")=1),1,0)</f>
        <v>0</v>
      </c>
      <c r="E509" s="31" t="n">
        <f aca="false">IF(AND('Raw Orders'!C506="Product",'Raw Orders'!K506="Fulfilled"),'Raw Orders'!E506,0)</f>
        <v>1</v>
      </c>
      <c r="F509" s="32" t="n">
        <f aca="false">IF('Raw Orders'!K506="Refunded",'Raw Orders'!G506,0)</f>
        <v>0</v>
      </c>
    </row>
    <row r="510" customFormat="false" ht="15" hidden="false" customHeight="false" outlineLevel="0" collapsed="false">
      <c r="A510" s="36" t="n">
        <f aca="false">IF('Raw Orders'!B507="","",IF(MID('Raw Orders'!B507,5,1)="-",DATE(VALUE(LEFT('Raw Orders'!B507,4)),VALUE(MID('Raw Orders'!B507,6,2)),VALUE(MID('Raw Orders'!B507,9,2))),DATE(VALUE(MID('Raw Orders'!B507,7,4)),VALUE(MID('Raw Orders'!B507,4,2)),VALUE(LEFT('Raw Orders'!B507,2)))))</f>
        <v>46174</v>
      </c>
      <c r="B510" s="36" t="n">
        <f aca="false">IF(A510="","",A510-WEEKDAY(A510,3))</f>
        <v>46174</v>
      </c>
      <c r="C510" s="32" t="n">
        <f aca="false">IF(OR('Raw Orders'!C507&lt;&gt;"Product",'Raw Orders'!K507="Cancelled"),0,'Raw Orders'!G507)</f>
        <v>0</v>
      </c>
      <c r="D510" s="31" t="n">
        <f aca="false">IF(AND('Raw Orders'!C507="Product",'Raw Orders'!K507="Fulfilled",COUNTIFS('Raw Orders'!$A$2:$A507,'Raw Orders'!A507,'Raw Orders'!$C$2:$C507,"Product",'Raw Orders'!$K$2:$K507,"Fulfilled")=1),1,0)</f>
        <v>0</v>
      </c>
      <c r="E510" s="31" t="n">
        <f aca="false">IF(AND('Raw Orders'!C507="Product",'Raw Orders'!K507="Fulfilled"),'Raw Orders'!E507,0)</f>
        <v>0</v>
      </c>
      <c r="F510" s="32" t="n">
        <f aca="false">IF('Raw Orders'!K507="Refunded",'Raw Orders'!G507,0)</f>
        <v>0</v>
      </c>
    </row>
    <row r="511" customFormat="false" ht="15" hidden="false" customHeight="false" outlineLevel="0" collapsed="false">
      <c r="A511" s="36" t="n">
        <f aca="false">IF('Raw Orders'!B508="","",IF(MID('Raw Orders'!B508,5,1)="-",DATE(VALUE(LEFT('Raw Orders'!B508,4)),VALUE(MID('Raw Orders'!B508,6,2)),VALUE(MID('Raw Orders'!B508,9,2))),DATE(VALUE(MID('Raw Orders'!B508,7,4)),VALUE(MID('Raw Orders'!B508,4,2)),VALUE(LEFT('Raw Orders'!B508,2)))))</f>
        <v>46174</v>
      </c>
      <c r="B511" s="36" t="n">
        <f aca="false">IF(A511="","",A511-WEEKDAY(A511,3))</f>
        <v>46174</v>
      </c>
      <c r="C511" s="32" t="n">
        <f aca="false">IF(OR('Raw Orders'!C508&lt;&gt;"Product",'Raw Orders'!K508="Cancelled"),0,'Raw Orders'!G508)</f>
        <v>0</v>
      </c>
      <c r="D511" s="31" t="n">
        <f aca="false">IF(AND('Raw Orders'!C508="Product",'Raw Orders'!K508="Fulfilled",COUNTIFS('Raw Orders'!$A$2:$A508,'Raw Orders'!A508,'Raw Orders'!$C$2:$C508,"Product",'Raw Orders'!$K$2:$K508,"Fulfilled")=1),1,0)</f>
        <v>0</v>
      </c>
      <c r="E511" s="31" t="n">
        <f aca="false">IF(AND('Raw Orders'!C508="Product",'Raw Orders'!K508="Fulfilled"),'Raw Orders'!E508,0)</f>
        <v>0</v>
      </c>
      <c r="F511" s="32" t="n">
        <f aca="false">IF('Raw Orders'!K508="Refunded",'Raw Orders'!G508,0)</f>
        <v>0</v>
      </c>
    </row>
    <row r="512" customFormat="false" ht="15" hidden="false" customHeight="false" outlineLevel="0" collapsed="false">
      <c r="A512" s="36" t="n">
        <f aca="false">IF('Raw Orders'!B509="","",IF(MID('Raw Orders'!B509,5,1)="-",DATE(VALUE(LEFT('Raw Orders'!B509,4)),VALUE(MID('Raw Orders'!B509,6,2)),VALUE(MID('Raw Orders'!B509,9,2))),DATE(VALUE(MID('Raw Orders'!B509,7,4)),VALUE(MID('Raw Orders'!B509,4,2)),VALUE(LEFT('Raw Orders'!B509,2)))))</f>
        <v>46174</v>
      </c>
      <c r="B512" s="36" t="n">
        <f aca="false">IF(A512="","",A512-WEEKDAY(A512,3))</f>
        <v>46174</v>
      </c>
      <c r="C512" s="32" t="n">
        <f aca="false">IF(OR('Raw Orders'!C509&lt;&gt;"Product",'Raw Orders'!K509="Cancelled"),0,'Raw Orders'!G509)</f>
        <v>0</v>
      </c>
      <c r="D512" s="31" t="n">
        <f aca="false">IF(AND('Raw Orders'!C509="Product",'Raw Orders'!K509="Fulfilled",COUNTIFS('Raw Orders'!$A$2:$A509,'Raw Orders'!A509,'Raw Orders'!$C$2:$C509,"Product",'Raw Orders'!$K$2:$K509,"Fulfilled")=1),1,0)</f>
        <v>0</v>
      </c>
      <c r="E512" s="31" t="n">
        <f aca="false">IF(AND('Raw Orders'!C509="Product",'Raw Orders'!K509="Fulfilled"),'Raw Orders'!E509,0)</f>
        <v>0</v>
      </c>
      <c r="F512" s="32" t="n">
        <f aca="false">IF('Raw Orders'!K509="Refunded",'Raw Orders'!G509,0)</f>
        <v>0</v>
      </c>
    </row>
    <row r="513" customFormat="false" ht="15" hidden="false" customHeight="false" outlineLevel="0" collapsed="false">
      <c r="A513" s="36" t="n">
        <f aca="false">IF('Raw Orders'!B510="","",IF(MID('Raw Orders'!B510,5,1)="-",DATE(VALUE(LEFT('Raw Orders'!B510,4)),VALUE(MID('Raw Orders'!B510,6,2)),VALUE(MID('Raw Orders'!B510,9,2))),DATE(VALUE(MID('Raw Orders'!B510,7,4)),VALUE(MID('Raw Orders'!B510,4,2)),VALUE(LEFT('Raw Orders'!B510,2)))))</f>
        <v>46174</v>
      </c>
      <c r="B513" s="36" t="n">
        <f aca="false">IF(A513="","",A513-WEEKDAY(A513,3))</f>
        <v>46174</v>
      </c>
      <c r="C513" s="32" t="n">
        <f aca="false">IF(OR('Raw Orders'!C510&lt;&gt;"Product",'Raw Orders'!K510="Cancelled"),0,'Raw Orders'!G510)</f>
        <v>52</v>
      </c>
      <c r="D513" s="31" t="n">
        <f aca="false">IF(AND('Raw Orders'!C510="Product",'Raw Orders'!K510="Fulfilled",COUNTIFS('Raw Orders'!$A$2:$A510,'Raw Orders'!A510,'Raw Orders'!$C$2:$C510,"Product",'Raw Orders'!$K$2:$K510,"Fulfilled")=1),1,0)</f>
        <v>1</v>
      </c>
      <c r="E513" s="31" t="n">
        <f aca="false">IF(AND('Raw Orders'!C510="Product",'Raw Orders'!K510="Fulfilled"),'Raw Orders'!E510,0)</f>
        <v>2</v>
      </c>
      <c r="F513" s="32" t="n">
        <f aca="false">IF('Raw Orders'!K510="Refunded",'Raw Orders'!G510,0)</f>
        <v>0</v>
      </c>
    </row>
    <row r="514" customFormat="false" ht="15" hidden="false" customHeight="false" outlineLevel="0" collapsed="false">
      <c r="A514" s="36" t="n">
        <f aca="false">IF('Raw Orders'!B511="","",IF(MID('Raw Orders'!B511,5,1)="-",DATE(VALUE(LEFT('Raw Orders'!B511,4)),VALUE(MID('Raw Orders'!B511,6,2)),VALUE(MID('Raw Orders'!B511,9,2))),DATE(VALUE(MID('Raw Orders'!B511,7,4)),VALUE(MID('Raw Orders'!B511,4,2)),VALUE(LEFT('Raw Orders'!B511,2)))))</f>
        <v>46174</v>
      </c>
      <c r="B514" s="36" t="n">
        <f aca="false">IF(A514="","",A514-WEEKDAY(A514,3))</f>
        <v>46174</v>
      </c>
      <c r="C514" s="32" t="n">
        <f aca="false">IF(OR('Raw Orders'!C511&lt;&gt;"Product",'Raw Orders'!K511="Cancelled"),0,'Raw Orders'!G511)</f>
        <v>0</v>
      </c>
      <c r="D514" s="31" t="n">
        <f aca="false">IF(AND('Raw Orders'!C511="Product",'Raw Orders'!K511="Fulfilled",COUNTIFS('Raw Orders'!$A$2:$A511,'Raw Orders'!A511,'Raw Orders'!$C$2:$C511,"Product",'Raw Orders'!$K$2:$K511,"Fulfilled")=1),1,0)</f>
        <v>0</v>
      </c>
      <c r="E514" s="31" t="n">
        <f aca="false">IF(AND('Raw Orders'!C511="Product",'Raw Orders'!K511="Fulfilled"),'Raw Orders'!E511,0)</f>
        <v>0</v>
      </c>
      <c r="F514" s="32" t="n">
        <f aca="false">IF('Raw Orders'!K511="Refunded",'Raw Orders'!G511,0)</f>
        <v>0</v>
      </c>
    </row>
    <row r="515" customFormat="false" ht="15" hidden="false" customHeight="false" outlineLevel="0" collapsed="false">
      <c r="A515" s="36" t="n">
        <f aca="false">IF('Raw Orders'!B512="","",IF(MID('Raw Orders'!B512,5,1)="-",DATE(VALUE(LEFT('Raw Orders'!B512,4)),VALUE(MID('Raw Orders'!B512,6,2)),VALUE(MID('Raw Orders'!B512,9,2))),DATE(VALUE(MID('Raw Orders'!B512,7,4)),VALUE(MID('Raw Orders'!B512,4,2)),VALUE(LEFT('Raw Orders'!B512,2)))))</f>
        <v>46174</v>
      </c>
      <c r="B515" s="36" t="n">
        <f aca="false">IF(A515="","",A515-WEEKDAY(A515,3))</f>
        <v>46174</v>
      </c>
      <c r="C515" s="32" t="n">
        <f aca="false">IF(OR('Raw Orders'!C512&lt;&gt;"Product",'Raw Orders'!K512="Cancelled"),0,'Raw Orders'!G512)</f>
        <v>19.8</v>
      </c>
      <c r="D515" s="31" t="n">
        <f aca="false">IF(AND('Raw Orders'!C512="Product",'Raw Orders'!K512="Fulfilled",COUNTIFS('Raw Orders'!$A$2:$A512,'Raw Orders'!A512,'Raw Orders'!$C$2:$C512,"Product",'Raw Orders'!$K$2:$K512,"Fulfilled")=1),1,0)</f>
        <v>1</v>
      </c>
      <c r="E515" s="31" t="n">
        <f aca="false">IF(AND('Raw Orders'!C512="Product",'Raw Orders'!K512="Fulfilled"),'Raw Orders'!E512,0)</f>
        <v>1</v>
      </c>
      <c r="F515" s="32" t="n">
        <f aca="false">IF('Raw Orders'!K512="Refunded",'Raw Orders'!G512,0)</f>
        <v>0</v>
      </c>
    </row>
    <row r="516" customFormat="false" ht="15" hidden="false" customHeight="false" outlineLevel="0" collapsed="false">
      <c r="A516" s="36" t="n">
        <f aca="false">IF('Raw Orders'!B513="","",IF(MID('Raw Orders'!B513,5,1)="-",DATE(VALUE(LEFT('Raw Orders'!B513,4)),VALUE(MID('Raw Orders'!B513,6,2)),VALUE(MID('Raw Orders'!B513,9,2))),DATE(VALUE(MID('Raw Orders'!B513,7,4)),VALUE(MID('Raw Orders'!B513,4,2)),VALUE(LEFT('Raw Orders'!B513,2)))))</f>
        <v>46174</v>
      </c>
      <c r="B516" s="36" t="n">
        <f aca="false">IF(A516="","",A516-WEEKDAY(A516,3))</f>
        <v>46174</v>
      </c>
      <c r="C516" s="32" t="n">
        <f aca="false">IF(OR('Raw Orders'!C513&lt;&gt;"Product",'Raw Orders'!K513="Cancelled"),0,'Raw Orders'!G513)</f>
        <v>39</v>
      </c>
      <c r="D516" s="31" t="n">
        <f aca="false">IF(AND('Raw Orders'!C513="Product",'Raw Orders'!K513="Fulfilled",COUNTIFS('Raw Orders'!$A$2:$A513,'Raw Orders'!A513,'Raw Orders'!$C$2:$C513,"Product",'Raw Orders'!$K$2:$K513,"Fulfilled")=1),1,0)</f>
        <v>0</v>
      </c>
      <c r="E516" s="31" t="n">
        <f aca="false">IF(AND('Raw Orders'!C513="Product",'Raw Orders'!K513="Fulfilled"),'Raw Orders'!E513,0)</f>
        <v>1</v>
      </c>
      <c r="F516" s="32" t="n">
        <f aca="false">IF('Raw Orders'!K513="Refunded",'Raw Orders'!G513,0)</f>
        <v>0</v>
      </c>
    </row>
    <row r="517" customFormat="false" ht="15" hidden="false" customHeight="false" outlineLevel="0" collapsed="false">
      <c r="A517" s="36" t="n">
        <f aca="false">IF('Raw Orders'!B514="","",IF(MID('Raw Orders'!B514,5,1)="-",DATE(VALUE(LEFT('Raw Orders'!B514,4)),VALUE(MID('Raw Orders'!B514,6,2)),VALUE(MID('Raw Orders'!B514,9,2))),DATE(VALUE(MID('Raw Orders'!B514,7,4)),VALUE(MID('Raw Orders'!B514,4,2)),VALUE(LEFT('Raw Orders'!B514,2)))))</f>
        <v>46175</v>
      </c>
      <c r="B517" s="36" t="n">
        <f aca="false">IF(A517="","",A517-WEEKDAY(A517,3))</f>
        <v>46174</v>
      </c>
      <c r="C517" s="32" t="n">
        <f aca="false">IF(OR('Raw Orders'!C514&lt;&gt;"Product",'Raw Orders'!K514="Cancelled"),0,'Raw Orders'!G514)</f>
        <v>0</v>
      </c>
      <c r="D517" s="31" t="n">
        <f aca="false">IF(AND('Raw Orders'!C514="Product",'Raw Orders'!K514="Fulfilled",COUNTIFS('Raw Orders'!$A$2:$A514,'Raw Orders'!A514,'Raw Orders'!$C$2:$C514,"Product",'Raw Orders'!$K$2:$K514,"Fulfilled")=1),1,0)</f>
        <v>0</v>
      </c>
      <c r="E517" s="31" t="n">
        <f aca="false">IF(AND('Raw Orders'!C514="Product",'Raw Orders'!K514="Fulfilled"),'Raw Orders'!E514,0)</f>
        <v>0</v>
      </c>
      <c r="F517" s="32" t="n">
        <f aca="false">IF('Raw Orders'!K514="Refunded",'Raw Orders'!G514,0)</f>
        <v>0</v>
      </c>
    </row>
    <row r="518" customFormat="false" ht="15" hidden="false" customHeight="false" outlineLevel="0" collapsed="false">
      <c r="A518" s="36" t="n">
        <f aca="false">IF('Raw Orders'!B515="","",IF(MID('Raw Orders'!B515,5,1)="-",DATE(VALUE(LEFT('Raw Orders'!B515,4)),VALUE(MID('Raw Orders'!B515,6,2)),VALUE(MID('Raw Orders'!B515,9,2))),DATE(VALUE(MID('Raw Orders'!B515,7,4)),VALUE(MID('Raw Orders'!B515,4,2)),VALUE(LEFT('Raw Orders'!B515,2)))))</f>
        <v>46175</v>
      </c>
      <c r="B518" s="36" t="n">
        <f aca="false">IF(A518="","",A518-WEEKDAY(A518,3))</f>
        <v>46174</v>
      </c>
      <c r="C518" s="32" t="n">
        <f aca="false">IF(OR('Raw Orders'!C515&lt;&gt;"Product",'Raw Orders'!K515="Cancelled"),0,'Raw Orders'!G515)</f>
        <v>71.2</v>
      </c>
      <c r="D518" s="31" t="n">
        <f aca="false">IF(AND('Raw Orders'!C515="Product",'Raw Orders'!K515="Fulfilled",COUNTIFS('Raw Orders'!$A$2:$A515,'Raw Orders'!A515,'Raw Orders'!$C$2:$C515,"Product",'Raw Orders'!$K$2:$K515,"Fulfilled")=1),1,0)</f>
        <v>1</v>
      </c>
      <c r="E518" s="31" t="n">
        <f aca="false">IF(AND('Raw Orders'!C515="Product",'Raw Orders'!K515="Fulfilled"),'Raw Orders'!E515,0)</f>
        <v>1</v>
      </c>
      <c r="F518" s="32" t="n">
        <f aca="false">IF('Raw Orders'!K515="Refunded",'Raw Orders'!G515,0)</f>
        <v>0</v>
      </c>
    </row>
    <row r="519" customFormat="false" ht="15" hidden="false" customHeight="false" outlineLevel="0" collapsed="false">
      <c r="A519" s="36" t="n">
        <f aca="false">IF('Raw Orders'!B516="","",IF(MID('Raw Orders'!B516,5,1)="-",DATE(VALUE(LEFT('Raw Orders'!B516,4)),VALUE(MID('Raw Orders'!B516,6,2)),VALUE(MID('Raw Orders'!B516,9,2))),DATE(VALUE(MID('Raw Orders'!B516,7,4)),VALUE(MID('Raw Orders'!B516,4,2)),VALUE(LEFT('Raw Orders'!B516,2)))))</f>
        <v>46175</v>
      </c>
      <c r="B519" s="36" t="n">
        <f aca="false">IF(A519="","",A519-WEEKDAY(A519,3))</f>
        <v>46174</v>
      </c>
      <c r="C519" s="32" t="n">
        <f aca="false">IF(OR('Raw Orders'!C516&lt;&gt;"Product",'Raw Orders'!K516="Cancelled"),0,'Raw Orders'!G516)</f>
        <v>22</v>
      </c>
      <c r="D519" s="31" t="n">
        <f aca="false">IF(AND('Raw Orders'!C516="Product",'Raw Orders'!K516="Fulfilled",COUNTIFS('Raw Orders'!$A$2:$A516,'Raw Orders'!A516,'Raw Orders'!$C$2:$C516,"Product",'Raw Orders'!$K$2:$K516,"Fulfilled")=1),1,0)</f>
        <v>0</v>
      </c>
      <c r="E519" s="31" t="n">
        <f aca="false">IF(AND('Raw Orders'!C516="Product",'Raw Orders'!K516="Fulfilled"),'Raw Orders'!E516,0)</f>
        <v>1</v>
      </c>
      <c r="F519" s="32" t="n">
        <f aca="false">IF('Raw Orders'!K516="Refunded",'Raw Orders'!G516,0)</f>
        <v>0</v>
      </c>
    </row>
    <row r="520" customFormat="false" ht="15" hidden="false" customHeight="false" outlineLevel="0" collapsed="false">
      <c r="A520" s="36" t="n">
        <f aca="false">IF('Raw Orders'!B517="","",IF(MID('Raw Orders'!B517,5,1)="-",DATE(VALUE(LEFT('Raw Orders'!B517,4)),VALUE(MID('Raw Orders'!B517,6,2)),VALUE(MID('Raw Orders'!B517,9,2))),DATE(VALUE(MID('Raw Orders'!B517,7,4)),VALUE(MID('Raw Orders'!B517,4,2)),VALUE(LEFT('Raw Orders'!B517,2)))))</f>
        <v>46175</v>
      </c>
      <c r="B520" s="36" t="n">
        <f aca="false">IF(A520="","",A520-WEEKDAY(A520,3))</f>
        <v>46174</v>
      </c>
      <c r="C520" s="32" t="n">
        <f aca="false">IF(OR('Raw Orders'!C517&lt;&gt;"Product",'Raw Orders'!K517="Cancelled"),0,'Raw Orders'!G517)</f>
        <v>69</v>
      </c>
      <c r="D520" s="31" t="n">
        <f aca="false">IF(AND('Raw Orders'!C517="Product",'Raw Orders'!K517="Fulfilled",COUNTIFS('Raw Orders'!$A$2:$A517,'Raw Orders'!A517,'Raw Orders'!$C$2:$C517,"Product",'Raw Orders'!$K$2:$K517,"Fulfilled")=1),1,0)</f>
        <v>1</v>
      </c>
      <c r="E520" s="31" t="n">
        <f aca="false">IF(AND('Raw Orders'!C517="Product",'Raw Orders'!K517="Fulfilled"),'Raw Orders'!E517,0)</f>
        <v>1</v>
      </c>
      <c r="F520" s="32" t="n">
        <f aca="false">IF('Raw Orders'!K517="Refunded",'Raw Orders'!G517,0)</f>
        <v>0</v>
      </c>
    </row>
    <row r="521" customFormat="false" ht="15" hidden="false" customHeight="false" outlineLevel="0" collapsed="false">
      <c r="A521" s="36" t="n">
        <f aca="false">IF('Raw Orders'!B518="","",IF(MID('Raw Orders'!B518,5,1)="-",DATE(VALUE(LEFT('Raw Orders'!B518,4)),VALUE(MID('Raw Orders'!B518,6,2)),VALUE(MID('Raw Orders'!B518,9,2))),DATE(VALUE(MID('Raw Orders'!B518,7,4)),VALUE(MID('Raw Orders'!B518,4,2)),VALUE(LEFT('Raw Orders'!B518,2)))))</f>
        <v>46175</v>
      </c>
      <c r="B521" s="36" t="n">
        <f aca="false">IF(A521="","",A521-WEEKDAY(A521,3))</f>
        <v>46174</v>
      </c>
      <c r="C521" s="32" t="n">
        <f aca="false">IF(OR('Raw Orders'!C518&lt;&gt;"Product",'Raw Orders'!K518="Cancelled"),0,'Raw Orders'!G518)</f>
        <v>32</v>
      </c>
      <c r="D521" s="31" t="n">
        <f aca="false">IF(AND('Raw Orders'!C518="Product",'Raw Orders'!K518="Fulfilled",COUNTIFS('Raw Orders'!$A$2:$A518,'Raw Orders'!A518,'Raw Orders'!$C$2:$C518,"Product",'Raw Orders'!$K$2:$K518,"Fulfilled")=1),1,0)</f>
        <v>1</v>
      </c>
      <c r="E521" s="31" t="n">
        <f aca="false">IF(AND('Raw Orders'!C518="Product",'Raw Orders'!K518="Fulfilled"),'Raw Orders'!E518,0)</f>
        <v>1</v>
      </c>
      <c r="F521" s="32" t="n">
        <f aca="false">IF('Raw Orders'!K518="Refunded",'Raw Orders'!G518,0)</f>
        <v>0</v>
      </c>
    </row>
    <row r="522" customFormat="false" ht="15" hidden="false" customHeight="false" outlineLevel="0" collapsed="false">
      <c r="A522" s="36" t="n">
        <f aca="false">IF('Raw Orders'!B519="","",IF(MID('Raw Orders'!B519,5,1)="-",DATE(VALUE(LEFT('Raw Orders'!B519,4)),VALUE(MID('Raw Orders'!B519,6,2)),VALUE(MID('Raw Orders'!B519,9,2))),DATE(VALUE(MID('Raw Orders'!B519,7,4)),VALUE(MID('Raw Orders'!B519,4,2)),VALUE(LEFT('Raw Orders'!B519,2)))))</f>
        <v>46175</v>
      </c>
      <c r="B522" s="36" t="n">
        <f aca="false">IF(A522="","",A522-WEEKDAY(A522,3))</f>
        <v>46174</v>
      </c>
      <c r="C522" s="32" t="n">
        <f aca="false">IF(OR('Raw Orders'!C519&lt;&gt;"Product",'Raw Orders'!K519="Cancelled"),0,'Raw Orders'!G519)</f>
        <v>80.1</v>
      </c>
      <c r="D522" s="31" t="n">
        <f aca="false">IF(AND('Raw Orders'!C519="Product",'Raw Orders'!K519="Fulfilled",COUNTIFS('Raw Orders'!$A$2:$A519,'Raw Orders'!A519,'Raw Orders'!$C$2:$C519,"Product",'Raw Orders'!$K$2:$K519,"Fulfilled")=1),1,0)</f>
        <v>0</v>
      </c>
      <c r="E522" s="31" t="n">
        <f aca="false">IF(AND('Raw Orders'!C519="Product",'Raw Orders'!K519="Fulfilled"),'Raw Orders'!E519,0)</f>
        <v>1</v>
      </c>
      <c r="F522" s="32" t="n">
        <f aca="false">IF('Raw Orders'!K519="Refunded",'Raw Orders'!G519,0)</f>
        <v>0</v>
      </c>
    </row>
    <row r="523" customFormat="false" ht="15" hidden="false" customHeight="false" outlineLevel="0" collapsed="false">
      <c r="A523" s="36" t="n">
        <f aca="false">IF('Raw Orders'!B520="","",IF(MID('Raw Orders'!B520,5,1)="-",DATE(VALUE(LEFT('Raw Orders'!B520,4)),VALUE(MID('Raw Orders'!B520,6,2)),VALUE(MID('Raw Orders'!B520,9,2))),DATE(VALUE(MID('Raw Orders'!B520,7,4)),VALUE(MID('Raw Orders'!B520,4,2)),VALUE(LEFT('Raw Orders'!B520,2)))))</f>
        <v>46175</v>
      </c>
      <c r="B523" s="36" t="n">
        <f aca="false">IF(A523="","",A523-WEEKDAY(A523,3))</f>
        <v>46174</v>
      </c>
      <c r="C523" s="32" t="n">
        <f aca="false">IF(OR('Raw Orders'!C520&lt;&gt;"Product",'Raw Orders'!K520="Cancelled"),0,'Raw Orders'!G520)</f>
        <v>0</v>
      </c>
      <c r="D523" s="31" t="n">
        <f aca="false">IF(AND('Raw Orders'!C520="Product",'Raw Orders'!K520="Fulfilled",COUNTIFS('Raw Orders'!$A$2:$A520,'Raw Orders'!A520,'Raw Orders'!$C$2:$C520,"Product",'Raw Orders'!$K$2:$K520,"Fulfilled")=1),1,0)</f>
        <v>0</v>
      </c>
      <c r="E523" s="31" t="n">
        <f aca="false">IF(AND('Raw Orders'!C520="Product",'Raw Orders'!K520="Fulfilled"),'Raw Orders'!E520,0)</f>
        <v>0</v>
      </c>
      <c r="F523" s="32" t="n">
        <f aca="false">IF('Raw Orders'!K520="Refunded",'Raw Orders'!G520,0)</f>
        <v>0</v>
      </c>
    </row>
    <row r="524" customFormat="false" ht="15" hidden="false" customHeight="false" outlineLevel="0" collapsed="false">
      <c r="A524" s="36" t="n">
        <f aca="false">IF('Raw Orders'!B521="","",IF(MID('Raw Orders'!B521,5,1)="-",DATE(VALUE(LEFT('Raw Orders'!B521,4)),VALUE(MID('Raw Orders'!B521,6,2)),VALUE(MID('Raw Orders'!B521,9,2))),DATE(VALUE(MID('Raw Orders'!B521,7,4)),VALUE(MID('Raw Orders'!B521,4,2)),VALUE(LEFT('Raw Orders'!B521,2)))))</f>
        <v>46175</v>
      </c>
      <c r="B524" s="36" t="n">
        <f aca="false">IF(A524="","",A524-WEEKDAY(A524,3))</f>
        <v>46174</v>
      </c>
      <c r="C524" s="32" t="n">
        <f aca="false">IF(OR('Raw Orders'!C521&lt;&gt;"Product",'Raw Orders'!K521="Cancelled"),0,'Raw Orders'!G521)</f>
        <v>90</v>
      </c>
      <c r="D524" s="31" t="n">
        <f aca="false">IF(AND('Raw Orders'!C521="Product",'Raw Orders'!K521="Fulfilled",COUNTIFS('Raw Orders'!$A$2:$A521,'Raw Orders'!A521,'Raw Orders'!$C$2:$C521,"Product",'Raw Orders'!$K$2:$K521,"Fulfilled")=1),1,0)</f>
        <v>0</v>
      </c>
      <c r="E524" s="31" t="n">
        <f aca="false">IF(AND('Raw Orders'!C521="Product",'Raw Orders'!K521="Fulfilled"),'Raw Orders'!E521,0)</f>
        <v>2</v>
      </c>
      <c r="F524" s="32" t="n">
        <f aca="false">IF('Raw Orders'!K521="Refunded",'Raw Orders'!G521,0)</f>
        <v>0</v>
      </c>
    </row>
    <row r="525" customFormat="false" ht="15" hidden="false" customHeight="false" outlineLevel="0" collapsed="false">
      <c r="A525" s="36" t="n">
        <f aca="false">IF('Raw Orders'!B522="","",IF(MID('Raw Orders'!B522,5,1)="-",DATE(VALUE(LEFT('Raw Orders'!B522,4)),VALUE(MID('Raw Orders'!B522,6,2)),VALUE(MID('Raw Orders'!B522,9,2))),DATE(VALUE(MID('Raw Orders'!B522,7,4)),VALUE(MID('Raw Orders'!B522,4,2)),VALUE(LEFT('Raw Orders'!B522,2)))))</f>
        <v>46175</v>
      </c>
      <c r="B525" s="36" t="n">
        <f aca="false">IF(A525="","",A525-WEEKDAY(A525,3))</f>
        <v>46174</v>
      </c>
      <c r="C525" s="32" t="n">
        <f aca="false">IF(OR('Raw Orders'!C522&lt;&gt;"Product",'Raw Orders'!K522="Cancelled"),0,'Raw Orders'!G522)</f>
        <v>0</v>
      </c>
      <c r="D525" s="31" t="n">
        <f aca="false">IF(AND('Raw Orders'!C522="Product",'Raw Orders'!K522="Fulfilled",COUNTIFS('Raw Orders'!$A$2:$A522,'Raw Orders'!A522,'Raw Orders'!$C$2:$C522,"Product",'Raw Orders'!$K$2:$K522,"Fulfilled")=1),1,0)</f>
        <v>0</v>
      </c>
      <c r="E525" s="31" t="n">
        <f aca="false">IF(AND('Raw Orders'!C522="Product",'Raw Orders'!K522="Fulfilled"),'Raw Orders'!E522,0)</f>
        <v>0</v>
      </c>
      <c r="F525" s="32" t="n">
        <f aca="false">IF('Raw Orders'!K522="Refunded",'Raw Orders'!G522,0)</f>
        <v>0</v>
      </c>
    </row>
    <row r="526" customFormat="false" ht="15" hidden="false" customHeight="false" outlineLevel="0" collapsed="false">
      <c r="A526" s="36" t="n">
        <f aca="false">IF('Raw Orders'!B523="","",IF(MID('Raw Orders'!B523,5,1)="-",DATE(VALUE(LEFT('Raw Orders'!B523,4)),VALUE(MID('Raw Orders'!B523,6,2)),VALUE(MID('Raw Orders'!B523,9,2))),DATE(VALUE(MID('Raw Orders'!B523,7,4)),VALUE(MID('Raw Orders'!B523,4,2)),VALUE(LEFT('Raw Orders'!B523,2)))))</f>
        <v>46175</v>
      </c>
      <c r="B526" s="36" t="n">
        <f aca="false">IF(A526="","",A526-WEEKDAY(A526,3))</f>
        <v>46174</v>
      </c>
      <c r="C526" s="32" t="n">
        <f aca="false">IF(OR('Raw Orders'!C523&lt;&gt;"Product",'Raw Orders'!K523="Cancelled"),0,'Raw Orders'!G523)</f>
        <v>78</v>
      </c>
      <c r="D526" s="31" t="n">
        <f aca="false">IF(AND('Raw Orders'!C523="Product",'Raw Orders'!K523="Fulfilled",COUNTIFS('Raw Orders'!$A$2:$A523,'Raw Orders'!A523,'Raw Orders'!$C$2:$C523,"Product",'Raw Orders'!$K$2:$K523,"Fulfilled")=1),1,0)</f>
        <v>1</v>
      </c>
      <c r="E526" s="31" t="n">
        <f aca="false">IF(AND('Raw Orders'!C523="Product",'Raw Orders'!K523="Fulfilled"),'Raw Orders'!E523,0)</f>
        <v>2</v>
      </c>
      <c r="F526" s="32" t="n">
        <f aca="false">IF('Raw Orders'!K523="Refunded",'Raw Orders'!G523,0)</f>
        <v>0</v>
      </c>
    </row>
    <row r="527" customFormat="false" ht="15" hidden="false" customHeight="false" outlineLevel="0" collapsed="false">
      <c r="A527" s="36" t="n">
        <f aca="false">IF('Raw Orders'!B524="","",IF(MID('Raw Orders'!B524,5,1)="-",DATE(VALUE(LEFT('Raw Orders'!B524,4)),VALUE(MID('Raw Orders'!B524,6,2)),VALUE(MID('Raw Orders'!B524,9,2))),DATE(VALUE(MID('Raw Orders'!B524,7,4)),VALUE(MID('Raw Orders'!B524,4,2)),VALUE(LEFT('Raw Orders'!B524,2)))))</f>
        <v>46175</v>
      </c>
      <c r="B527" s="36" t="n">
        <f aca="false">IF(A527="","",A527-WEEKDAY(A527,3))</f>
        <v>46174</v>
      </c>
      <c r="C527" s="32" t="n">
        <f aca="false">IF(OR('Raw Orders'!C524&lt;&gt;"Product",'Raw Orders'!K524="Cancelled"),0,'Raw Orders'!G524)</f>
        <v>29</v>
      </c>
      <c r="D527" s="31" t="n">
        <f aca="false">IF(AND('Raw Orders'!C524="Product",'Raw Orders'!K524="Fulfilled",COUNTIFS('Raw Orders'!$A$2:$A524,'Raw Orders'!A524,'Raw Orders'!$C$2:$C524,"Product",'Raw Orders'!$K$2:$K524,"Fulfilled")=1),1,0)</f>
        <v>0</v>
      </c>
      <c r="E527" s="31" t="n">
        <f aca="false">IF(AND('Raw Orders'!C524="Product",'Raw Orders'!K524="Fulfilled"),'Raw Orders'!E524,0)</f>
        <v>1</v>
      </c>
      <c r="F527" s="32" t="n">
        <f aca="false">IF('Raw Orders'!K524="Refunded",'Raw Orders'!G524,0)</f>
        <v>0</v>
      </c>
    </row>
    <row r="528" customFormat="false" ht="15" hidden="false" customHeight="false" outlineLevel="0" collapsed="false">
      <c r="A528" s="36" t="n">
        <f aca="false">IF('Raw Orders'!B525="","",IF(MID('Raw Orders'!B525,5,1)="-",DATE(VALUE(LEFT('Raw Orders'!B525,4)),VALUE(MID('Raw Orders'!B525,6,2)),VALUE(MID('Raw Orders'!B525,9,2))),DATE(VALUE(MID('Raw Orders'!B525,7,4)),VALUE(MID('Raw Orders'!B525,4,2)),VALUE(LEFT('Raw Orders'!B525,2)))))</f>
        <v>46175</v>
      </c>
      <c r="B528" s="36" t="n">
        <f aca="false">IF(A528="","",A528-WEEKDAY(A528,3))</f>
        <v>46174</v>
      </c>
      <c r="C528" s="32" t="n">
        <f aca="false">IF(OR('Raw Orders'!C525&lt;&gt;"Product",'Raw Orders'!K525="Cancelled"),0,'Raw Orders'!G525)</f>
        <v>0</v>
      </c>
      <c r="D528" s="31" t="n">
        <f aca="false">IF(AND('Raw Orders'!C525="Product",'Raw Orders'!K525="Fulfilled",COUNTIFS('Raw Orders'!$A$2:$A525,'Raw Orders'!A525,'Raw Orders'!$C$2:$C525,"Product",'Raw Orders'!$K$2:$K525,"Fulfilled")=1),1,0)</f>
        <v>0</v>
      </c>
      <c r="E528" s="31" t="n">
        <f aca="false">IF(AND('Raw Orders'!C525="Product",'Raw Orders'!K525="Fulfilled"),'Raw Orders'!E525,0)</f>
        <v>0</v>
      </c>
      <c r="F528" s="32" t="n">
        <f aca="false">IF('Raw Orders'!K525="Refunded",'Raw Orders'!G525,0)</f>
        <v>0</v>
      </c>
    </row>
    <row r="529" customFormat="false" ht="15" hidden="false" customHeight="false" outlineLevel="0" collapsed="false">
      <c r="A529" s="36" t="n">
        <f aca="false">IF('Raw Orders'!B526="","",IF(MID('Raw Orders'!B526,5,1)="-",DATE(VALUE(LEFT('Raw Orders'!B526,4)),VALUE(MID('Raw Orders'!B526,6,2)),VALUE(MID('Raw Orders'!B526,9,2))),DATE(VALUE(MID('Raw Orders'!B526,7,4)),VALUE(MID('Raw Orders'!B526,4,2)),VALUE(LEFT('Raw Orders'!B526,2)))))</f>
        <v>46175</v>
      </c>
      <c r="B529" s="36" t="n">
        <f aca="false">IF(A529="","",A529-WEEKDAY(A529,3))</f>
        <v>46174</v>
      </c>
      <c r="C529" s="32" t="n">
        <f aca="false">IF(OR('Raw Orders'!C526&lt;&gt;"Product",'Raw Orders'!K526="Cancelled"),0,'Raw Orders'!G526)</f>
        <v>44</v>
      </c>
      <c r="D529" s="31" t="n">
        <f aca="false">IF(AND('Raw Orders'!C526="Product",'Raw Orders'!K526="Fulfilled",COUNTIFS('Raw Orders'!$A$2:$A526,'Raw Orders'!A526,'Raw Orders'!$C$2:$C526,"Product",'Raw Orders'!$K$2:$K526,"Fulfilled")=1),1,0)</f>
        <v>1</v>
      </c>
      <c r="E529" s="31" t="n">
        <f aca="false">IF(AND('Raw Orders'!C526="Product",'Raw Orders'!K526="Fulfilled"),'Raw Orders'!E526,0)</f>
        <v>2</v>
      </c>
      <c r="F529" s="32" t="n">
        <f aca="false">IF('Raw Orders'!K526="Refunded",'Raw Orders'!G526,0)</f>
        <v>0</v>
      </c>
    </row>
    <row r="530" customFormat="false" ht="15" hidden="false" customHeight="false" outlineLevel="0" collapsed="false">
      <c r="A530" s="36" t="n">
        <f aca="false">IF('Raw Orders'!B527="","",IF(MID('Raw Orders'!B527,5,1)="-",DATE(VALUE(LEFT('Raw Orders'!B527,4)),VALUE(MID('Raw Orders'!B527,6,2)),VALUE(MID('Raw Orders'!B527,9,2))),DATE(VALUE(MID('Raw Orders'!B527,7,4)),VALUE(MID('Raw Orders'!B527,4,2)),VALUE(LEFT('Raw Orders'!B527,2)))))</f>
        <v>46175</v>
      </c>
      <c r="B530" s="36" t="n">
        <f aca="false">IF(A530="","",A530-WEEKDAY(A530,3))</f>
        <v>46174</v>
      </c>
      <c r="C530" s="32" t="n">
        <f aca="false">IF(OR('Raw Orders'!C527&lt;&gt;"Product",'Raw Orders'!K527="Cancelled"),0,'Raw Orders'!G527)</f>
        <v>69</v>
      </c>
      <c r="D530" s="31" t="n">
        <f aca="false">IF(AND('Raw Orders'!C527="Product",'Raw Orders'!K527="Fulfilled",COUNTIFS('Raw Orders'!$A$2:$A527,'Raw Orders'!A527,'Raw Orders'!$C$2:$C527,"Product",'Raw Orders'!$K$2:$K527,"Fulfilled")=1),1,0)</f>
        <v>0</v>
      </c>
      <c r="E530" s="31" t="n">
        <f aca="false">IF(AND('Raw Orders'!C527="Product",'Raw Orders'!K527="Fulfilled"),'Raw Orders'!E527,0)</f>
        <v>1</v>
      </c>
      <c r="F530" s="32" t="n">
        <f aca="false">IF('Raw Orders'!K527="Refunded",'Raw Orders'!G527,0)</f>
        <v>0</v>
      </c>
    </row>
    <row r="531" customFormat="false" ht="15" hidden="false" customHeight="false" outlineLevel="0" collapsed="false">
      <c r="A531" s="36" t="n">
        <f aca="false">IF('Raw Orders'!B528="","",IF(MID('Raw Orders'!B528,5,1)="-",DATE(VALUE(LEFT('Raw Orders'!B528,4)),VALUE(MID('Raw Orders'!B528,6,2)),VALUE(MID('Raw Orders'!B528,9,2))),DATE(VALUE(MID('Raw Orders'!B528,7,4)),VALUE(MID('Raw Orders'!B528,4,2)),VALUE(LEFT('Raw Orders'!B528,2)))))</f>
        <v>46175</v>
      </c>
      <c r="B531" s="36" t="n">
        <f aca="false">IF(A531="","",A531-WEEKDAY(A531,3))</f>
        <v>46174</v>
      </c>
      <c r="C531" s="32" t="n">
        <f aca="false">IF(OR('Raw Orders'!C528&lt;&gt;"Product",'Raw Orders'!K528="Cancelled"),0,'Raw Orders'!G528)</f>
        <v>0</v>
      </c>
      <c r="D531" s="31" t="n">
        <f aca="false">IF(AND('Raw Orders'!C528="Product",'Raw Orders'!K528="Fulfilled",COUNTIFS('Raw Orders'!$A$2:$A528,'Raw Orders'!A528,'Raw Orders'!$C$2:$C528,"Product",'Raw Orders'!$K$2:$K528,"Fulfilled")=1),1,0)</f>
        <v>0</v>
      </c>
      <c r="E531" s="31" t="n">
        <f aca="false">IF(AND('Raw Orders'!C528="Product",'Raw Orders'!K528="Fulfilled"),'Raw Orders'!E528,0)</f>
        <v>0</v>
      </c>
      <c r="F531" s="32" t="n">
        <f aca="false">IF('Raw Orders'!K528="Refunded",'Raw Orders'!G528,0)</f>
        <v>0</v>
      </c>
    </row>
    <row r="532" customFormat="false" ht="15" hidden="false" customHeight="false" outlineLevel="0" collapsed="false">
      <c r="A532" s="36" t="n">
        <f aca="false">IF('Raw Orders'!B529="","",IF(MID('Raw Orders'!B529,5,1)="-",DATE(VALUE(LEFT('Raw Orders'!B529,4)),VALUE(MID('Raw Orders'!B529,6,2)),VALUE(MID('Raw Orders'!B529,9,2))),DATE(VALUE(MID('Raw Orders'!B529,7,4)),VALUE(MID('Raw Orders'!B529,4,2)),VALUE(LEFT('Raw Orders'!B529,2)))))</f>
        <v>46175</v>
      </c>
      <c r="B532" s="36" t="n">
        <f aca="false">IF(A532="","",A532-WEEKDAY(A532,3))</f>
        <v>46174</v>
      </c>
      <c r="C532" s="32" t="n">
        <f aca="false">IF(OR('Raw Orders'!C529&lt;&gt;"Product",'Raw Orders'!K529="Cancelled"),0,'Raw Orders'!G529)</f>
        <v>78</v>
      </c>
      <c r="D532" s="31" t="n">
        <f aca="false">IF(AND('Raw Orders'!C529="Product",'Raw Orders'!K529="Fulfilled",COUNTIFS('Raw Orders'!$A$2:$A529,'Raw Orders'!A529,'Raw Orders'!$C$2:$C529,"Product",'Raw Orders'!$K$2:$K529,"Fulfilled")=1),1,0)</f>
        <v>1</v>
      </c>
      <c r="E532" s="31" t="n">
        <f aca="false">IF(AND('Raw Orders'!C529="Product",'Raw Orders'!K529="Fulfilled"),'Raw Orders'!E529,0)</f>
        <v>2</v>
      </c>
      <c r="F532" s="32" t="n">
        <f aca="false">IF('Raw Orders'!K529="Refunded",'Raw Orders'!G529,0)</f>
        <v>0</v>
      </c>
    </row>
    <row r="533" customFormat="false" ht="15" hidden="false" customHeight="false" outlineLevel="0" collapsed="false">
      <c r="A533" s="36" t="n">
        <f aca="false">IF('Raw Orders'!B530="","",IF(MID('Raw Orders'!B530,5,1)="-",DATE(VALUE(LEFT('Raw Orders'!B530,4)),VALUE(MID('Raw Orders'!B530,6,2)),VALUE(MID('Raw Orders'!B530,9,2))),DATE(VALUE(MID('Raw Orders'!B530,7,4)),VALUE(MID('Raw Orders'!B530,4,2)),VALUE(LEFT('Raw Orders'!B530,2)))))</f>
        <v>46176</v>
      </c>
      <c r="B533" s="36" t="n">
        <f aca="false">IF(A533="","",A533-WEEKDAY(A533,3))</f>
        <v>46174</v>
      </c>
      <c r="C533" s="32" t="n">
        <f aca="false">IF(OR('Raw Orders'!C530&lt;&gt;"Product",'Raw Orders'!K530="Cancelled"),0,'Raw Orders'!G530)</f>
        <v>-29</v>
      </c>
      <c r="D533" s="31" t="n">
        <f aca="false">IF(AND('Raw Orders'!C530="Product",'Raw Orders'!K530="Fulfilled",COUNTIFS('Raw Orders'!$A$2:$A530,'Raw Orders'!A530,'Raw Orders'!$C$2:$C530,"Product",'Raw Orders'!$K$2:$K530,"Fulfilled")=1),1,0)</f>
        <v>0</v>
      </c>
      <c r="E533" s="31" t="n">
        <f aca="false">IF(AND('Raw Orders'!C530="Product",'Raw Orders'!K530="Fulfilled"),'Raw Orders'!E530,0)</f>
        <v>0</v>
      </c>
      <c r="F533" s="32" t="n">
        <f aca="false">IF('Raw Orders'!K530="Refunded",'Raw Orders'!G530,0)</f>
        <v>-29</v>
      </c>
    </row>
    <row r="534" customFormat="false" ht="15" hidden="false" customHeight="false" outlineLevel="0" collapsed="false">
      <c r="A534" s="36" t="n">
        <f aca="false">IF('Raw Orders'!B531="","",IF(MID('Raw Orders'!B531,5,1)="-",DATE(VALUE(LEFT('Raw Orders'!B531,4)),VALUE(MID('Raw Orders'!B531,6,2)),VALUE(MID('Raw Orders'!B531,9,2))),DATE(VALUE(MID('Raw Orders'!B531,7,4)),VALUE(MID('Raw Orders'!B531,4,2)),VALUE(LEFT('Raw Orders'!B531,2)))))</f>
        <v>46176</v>
      </c>
      <c r="B534" s="36" t="n">
        <f aca="false">IF(A534="","",A534-WEEKDAY(A534,3))</f>
        <v>46174</v>
      </c>
      <c r="C534" s="32" t="n">
        <f aca="false">IF(OR('Raw Orders'!C531&lt;&gt;"Product",'Raw Orders'!K531="Cancelled"),0,'Raw Orders'!G531)</f>
        <v>60</v>
      </c>
      <c r="D534" s="31" t="n">
        <f aca="false">IF(AND('Raw Orders'!C531="Product",'Raw Orders'!K531="Fulfilled",COUNTIFS('Raw Orders'!$A$2:$A531,'Raw Orders'!A531,'Raw Orders'!$C$2:$C531,"Product",'Raw Orders'!$K$2:$K531,"Fulfilled")=1),1,0)</f>
        <v>1</v>
      </c>
      <c r="E534" s="31" t="n">
        <f aca="false">IF(AND('Raw Orders'!C531="Product",'Raw Orders'!K531="Fulfilled"),'Raw Orders'!E531,0)</f>
        <v>1</v>
      </c>
      <c r="F534" s="32" t="n">
        <f aca="false">IF('Raw Orders'!K531="Refunded",'Raw Orders'!G531,0)</f>
        <v>0</v>
      </c>
    </row>
    <row r="535" customFormat="false" ht="15" hidden="false" customHeight="false" outlineLevel="0" collapsed="false">
      <c r="A535" s="36" t="n">
        <f aca="false">IF('Raw Orders'!B532="","",IF(MID('Raw Orders'!B532,5,1)="-",DATE(VALUE(LEFT('Raw Orders'!B532,4)),VALUE(MID('Raw Orders'!B532,6,2)),VALUE(MID('Raw Orders'!B532,9,2))),DATE(VALUE(MID('Raw Orders'!B532,7,4)),VALUE(MID('Raw Orders'!B532,4,2)),VALUE(LEFT('Raw Orders'!B532,2)))))</f>
        <v>46176</v>
      </c>
      <c r="B535" s="36" t="n">
        <f aca="false">IF(A535="","",A535-WEEKDAY(A535,3))</f>
        <v>46174</v>
      </c>
      <c r="C535" s="32" t="n">
        <f aca="false">IF(OR('Raw Orders'!C532&lt;&gt;"Product",'Raw Orders'!K532="Cancelled"),0,'Raw Orders'!G532)</f>
        <v>0</v>
      </c>
      <c r="D535" s="31" t="n">
        <f aca="false">IF(AND('Raw Orders'!C532="Product",'Raw Orders'!K532="Fulfilled",COUNTIFS('Raw Orders'!$A$2:$A532,'Raw Orders'!A532,'Raw Orders'!$C$2:$C532,"Product",'Raw Orders'!$K$2:$K532,"Fulfilled")=1),1,0)</f>
        <v>0</v>
      </c>
      <c r="E535" s="31" t="n">
        <f aca="false">IF(AND('Raw Orders'!C532="Product",'Raw Orders'!K532="Fulfilled"),'Raw Orders'!E532,0)</f>
        <v>0</v>
      </c>
      <c r="F535" s="32" t="n">
        <f aca="false">IF('Raw Orders'!K532="Refunded",'Raw Orders'!G532,0)</f>
        <v>0</v>
      </c>
    </row>
    <row r="536" customFormat="false" ht="15" hidden="false" customHeight="false" outlineLevel="0" collapsed="false">
      <c r="A536" s="36" t="n">
        <f aca="false">IF('Raw Orders'!B533="","",IF(MID('Raw Orders'!B533,5,1)="-",DATE(VALUE(LEFT('Raw Orders'!B533,4)),VALUE(MID('Raw Orders'!B533,6,2)),VALUE(MID('Raw Orders'!B533,9,2))),DATE(VALUE(MID('Raw Orders'!B533,7,4)),VALUE(MID('Raw Orders'!B533,4,2)),VALUE(LEFT('Raw Orders'!B533,2)))))</f>
        <v>46176</v>
      </c>
      <c r="B536" s="36" t="n">
        <f aca="false">IF(A536="","",A536-WEEKDAY(A536,3))</f>
        <v>46174</v>
      </c>
      <c r="C536" s="32" t="n">
        <f aca="false">IF(OR('Raw Orders'!C533&lt;&gt;"Product",'Raw Orders'!K533="Cancelled"),0,'Raw Orders'!G533)</f>
        <v>69</v>
      </c>
      <c r="D536" s="31" t="n">
        <f aca="false">IF(AND('Raw Orders'!C533="Product",'Raw Orders'!K533="Fulfilled",COUNTIFS('Raw Orders'!$A$2:$A533,'Raw Orders'!A533,'Raw Orders'!$C$2:$C533,"Product",'Raw Orders'!$K$2:$K533,"Fulfilled")=1),1,0)</f>
        <v>1</v>
      </c>
      <c r="E536" s="31" t="n">
        <f aca="false">IF(AND('Raw Orders'!C533="Product",'Raw Orders'!K533="Fulfilled"),'Raw Orders'!E533,0)</f>
        <v>1</v>
      </c>
      <c r="F536" s="32" t="n">
        <f aca="false">IF('Raw Orders'!K533="Refunded",'Raw Orders'!G533,0)</f>
        <v>0</v>
      </c>
    </row>
    <row r="537" customFormat="false" ht="15" hidden="false" customHeight="false" outlineLevel="0" collapsed="false">
      <c r="A537" s="36" t="n">
        <f aca="false">IF('Raw Orders'!B534="","",IF(MID('Raw Orders'!B534,5,1)="-",DATE(VALUE(LEFT('Raw Orders'!B534,4)),VALUE(MID('Raw Orders'!B534,6,2)),VALUE(MID('Raw Orders'!B534,9,2))),DATE(VALUE(MID('Raw Orders'!B534,7,4)),VALUE(MID('Raw Orders'!B534,4,2)),VALUE(LEFT('Raw Orders'!B534,2)))))</f>
        <v>46176</v>
      </c>
      <c r="B537" s="36" t="n">
        <f aca="false">IF(A537="","",A537-WEEKDAY(A537,3))</f>
        <v>46174</v>
      </c>
      <c r="C537" s="32" t="n">
        <f aca="false">IF(OR('Raw Orders'!C534&lt;&gt;"Product",'Raw Orders'!K534="Cancelled"),0,'Raw Orders'!G534)</f>
        <v>35</v>
      </c>
      <c r="D537" s="31" t="n">
        <f aca="false">IF(AND('Raw Orders'!C534="Product",'Raw Orders'!K534="Fulfilled",COUNTIFS('Raw Orders'!$A$2:$A534,'Raw Orders'!A534,'Raw Orders'!$C$2:$C534,"Product",'Raw Orders'!$K$2:$K534,"Fulfilled")=1),1,0)</f>
        <v>0</v>
      </c>
      <c r="E537" s="31" t="n">
        <f aca="false">IF(AND('Raw Orders'!C534="Product",'Raw Orders'!K534="Fulfilled"),'Raw Orders'!E534,0)</f>
        <v>1</v>
      </c>
      <c r="F537" s="32" t="n">
        <f aca="false">IF('Raw Orders'!K534="Refunded",'Raw Orders'!G534,0)</f>
        <v>0</v>
      </c>
    </row>
    <row r="538" customFormat="false" ht="15" hidden="false" customHeight="false" outlineLevel="0" collapsed="false">
      <c r="A538" s="36" t="n">
        <f aca="false">IF('Raw Orders'!B535="","",IF(MID('Raw Orders'!B535,5,1)="-",DATE(VALUE(LEFT('Raw Orders'!B535,4)),VALUE(MID('Raw Orders'!B535,6,2)),VALUE(MID('Raw Orders'!B535,9,2))),DATE(VALUE(MID('Raw Orders'!B535,7,4)),VALUE(MID('Raw Orders'!B535,4,2)),VALUE(LEFT('Raw Orders'!B535,2)))))</f>
        <v>46176</v>
      </c>
      <c r="B538" s="36" t="n">
        <f aca="false">IF(A538="","",A538-WEEKDAY(A538,3))</f>
        <v>46174</v>
      </c>
      <c r="C538" s="32" t="n">
        <f aca="false">IF(OR('Raw Orders'!C535&lt;&gt;"Product",'Raw Orders'!K535="Cancelled"),0,'Raw Orders'!G535)</f>
        <v>89</v>
      </c>
      <c r="D538" s="31" t="n">
        <f aca="false">IF(AND('Raw Orders'!C535="Product",'Raw Orders'!K535="Fulfilled",COUNTIFS('Raw Orders'!$A$2:$A535,'Raw Orders'!A535,'Raw Orders'!$C$2:$C535,"Product",'Raw Orders'!$K$2:$K535,"Fulfilled")=1),1,0)</f>
        <v>1</v>
      </c>
      <c r="E538" s="31" t="n">
        <f aca="false">IF(AND('Raw Orders'!C535="Product",'Raw Orders'!K535="Fulfilled"),'Raw Orders'!E535,0)</f>
        <v>1</v>
      </c>
      <c r="F538" s="32" t="n">
        <f aca="false">IF('Raw Orders'!K535="Refunded",'Raw Orders'!G535,0)</f>
        <v>0</v>
      </c>
    </row>
    <row r="539" customFormat="false" ht="15" hidden="false" customHeight="false" outlineLevel="0" collapsed="false">
      <c r="A539" s="36" t="n">
        <f aca="false">IF('Raw Orders'!B536="","",IF(MID('Raw Orders'!B536,5,1)="-",DATE(VALUE(LEFT('Raw Orders'!B536,4)),VALUE(MID('Raw Orders'!B536,6,2)),VALUE(MID('Raw Orders'!B536,9,2))),DATE(VALUE(MID('Raw Orders'!B536,7,4)),VALUE(MID('Raw Orders'!B536,4,2)),VALUE(LEFT('Raw Orders'!B536,2)))))</f>
        <v>46176</v>
      </c>
      <c r="B539" s="36" t="n">
        <f aca="false">IF(A539="","",A539-WEEKDAY(A539,3))</f>
        <v>46174</v>
      </c>
      <c r="C539" s="32" t="n">
        <f aca="false">IF(OR('Raw Orders'!C536&lt;&gt;"Product",'Raw Orders'!K536="Cancelled"),0,'Raw Orders'!G536)</f>
        <v>0</v>
      </c>
      <c r="D539" s="31" t="n">
        <f aca="false">IF(AND('Raw Orders'!C536="Product",'Raw Orders'!K536="Fulfilled",COUNTIFS('Raw Orders'!$A$2:$A536,'Raw Orders'!A536,'Raw Orders'!$C$2:$C536,"Product",'Raw Orders'!$K$2:$K536,"Fulfilled")=1),1,0)</f>
        <v>0</v>
      </c>
      <c r="E539" s="31" t="n">
        <f aca="false">IF(AND('Raw Orders'!C536="Product",'Raw Orders'!K536="Fulfilled"),'Raw Orders'!E536,0)</f>
        <v>0</v>
      </c>
      <c r="F539" s="32" t="n">
        <f aca="false">IF('Raw Orders'!K536="Refunded",'Raw Orders'!G536,0)</f>
        <v>0</v>
      </c>
    </row>
    <row r="540" customFormat="false" ht="15" hidden="false" customHeight="false" outlineLevel="0" collapsed="false">
      <c r="A540" s="36" t="n">
        <f aca="false">IF('Raw Orders'!B537="","",IF(MID('Raw Orders'!B537,5,1)="-",DATE(VALUE(LEFT('Raw Orders'!B537,4)),VALUE(MID('Raw Orders'!B537,6,2)),VALUE(MID('Raw Orders'!B537,9,2))),DATE(VALUE(MID('Raw Orders'!B537,7,4)),VALUE(MID('Raw Orders'!B537,4,2)),VALUE(LEFT('Raw Orders'!B537,2)))))</f>
        <v>46176</v>
      </c>
      <c r="B540" s="36" t="n">
        <f aca="false">IF(A540="","",A540-WEEKDAY(A540,3))</f>
        <v>46174</v>
      </c>
      <c r="C540" s="32" t="n">
        <f aca="false">IF(OR('Raw Orders'!C537&lt;&gt;"Product",'Raw Orders'!K537="Cancelled"),0,'Raw Orders'!G537)</f>
        <v>35.1</v>
      </c>
      <c r="D540" s="31" t="n">
        <f aca="false">IF(AND('Raw Orders'!C537="Product",'Raw Orders'!K537="Fulfilled",COUNTIFS('Raw Orders'!$A$2:$A537,'Raw Orders'!A537,'Raw Orders'!$C$2:$C537,"Product",'Raw Orders'!$K$2:$K537,"Fulfilled")=1),1,0)</f>
        <v>1</v>
      </c>
      <c r="E540" s="31" t="n">
        <f aca="false">IF(AND('Raw Orders'!C537="Product",'Raw Orders'!K537="Fulfilled"),'Raw Orders'!E537,0)</f>
        <v>1</v>
      </c>
      <c r="F540" s="32" t="n">
        <f aca="false">IF('Raw Orders'!K537="Refunded",'Raw Orders'!G537,0)</f>
        <v>0</v>
      </c>
    </row>
    <row r="541" customFormat="false" ht="15" hidden="false" customHeight="false" outlineLevel="0" collapsed="false">
      <c r="A541" s="36" t="n">
        <f aca="false">IF('Raw Orders'!B538="","",IF(MID('Raw Orders'!B538,5,1)="-",DATE(VALUE(LEFT('Raw Orders'!B538,4)),VALUE(MID('Raw Orders'!B538,6,2)),VALUE(MID('Raw Orders'!B538,9,2))),DATE(VALUE(MID('Raw Orders'!B538,7,4)),VALUE(MID('Raw Orders'!B538,4,2)),VALUE(LEFT('Raw Orders'!B538,2)))))</f>
        <v>46176</v>
      </c>
      <c r="B541" s="36" t="n">
        <f aca="false">IF(A541="","",A541-WEEKDAY(A541,3))</f>
        <v>46174</v>
      </c>
      <c r="C541" s="32" t="n">
        <f aca="false">IF(OR('Raw Orders'!C538&lt;&gt;"Product",'Raw Orders'!K538="Cancelled"),0,'Raw Orders'!G538)</f>
        <v>39</v>
      </c>
      <c r="D541" s="31" t="n">
        <f aca="false">IF(AND('Raw Orders'!C538="Product",'Raw Orders'!K538="Fulfilled",COUNTIFS('Raw Orders'!$A$2:$A538,'Raw Orders'!A538,'Raw Orders'!$C$2:$C538,"Product",'Raw Orders'!$K$2:$K538,"Fulfilled")=1),1,0)</f>
        <v>1</v>
      </c>
      <c r="E541" s="31" t="n">
        <f aca="false">IF(AND('Raw Orders'!C538="Product",'Raw Orders'!K538="Fulfilled"),'Raw Orders'!E538,0)</f>
        <v>1</v>
      </c>
      <c r="F541" s="32" t="n">
        <f aca="false">IF('Raw Orders'!K538="Refunded",'Raw Orders'!G538,0)</f>
        <v>0</v>
      </c>
    </row>
    <row r="542" customFormat="false" ht="15" hidden="false" customHeight="false" outlineLevel="0" collapsed="false">
      <c r="A542" s="36" t="n">
        <f aca="false">IF('Raw Orders'!B539="","",IF(MID('Raw Orders'!B539,5,1)="-",DATE(VALUE(LEFT('Raw Orders'!B539,4)),VALUE(MID('Raw Orders'!B539,6,2)),VALUE(MID('Raw Orders'!B539,9,2))),DATE(VALUE(MID('Raw Orders'!B539,7,4)),VALUE(MID('Raw Orders'!B539,4,2)),VALUE(LEFT('Raw Orders'!B539,2)))))</f>
        <v>46176</v>
      </c>
      <c r="B542" s="36" t="n">
        <f aca="false">IF(A542="","",A542-WEEKDAY(A542,3))</f>
        <v>46174</v>
      </c>
      <c r="C542" s="32" t="n">
        <f aca="false">IF(OR('Raw Orders'!C539&lt;&gt;"Product",'Raw Orders'!K539="Cancelled"),0,'Raw Orders'!G539)</f>
        <v>29</v>
      </c>
      <c r="D542" s="31" t="n">
        <f aca="false">IF(AND('Raw Orders'!C539="Product",'Raw Orders'!K539="Fulfilled",COUNTIFS('Raw Orders'!$A$2:$A539,'Raw Orders'!A539,'Raw Orders'!$C$2:$C539,"Product",'Raw Orders'!$K$2:$K539,"Fulfilled")=1),1,0)</f>
        <v>0</v>
      </c>
      <c r="E542" s="31" t="n">
        <f aca="false">IF(AND('Raw Orders'!C539="Product",'Raw Orders'!K539="Fulfilled"),'Raw Orders'!E539,0)</f>
        <v>1</v>
      </c>
      <c r="F542" s="32" t="n">
        <f aca="false">IF('Raw Orders'!K539="Refunded",'Raw Orders'!G539,0)</f>
        <v>0</v>
      </c>
    </row>
    <row r="543" customFormat="false" ht="15" hidden="false" customHeight="false" outlineLevel="0" collapsed="false">
      <c r="A543" s="36" t="n">
        <f aca="false">IF('Raw Orders'!B540="","",IF(MID('Raw Orders'!B540,5,1)="-",DATE(VALUE(LEFT('Raw Orders'!B540,4)),VALUE(MID('Raw Orders'!B540,6,2)),VALUE(MID('Raw Orders'!B540,9,2))),DATE(VALUE(MID('Raw Orders'!B540,7,4)),VALUE(MID('Raw Orders'!B540,4,2)),VALUE(LEFT('Raw Orders'!B540,2)))))</f>
        <v>46176</v>
      </c>
      <c r="B543" s="36" t="n">
        <f aca="false">IF(A543="","",A543-WEEKDAY(A543,3))</f>
        <v>46174</v>
      </c>
      <c r="C543" s="32" t="n">
        <f aca="false">IF(OR('Raw Orders'!C540&lt;&gt;"Product",'Raw Orders'!K540="Cancelled"),0,'Raw Orders'!G540)</f>
        <v>14</v>
      </c>
      <c r="D543" s="31" t="n">
        <f aca="false">IF(AND('Raw Orders'!C540="Product",'Raw Orders'!K540="Fulfilled",COUNTIFS('Raw Orders'!$A$2:$A540,'Raw Orders'!A540,'Raw Orders'!$C$2:$C540,"Product",'Raw Orders'!$K$2:$K540,"Fulfilled")=1),1,0)</f>
        <v>0</v>
      </c>
      <c r="E543" s="31" t="n">
        <f aca="false">IF(AND('Raw Orders'!C540="Product",'Raw Orders'!K540="Fulfilled"),'Raw Orders'!E540,0)</f>
        <v>1</v>
      </c>
      <c r="F543" s="32" t="n">
        <f aca="false">IF('Raw Orders'!K540="Refunded",'Raw Orders'!G540,0)</f>
        <v>0</v>
      </c>
    </row>
    <row r="544" customFormat="false" ht="15" hidden="false" customHeight="false" outlineLevel="0" collapsed="false">
      <c r="A544" s="36" t="n">
        <f aca="false">IF('Raw Orders'!B541="","",IF(MID('Raw Orders'!B541,5,1)="-",DATE(VALUE(LEFT('Raw Orders'!B541,4)),VALUE(MID('Raw Orders'!B541,6,2)),VALUE(MID('Raw Orders'!B541,9,2))),DATE(VALUE(MID('Raw Orders'!B541,7,4)),VALUE(MID('Raw Orders'!B541,4,2)),VALUE(LEFT('Raw Orders'!B541,2)))))</f>
        <v>46176</v>
      </c>
      <c r="B544" s="36" t="n">
        <f aca="false">IF(A544="","",A544-WEEKDAY(A544,3))</f>
        <v>46174</v>
      </c>
      <c r="C544" s="32" t="n">
        <f aca="false">IF(OR('Raw Orders'!C541&lt;&gt;"Product",'Raw Orders'!K541="Cancelled"),0,'Raw Orders'!G541)</f>
        <v>0</v>
      </c>
      <c r="D544" s="31" t="n">
        <f aca="false">IF(AND('Raw Orders'!C541="Product",'Raw Orders'!K541="Fulfilled",COUNTIFS('Raw Orders'!$A$2:$A541,'Raw Orders'!A541,'Raw Orders'!$C$2:$C541,"Product",'Raw Orders'!$K$2:$K541,"Fulfilled")=1),1,0)</f>
        <v>0</v>
      </c>
      <c r="E544" s="31" t="n">
        <f aca="false">IF(AND('Raw Orders'!C541="Product",'Raw Orders'!K541="Fulfilled"),'Raw Orders'!E541,0)</f>
        <v>0</v>
      </c>
      <c r="F544" s="32" t="n">
        <f aca="false">IF('Raw Orders'!K541="Refunded",'Raw Orders'!G541,0)</f>
        <v>0</v>
      </c>
    </row>
    <row r="545" customFormat="false" ht="15" hidden="false" customHeight="false" outlineLevel="0" collapsed="false">
      <c r="A545" s="36" t="n">
        <f aca="false">IF('Raw Orders'!B542="","",IF(MID('Raw Orders'!B542,5,1)="-",DATE(VALUE(LEFT('Raw Orders'!B542,4)),VALUE(MID('Raw Orders'!B542,6,2)),VALUE(MID('Raw Orders'!B542,9,2))),DATE(VALUE(MID('Raw Orders'!B542,7,4)),VALUE(MID('Raw Orders'!B542,4,2)),VALUE(LEFT('Raw Orders'!B542,2)))))</f>
        <v>46176</v>
      </c>
      <c r="B545" s="36" t="n">
        <f aca="false">IF(A545="","",A545-WEEKDAY(A545,3))</f>
        <v>46174</v>
      </c>
      <c r="C545" s="32" t="n">
        <f aca="false">IF(OR('Raw Orders'!C542&lt;&gt;"Product",'Raw Orders'!K542="Cancelled"),0,'Raw Orders'!G542)</f>
        <v>0</v>
      </c>
      <c r="D545" s="31" t="n">
        <f aca="false">IF(AND('Raw Orders'!C542="Product",'Raw Orders'!K542="Fulfilled",COUNTIFS('Raw Orders'!$A$2:$A542,'Raw Orders'!A542,'Raw Orders'!$C$2:$C542,"Product",'Raw Orders'!$K$2:$K542,"Fulfilled")=1),1,0)</f>
        <v>0</v>
      </c>
      <c r="E545" s="31" t="n">
        <f aca="false">IF(AND('Raw Orders'!C542="Product",'Raw Orders'!K542="Fulfilled"),'Raw Orders'!E542,0)</f>
        <v>0</v>
      </c>
      <c r="F545" s="32" t="n">
        <f aca="false">IF('Raw Orders'!K542="Refunded",'Raw Orders'!G542,0)</f>
        <v>0</v>
      </c>
    </row>
    <row r="546" customFormat="false" ht="15" hidden="false" customHeight="false" outlineLevel="0" collapsed="false">
      <c r="A546" s="36" t="n">
        <f aca="false">IF('Raw Orders'!B543="","",IF(MID('Raw Orders'!B543,5,1)="-",DATE(VALUE(LEFT('Raw Orders'!B543,4)),VALUE(MID('Raw Orders'!B543,6,2)),VALUE(MID('Raw Orders'!B543,9,2))),DATE(VALUE(MID('Raw Orders'!B543,7,4)),VALUE(MID('Raw Orders'!B543,4,2)),VALUE(LEFT('Raw Orders'!B543,2)))))</f>
        <v>46176</v>
      </c>
      <c r="B546" s="36" t="n">
        <f aca="false">IF(A546="","",A546-WEEKDAY(A546,3))</f>
        <v>46174</v>
      </c>
      <c r="C546" s="32" t="n">
        <f aca="false">IF(OR('Raw Orders'!C543&lt;&gt;"Product",'Raw Orders'!K543="Cancelled"),0,'Raw Orders'!G543)</f>
        <v>26</v>
      </c>
      <c r="D546" s="31" t="n">
        <f aca="false">IF(AND('Raw Orders'!C543="Product",'Raw Orders'!K543="Fulfilled",COUNTIFS('Raw Orders'!$A$2:$A543,'Raw Orders'!A543,'Raw Orders'!$C$2:$C543,"Product",'Raw Orders'!$K$2:$K543,"Fulfilled")=1),1,0)</f>
        <v>1</v>
      </c>
      <c r="E546" s="31" t="n">
        <f aca="false">IF(AND('Raw Orders'!C543="Product",'Raw Orders'!K543="Fulfilled"),'Raw Orders'!E543,0)</f>
        <v>1</v>
      </c>
      <c r="F546" s="32" t="n">
        <f aca="false">IF('Raw Orders'!K543="Refunded",'Raw Orders'!G543,0)</f>
        <v>0</v>
      </c>
    </row>
    <row r="547" customFormat="false" ht="15" hidden="false" customHeight="false" outlineLevel="0" collapsed="false">
      <c r="A547" s="36" t="n">
        <f aca="false">IF('Raw Orders'!B544="","",IF(MID('Raw Orders'!B544,5,1)="-",DATE(VALUE(LEFT('Raw Orders'!B544,4)),VALUE(MID('Raw Orders'!B544,6,2)),VALUE(MID('Raw Orders'!B544,9,2))),DATE(VALUE(MID('Raw Orders'!B544,7,4)),VALUE(MID('Raw Orders'!B544,4,2)),VALUE(LEFT('Raw Orders'!B544,2)))))</f>
        <v>46176</v>
      </c>
      <c r="B547" s="36" t="n">
        <f aca="false">IF(A547="","",A547-WEEKDAY(A547,3))</f>
        <v>46174</v>
      </c>
      <c r="C547" s="32" t="n">
        <f aca="false">IF(OR('Raw Orders'!C544&lt;&gt;"Product",'Raw Orders'!K544="Cancelled"),0,'Raw Orders'!G544)</f>
        <v>22</v>
      </c>
      <c r="D547" s="31" t="n">
        <f aca="false">IF(AND('Raw Orders'!C544="Product",'Raw Orders'!K544="Fulfilled",COUNTIFS('Raw Orders'!$A$2:$A544,'Raw Orders'!A544,'Raw Orders'!$C$2:$C544,"Product",'Raw Orders'!$K$2:$K544,"Fulfilled")=1),1,0)</f>
        <v>0</v>
      </c>
      <c r="E547" s="31" t="n">
        <f aca="false">IF(AND('Raw Orders'!C544="Product",'Raw Orders'!K544="Fulfilled"),'Raw Orders'!E544,0)</f>
        <v>1</v>
      </c>
      <c r="F547" s="32" t="n">
        <f aca="false">IF('Raw Orders'!K544="Refunded",'Raw Orders'!G544,0)</f>
        <v>0</v>
      </c>
    </row>
    <row r="548" customFormat="false" ht="15" hidden="false" customHeight="false" outlineLevel="0" collapsed="false">
      <c r="A548" s="36" t="n">
        <f aca="false">IF('Raw Orders'!B545="","",IF(MID('Raw Orders'!B545,5,1)="-",DATE(VALUE(LEFT('Raw Orders'!B545,4)),VALUE(MID('Raw Orders'!B545,6,2)),VALUE(MID('Raw Orders'!B545,9,2))),DATE(VALUE(MID('Raw Orders'!B545,7,4)),VALUE(MID('Raw Orders'!B545,4,2)),VALUE(LEFT('Raw Orders'!B545,2)))))</f>
        <v>46176</v>
      </c>
      <c r="B548" s="36" t="n">
        <f aca="false">IF(A548="","",A548-WEEKDAY(A548,3))</f>
        <v>46174</v>
      </c>
      <c r="C548" s="32" t="n">
        <f aca="false">IF(OR('Raw Orders'!C545&lt;&gt;"Product",'Raw Orders'!K545="Cancelled"),0,'Raw Orders'!G545)</f>
        <v>39</v>
      </c>
      <c r="D548" s="31" t="n">
        <f aca="false">IF(AND('Raw Orders'!C545="Product",'Raw Orders'!K545="Fulfilled",COUNTIFS('Raw Orders'!$A$2:$A545,'Raw Orders'!A545,'Raw Orders'!$C$2:$C545,"Product",'Raw Orders'!$K$2:$K545,"Fulfilled")=1),1,0)</f>
        <v>0</v>
      </c>
      <c r="E548" s="31" t="n">
        <f aca="false">IF(AND('Raw Orders'!C545="Product",'Raw Orders'!K545="Fulfilled"),'Raw Orders'!E545,0)</f>
        <v>1</v>
      </c>
      <c r="F548" s="32" t="n">
        <f aca="false">IF('Raw Orders'!K545="Refunded",'Raw Orders'!G545,0)</f>
        <v>0</v>
      </c>
    </row>
    <row r="549" customFormat="false" ht="15" hidden="false" customHeight="false" outlineLevel="0" collapsed="false">
      <c r="A549" s="36" t="n">
        <f aca="false">IF('Raw Orders'!B546="","",IF(MID('Raw Orders'!B546,5,1)="-",DATE(VALUE(LEFT('Raw Orders'!B546,4)),VALUE(MID('Raw Orders'!B546,6,2)),VALUE(MID('Raw Orders'!B546,9,2))),DATE(VALUE(MID('Raw Orders'!B546,7,4)),VALUE(MID('Raw Orders'!B546,4,2)),VALUE(LEFT('Raw Orders'!B546,2)))))</f>
        <v>46176</v>
      </c>
      <c r="B549" s="36" t="n">
        <f aca="false">IF(A549="","",A549-WEEKDAY(A549,3))</f>
        <v>46174</v>
      </c>
      <c r="C549" s="32" t="n">
        <f aca="false">IF(OR('Raw Orders'!C546&lt;&gt;"Product",'Raw Orders'!K546="Cancelled"),0,'Raw Orders'!G546)</f>
        <v>89</v>
      </c>
      <c r="D549" s="31" t="n">
        <f aca="false">IF(AND('Raw Orders'!C546="Product",'Raw Orders'!K546="Fulfilled",COUNTIFS('Raw Orders'!$A$2:$A546,'Raw Orders'!A546,'Raw Orders'!$C$2:$C546,"Product",'Raw Orders'!$K$2:$K546,"Fulfilled")=1),1,0)</f>
        <v>1</v>
      </c>
      <c r="E549" s="31" t="n">
        <f aca="false">IF(AND('Raw Orders'!C546="Product",'Raw Orders'!K546="Fulfilled"),'Raw Orders'!E546,0)</f>
        <v>1</v>
      </c>
      <c r="F549" s="32" t="n">
        <f aca="false">IF('Raw Orders'!K546="Refunded",'Raw Orders'!G546,0)</f>
        <v>0</v>
      </c>
    </row>
    <row r="550" customFormat="false" ht="15" hidden="false" customHeight="false" outlineLevel="0" collapsed="false">
      <c r="A550" s="36" t="n">
        <f aca="false">IF('Raw Orders'!B547="","",IF(MID('Raw Orders'!B547,5,1)="-",DATE(VALUE(LEFT('Raw Orders'!B547,4)),VALUE(MID('Raw Orders'!B547,6,2)),VALUE(MID('Raw Orders'!B547,9,2))),DATE(VALUE(MID('Raw Orders'!B547,7,4)),VALUE(MID('Raw Orders'!B547,4,2)),VALUE(LEFT('Raw Orders'!B547,2)))))</f>
        <v>46176</v>
      </c>
      <c r="B550" s="36" t="n">
        <f aca="false">IF(A550="","",A550-WEEKDAY(A550,3))</f>
        <v>46174</v>
      </c>
      <c r="C550" s="32" t="n">
        <f aca="false">IF(OR('Raw Orders'!C547&lt;&gt;"Product",'Raw Orders'!K547="Cancelled"),0,'Raw Orders'!G547)</f>
        <v>29</v>
      </c>
      <c r="D550" s="31" t="n">
        <f aca="false">IF(AND('Raw Orders'!C547="Product",'Raw Orders'!K547="Fulfilled",COUNTIFS('Raw Orders'!$A$2:$A547,'Raw Orders'!A547,'Raw Orders'!$C$2:$C547,"Product",'Raw Orders'!$K$2:$K547,"Fulfilled")=1),1,0)</f>
        <v>0</v>
      </c>
      <c r="E550" s="31" t="n">
        <f aca="false">IF(AND('Raw Orders'!C547="Product",'Raw Orders'!K547="Fulfilled"),'Raw Orders'!E547,0)</f>
        <v>1</v>
      </c>
      <c r="F550" s="32" t="n">
        <f aca="false">IF('Raw Orders'!K547="Refunded",'Raw Orders'!G547,0)</f>
        <v>0</v>
      </c>
    </row>
    <row r="551" customFormat="false" ht="15" hidden="false" customHeight="false" outlineLevel="0" collapsed="false">
      <c r="A551" s="36" t="n">
        <f aca="false">IF('Raw Orders'!B548="","",IF(MID('Raw Orders'!B548,5,1)="-",DATE(VALUE(LEFT('Raw Orders'!B548,4)),VALUE(MID('Raw Orders'!B548,6,2)),VALUE(MID('Raw Orders'!B548,9,2))),DATE(VALUE(MID('Raw Orders'!B548,7,4)),VALUE(MID('Raw Orders'!B548,4,2)),VALUE(LEFT('Raw Orders'!B548,2)))))</f>
        <v>46176</v>
      </c>
      <c r="B551" s="36" t="n">
        <f aca="false">IF(A551="","",A551-WEEKDAY(A551,3))</f>
        <v>46174</v>
      </c>
      <c r="C551" s="32" t="n">
        <f aca="false">IF(OR('Raw Orders'!C548&lt;&gt;"Product",'Raw Orders'!K548="Cancelled"),0,'Raw Orders'!G548)</f>
        <v>0</v>
      </c>
      <c r="D551" s="31" t="n">
        <f aca="false">IF(AND('Raw Orders'!C548="Product",'Raw Orders'!K548="Fulfilled",COUNTIFS('Raw Orders'!$A$2:$A548,'Raw Orders'!A548,'Raw Orders'!$C$2:$C548,"Product",'Raw Orders'!$K$2:$K548,"Fulfilled")=1),1,0)</f>
        <v>0</v>
      </c>
      <c r="E551" s="31" t="n">
        <f aca="false">IF(AND('Raw Orders'!C548="Product",'Raw Orders'!K548="Fulfilled"),'Raw Orders'!E548,0)</f>
        <v>0</v>
      </c>
      <c r="F551" s="32" t="n">
        <f aca="false">IF('Raw Orders'!K548="Refunded",'Raw Orders'!G548,0)</f>
        <v>0</v>
      </c>
    </row>
    <row r="552" customFormat="false" ht="15" hidden="false" customHeight="false" outlineLevel="0" collapsed="false">
      <c r="A552" s="36" t="n">
        <f aca="false">IF('Raw Orders'!B549="","",IF(MID('Raw Orders'!B549,5,1)="-",DATE(VALUE(LEFT('Raw Orders'!B549,4)),VALUE(MID('Raw Orders'!B549,6,2)),VALUE(MID('Raw Orders'!B549,9,2))),DATE(VALUE(MID('Raw Orders'!B549,7,4)),VALUE(MID('Raw Orders'!B549,4,2)),VALUE(LEFT('Raw Orders'!B549,2)))))</f>
        <v>46176</v>
      </c>
      <c r="B552" s="36" t="n">
        <f aca="false">IF(A552="","",A552-WEEKDAY(A552,3))</f>
        <v>46174</v>
      </c>
      <c r="C552" s="32" t="n">
        <f aca="false">IF(OR('Raw Orders'!C549&lt;&gt;"Product",'Raw Orders'!K549="Cancelled"),0,'Raw Orders'!G549)</f>
        <v>0</v>
      </c>
      <c r="D552" s="31" t="n">
        <f aca="false">IF(AND('Raw Orders'!C549="Product",'Raw Orders'!K549="Fulfilled",COUNTIFS('Raw Orders'!$A$2:$A549,'Raw Orders'!A549,'Raw Orders'!$C$2:$C549,"Product",'Raw Orders'!$K$2:$K549,"Fulfilled")=1),1,0)</f>
        <v>0</v>
      </c>
      <c r="E552" s="31" t="n">
        <f aca="false">IF(AND('Raw Orders'!C549="Product",'Raw Orders'!K549="Fulfilled"),'Raw Orders'!E549,0)</f>
        <v>0</v>
      </c>
      <c r="F552" s="32" t="n">
        <f aca="false">IF('Raw Orders'!K549="Refunded",'Raw Orders'!G549,0)</f>
        <v>0</v>
      </c>
    </row>
    <row r="553" customFormat="false" ht="15" hidden="false" customHeight="false" outlineLevel="0" collapsed="false">
      <c r="A553" s="36" t="n">
        <f aca="false">IF('Raw Orders'!B550="","",IF(MID('Raw Orders'!B550,5,1)="-",DATE(VALUE(LEFT('Raw Orders'!B550,4)),VALUE(MID('Raw Orders'!B550,6,2)),VALUE(MID('Raw Orders'!B550,9,2))),DATE(VALUE(MID('Raw Orders'!B550,7,4)),VALUE(MID('Raw Orders'!B550,4,2)),VALUE(LEFT('Raw Orders'!B550,2)))))</f>
        <v>46176</v>
      </c>
      <c r="B553" s="36" t="n">
        <f aca="false">IF(A553="","",A553-WEEKDAY(A553,3))</f>
        <v>46174</v>
      </c>
      <c r="C553" s="32" t="n">
        <f aca="false">IF(OR('Raw Orders'!C550&lt;&gt;"Product",'Raw Orders'!K550="Cancelled"),0,'Raw Orders'!G550)</f>
        <v>14</v>
      </c>
      <c r="D553" s="31" t="n">
        <f aca="false">IF(AND('Raw Orders'!C550="Product",'Raw Orders'!K550="Fulfilled",COUNTIFS('Raw Orders'!$A$2:$A550,'Raw Orders'!A550,'Raw Orders'!$C$2:$C550,"Product",'Raw Orders'!$K$2:$K550,"Fulfilled")=1),1,0)</f>
        <v>1</v>
      </c>
      <c r="E553" s="31" t="n">
        <f aca="false">IF(AND('Raw Orders'!C550="Product",'Raw Orders'!K550="Fulfilled"),'Raw Orders'!E550,0)</f>
        <v>1</v>
      </c>
      <c r="F553" s="32" t="n">
        <f aca="false">IF('Raw Orders'!K550="Refunded",'Raw Orders'!G550,0)</f>
        <v>0</v>
      </c>
    </row>
    <row r="554" customFormat="false" ht="15" hidden="false" customHeight="false" outlineLevel="0" collapsed="false">
      <c r="A554" s="36" t="n">
        <f aca="false">IF('Raw Orders'!B551="","",IF(MID('Raw Orders'!B551,5,1)="-",DATE(VALUE(LEFT('Raw Orders'!B551,4)),VALUE(MID('Raw Orders'!B551,6,2)),VALUE(MID('Raw Orders'!B551,9,2))),DATE(VALUE(MID('Raw Orders'!B551,7,4)),VALUE(MID('Raw Orders'!B551,4,2)),VALUE(LEFT('Raw Orders'!B551,2)))))</f>
        <v>46176</v>
      </c>
      <c r="B554" s="36" t="n">
        <f aca="false">IF(A554="","",A554-WEEKDAY(A554,3))</f>
        <v>46174</v>
      </c>
      <c r="C554" s="32" t="n">
        <f aca="false">IF(OR('Raw Orders'!C551&lt;&gt;"Product",'Raw Orders'!K551="Cancelled"),0,'Raw Orders'!G551)</f>
        <v>64</v>
      </c>
      <c r="D554" s="31" t="n">
        <f aca="false">IF(AND('Raw Orders'!C551="Product",'Raw Orders'!K551="Fulfilled",COUNTIFS('Raw Orders'!$A$2:$A551,'Raw Orders'!A551,'Raw Orders'!$C$2:$C551,"Product",'Raw Orders'!$K$2:$K551,"Fulfilled")=1),1,0)</f>
        <v>1</v>
      </c>
      <c r="E554" s="31" t="n">
        <f aca="false">IF(AND('Raw Orders'!C551="Product",'Raw Orders'!K551="Fulfilled"),'Raw Orders'!E551,0)</f>
        <v>2</v>
      </c>
      <c r="F554" s="32" t="n">
        <f aca="false">IF('Raw Orders'!K551="Refunded",'Raw Orders'!G551,0)</f>
        <v>0</v>
      </c>
    </row>
    <row r="555" customFormat="false" ht="15" hidden="false" customHeight="false" outlineLevel="0" collapsed="false">
      <c r="A555" s="36" t="n">
        <f aca="false">IF('Raw Orders'!B552="","",IF(MID('Raw Orders'!B552,5,1)="-",DATE(VALUE(LEFT('Raw Orders'!B552,4)),VALUE(MID('Raw Orders'!B552,6,2)),VALUE(MID('Raw Orders'!B552,9,2))),DATE(VALUE(MID('Raw Orders'!B552,7,4)),VALUE(MID('Raw Orders'!B552,4,2)),VALUE(LEFT('Raw Orders'!B552,2)))))</f>
        <v>46176</v>
      </c>
      <c r="B555" s="36" t="n">
        <f aca="false">IF(A555="","",A555-WEEKDAY(A555,3))</f>
        <v>46174</v>
      </c>
      <c r="C555" s="32" t="n">
        <f aca="false">IF(OR('Raw Orders'!C552&lt;&gt;"Product",'Raw Orders'!K552="Cancelled"),0,'Raw Orders'!G552)</f>
        <v>69</v>
      </c>
      <c r="D555" s="31" t="n">
        <f aca="false">IF(AND('Raw Orders'!C552="Product",'Raw Orders'!K552="Fulfilled",COUNTIFS('Raw Orders'!$A$2:$A552,'Raw Orders'!A552,'Raw Orders'!$C$2:$C552,"Product",'Raw Orders'!$K$2:$K552,"Fulfilled")=1),1,0)</f>
        <v>0</v>
      </c>
      <c r="E555" s="31" t="n">
        <f aca="false">IF(AND('Raw Orders'!C552="Product",'Raw Orders'!K552="Fulfilled"),'Raw Orders'!E552,0)</f>
        <v>1</v>
      </c>
      <c r="F555" s="32" t="n">
        <f aca="false">IF('Raw Orders'!K552="Refunded",'Raw Orders'!G552,0)</f>
        <v>0</v>
      </c>
    </row>
    <row r="556" customFormat="false" ht="15" hidden="false" customHeight="false" outlineLevel="0" collapsed="false">
      <c r="A556" s="36" t="n">
        <f aca="false">IF('Raw Orders'!B553="","",IF(MID('Raw Orders'!B553,5,1)="-",DATE(VALUE(LEFT('Raw Orders'!B553,4)),VALUE(MID('Raw Orders'!B553,6,2)),VALUE(MID('Raw Orders'!B553,9,2))),DATE(VALUE(MID('Raw Orders'!B553,7,4)),VALUE(MID('Raw Orders'!B553,4,2)),VALUE(LEFT('Raw Orders'!B553,2)))))</f>
        <v>46176</v>
      </c>
      <c r="B556" s="36" t="n">
        <f aca="false">IF(A556="","",A556-WEEKDAY(A556,3))</f>
        <v>46174</v>
      </c>
      <c r="C556" s="32" t="n">
        <f aca="false">IF(OR('Raw Orders'!C553&lt;&gt;"Product",'Raw Orders'!K553="Cancelled"),0,'Raw Orders'!G553)</f>
        <v>19.8</v>
      </c>
      <c r="D556" s="31" t="n">
        <f aca="false">IF(AND('Raw Orders'!C553="Product",'Raw Orders'!K553="Fulfilled",COUNTIFS('Raw Orders'!$A$2:$A553,'Raw Orders'!A553,'Raw Orders'!$C$2:$C553,"Product",'Raw Orders'!$K$2:$K553,"Fulfilled")=1),1,0)</f>
        <v>0</v>
      </c>
      <c r="E556" s="31" t="n">
        <f aca="false">IF(AND('Raw Orders'!C553="Product",'Raw Orders'!K553="Fulfilled"),'Raw Orders'!E553,0)</f>
        <v>1</v>
      </c>
      <c r="F556" s="32" t="n">
        <f aca="false">IF('Raw Orders'!K553="Refunded",'Raw Orders'!G553,0)</f>
        <v>0</v>
      </c>
    </row>
    <row r="557" customFormat="false" ht="15" hidden="false" customHeight="false" outlineLevel="0" collapsed="false">
      <c r="A557" s="36" t="n">
        <f aca="false">IF('Raw Orders'!B554="","",IF(MID('Raw Orders'!B554,5,1)="-",DATE(VALUE(LEFT('Raw Orders'!B554,4)),VALUE(MID('Raw Orders'!B554,6,2)),VALUE(MID('Raw Orders'!B554,9,2))),DATE(VALUE(MID('Raw Orders'!B554,7,4)),VALUE(MID('Raw Orders'!B554,4,2)),VALUE(LEFT('Raw Orders'!B554,2)))))</f>
        <v>46176</v>
      </c>
      <c r="B557" s="36" t="n">
        <f aca="false">IF(A557="","",A557-WEEKDAY(A557,3))</f>
        <v>46174</v>
      </c>
      <c r="C557" s="32" t="n">
        <f aca="false">IF(OR('Raw Orders'!C554&lt;&gt;"Product",'Raw Orders'!K554="Cancelled"),0,'Raw Orders'!G554)</f>
        <v>0</v>
      </c>
      <c r="D557" s="31" t="n">
        <f aca="false">IF(AND('Raw Orders'!C554="Product",'Raw Orders'!K554="Fulfilled",COUNTIFS('Raw Orders'!$A$2:$A554,'Raw Orders'!A554,'Raw Orders'!$C$2:$C554,"Product",'Raw Orders'!$K$2:$K554,"Fulfilled")=1),1,0)</f>
        <v>0</v>
      </c>
      <c r="E557" s="31" t="n">
        <f aca="false">IF(AND('Raw Orders'!C554="Product",'Raw Orders'!K554="Fulfilled"),'Raw Orders'!E554,0)</f>
        <v>0</v>
      </c>
      <c r="F557" s="32" t="n">
        <f aca="false">IF('Raw Orders'!K554="Refunded",'Raw Orders'!G554,0)</f>
        <v>0</v>
      </c>
    </row>
    <row r="558" customFormat="false" ht="15" hidden="false" customHeight="false" outlineLevel="0" collapsed="false">
      <c r="A558" s="36" t="n">
        <f aca="false">IF('Raw Orders'!B555="","",IF(MID('Raw Orders'!B555,5,1)="-",DATE(VALUE(LEFT('Raw Orders'!B555,4)),VALUE(MID('Raw Orders'!B555,6,2)),VALUE(MID('Raw Orders'!B555,9,2))),DATE(VALUE(MID('Raw Orders'!B555,7,4)),VALUE(MID('Raw Orders'!B555,4,2)),VALUE(LEFT('Raw Orders'!B555,2)))))</f>
        <v>46177</v>
      </c>
      <c r="B558" s="36" t="n">
        <f aca="false">IF(A558="","",A558-WEEKDAY(A558,3))</f>
        <v>46174</v>
      </c>
      <c r="C558" s="32" t="n">
        <f aca="false">IF(OR('Raw Orders'!C555&lt;&gt;"Product",'Raw Orders'!K555="Cancelled"),0,'Raw Orders'!G555)</f>
        <v>0</v>
      </c>
      <c r="D558" s="31" t="n">
        <f aca="false">IF(AND('Raw Orders'!C555="Product",'Raw Orders'!K555="Fulfilled",COUNTIFS('Raw Orders'!$A$2:$A555,'Raw Orders'!A555,'Raw Orders'!$C$2:$C555,"Product",'Raw Orders'!$K$2:$K555,"Fulfilled")=1),1,0)</f>
        <v>0</v>
      </c>
      <c r="E558" s="31" t="n">
        <f aca="false">IF(AND('Raw Orders'!C555="Product",'Raw Orders'!K555="Fulfilled"),'Raw Orders'!E555,0)</f>
        <v>0</v>
      </c>
      <c r="F558" s="32" t="n">
        <f aca="false">IF('Raw Orders'!K555="Refunded",'Raw Orders'!G555,0)</f>
        <v>0</v>
      </c>
    </row>
    <row r="559" customFormat="false" ht="15" hidden="false" customHeight="false" outlineLevel="0" collapsed="false">
      <c r="A559" s="36" t="n">
        <f aca="false">IF('Raw Orders'!B556="","",IF(MID('Raw Orders'!B556,5,1)="-",DATE(VALUE(LEFT('Raw Orders'!B556,4)),VALUE(MID('Raw Orders'!B556,6,2)),VALUE(MID('Raw Orders'!B556,9,2))),DATE(VALUE(MID('Raw Orders'!B556,7,4)),VALUE(MID('Raw Orders'!B556,4,2)),VALUE(LEFT('Raw Orders'!B556,2)))))</f>
        <v>46177</v>
      </c>
      <c r="B559" s="36" t="n">
        <f aca="false">IF(A559="","",A559-WEEKDAY(A559,3))</f>
        <v>46174</v>
      </c>
      <c r="C559" s="32" t="n">
        <f aca="false">IF(OR('Raw Orders'!C556&lt;&gt;"Product",'Raw Orders'!K556="Cancelled"),0,'Raw Orders'!G556)</f>
        <v>32</v>
      </c>
      <c r="D559" s="31" t="n">
        <f aca="false">IF(AND('Raw Orders'!C556="Product",'Raw Orders'!K556="Fulfilled",COUNTIFS('Raw Orders'!$A$2:$A556,'Raw Orders'!A556,'Raw Orders'!$C$2:$C556,"Product",'Raw Orders'!$K$2:$K556,"Fulfilled")=1),1,0)</f>
        <v>1</v>
      </c>
      <c r="E559" s="31" t="n">
        <f aca="false">IF(AND('Raw Orders'!C556="Product",'Raw Orders'!K556="Fulfilled"),'Raw Orders'!E556,0)</f>
        <v>1</v>
      </c>
      <c r="F559" s="32" t="n">
        <f aca="false">IF('Raw Orders'!K556="Refunded",'Raw Orders'!G556,0)</f>
        <v>0</v>
      </c>
    </row>
    <row r="560" customFormat="false" ht="15" hidden="false" customHeight="false" outlineLevel="0" collapsed="false">
      <c r="A560" s="36" t="n">
        <f aca="false">IF('Raw Orders'!B557="","",IF(MID('Raw Orders'!B557,5,1)="-",DATE(VALUE(LEFT('Raw Orders'!B557,4)),VALUE(MID('Raw Orders'!B557,6,2)),VALUE(MID('Raw Orders'!B557,9,2))),DATE(VALUE(MID('Raw Orders'!B557,7,4)),VALUE(MID('Raw Orders'!B557,4,2)),VALUE(LEFT('Raw Orders'!B557,2)))))</f>
        <v>46177</v>
      </c>
      <c r="B560" s="36" t="n">
        <f aca="false">IF(A560="","",A560-WEEKDAY(A560,3))</f>
        <v>46174</v>
      </c>
      <c r="C560" s="32" t="n">
        <f aca="false">IF(OR('Raw Orders'!C557&lt;&gt;"Product",'Raw Orders'!K557="Cancelled"),0,'Raw Orders'!G557)</f>
        <v>29</v>
      </c>
      <c r="D560" s="31" t="n">
        <f aca="false">IF(AND('Raw Orders'!C557="Product",'Raw Orders'!K557="Fulfilled",COUNTIFS('Raw Orders'!$A$2:$A557,'Raw Orders'!A557,'Raw Orders'!$C$2:$C557,"Product",'Raw Orders'!$K$2:$K557,"Fulfilled")=1),1,0)</f>
        <v>1</v>
      </c>
      <c r="E560" s="31" t="n">
        <f aca="false">IF(AND('Raw Orders'!C557="Product",'Raw Orders'!K557="Fulfilled"),'Raw Orders'!E557,0)</f>
        <v>1</v>
      </c>
      <c r="F560" s="32" t="n">
        <f aca="false">IF('Raw Orders'!K557="Refunded",'Raw Orders'!G557,0)</f>
        <v>0</v>
      </c>
    </row>
    <row r="561" customFormat="false" ht="15" hidden="false" customHeight="false" outlineLevel="0" collapsed="false">
      <c r="A561" s="36" t="n">
        <f aca="false">IF('Raw Orders'!B558="","",IF(MID('Raw Orders'!B558,5,1)="-",DATE(VALUE(LEFT('Raw Orders'!B558,4)),VALUE(MID('Raw Orders'!B558,6,2)),VALUE(MID('Raw Orders'!B558,9,2))),DATE(VALUE(MID('Raw Orders'!B558,7,4)),VALUE(MID('Raw Orders'!B558,4,2)),VALUE(LEFT('Raw Orders'!B558,2)))))</f>
        <v>46177</v>
      </c>
      <c r="B561" s="36" t="n">
        <f aca="false">IF(A561="","",A561-WEEKDAY(A561,3))</f>
        <v>46174</v>
      </c>
      <c r="C561" s="32" t="n">
        <f aca="false">IF(OR('Raw Orders'!C558&lt;&gt;"Product",'Raw Orders'!K558="Cancelled"),0,'Raw Orders'!G558)</f>
        <v>0</v>
      </c>
      <c r="D561" s="31" t="n">
        <f aca="false">IF(AND('Raw Orders'!C558="Product",'Raw Orders'!K558="Fulfilled",COUNTIFS('Raw Orders'!$A$2:$A558,'Raw Orders'!A558,'Raw Orders'!$C$2:$C558,"Product",'Raw Orders'!$K$2:$K558,"Fulfilled")=1),1,0)</f>
        <v>0</v>
      </c>
      <c r="E561" s="31" t="n">
        <f aca="false">IF(AND('Raw Orders'!C558="Product",'Raw Orders'!K558="Fulfilled"),'Raw Orders'!E558,0)</f>
        <v>0</v>
      </c>
      <c r="F561" s="32" t="n">
        <f aca="false">IF('Raw Orders'!K558="Refunded",'Raw Orders'!G558,0)</f>
        <v>0</v>
      </c>
    </row>
    <row r="562" customFormat="false" ht="15" hidden="false" customHeight="false" outlineLevel="0" collapsed="false">
      <c r="A562" s="36" t="n">
        <f aca="false">IF('Raw Orders'!B559="","",IF(MID('Raw Orders'!B559,5,1)="-",DATE(VALUE(LEFT('Raw Orders'!B559,4)),VALUE(MID('Raw Orders'!B559,6,2)),VALUE(MID('Raw Orders'!B559,9,2))),DATE(VALUE(MID('Raw Orders'!B559,7,4)),VALUE(MID('Raw Orders'!B559,4,2)),VALUE(LEFT('Raw Orders'!B559,2)))))</f>
        <v>46177</v>
      </c>
      <c r="B562" s="36" t="n">
        <f aca="false">IF(A562="","",A562-WEEKDAY(A562,3))</f>
        <v>46174</v>
      </c>
      <c r="C562" s="32" t="n">
        <f aca="false">IF(OR('Raw Orders'!C559&lt;&gt;"Product",'Raw Orders'!K559="Cancelled"),0,'Raw Orders'!G559)</f>
        <v>0</v>
      </c>
      <c r="D562" s="31" t="n">
        <f aca="false">IF(AND('Raw Orders'!C559="Product",'Raw Orders'!K559="Fulfilled",COUNTIFS('Raw Orders'!$A$2:$A559,'Raw Orders'!A559,'Raw Orders'!$C$2:$C559,"Product",'Raw Orders'!$K$2:$K559,"Fulfilled")=1),1,0)</f>
        <v>0</v>
      </c>
      <c r="E562" s="31" t="n">
        <f aca="false">IF(AND('Raw Orders'!C559="Product",'Raw Orders'!K559="Fulfilled"),'Raw Orders'!E559,0)</f>
        <v>0</v>
      </c>
      <c r="F562" s="32" t="n">
        <f aca="false">IF('Raw Orders'!K559="Refunded",'Raw Orders'!G559,0)</f>
        <v>0</v>
      </c>
    </row>
    <row r="563" customFormat="false" ht="15" hidden="false" customHeight="false" outlineLevel="0" collapsed="false">
      <c r="A563" s="36" t="n">
        <f aca="false">IF('Raw Orders'!B560="","",IF(MID('Raw Orders'!B560,5,1)="-",DATE(VALUE(LEFT('Raw Orders'!B560,4)),VALUE(MID('Raw Orders'!B560,6,2)),VALUE(MID('Raw Orders'!B560,9,2))),DATE(VALUE(MID('Raw Orders'!B560,7,4)),VALUE(MID('Raw Orders'!B560,4,2)),VALUE(LEFT('Raw Orders'!B560,2)))))</f>
        <v>46177</v>
      </c>
      <c r="B563" s="36" t="n">
        <f aca="false">IF(A563="","",A563-WEEKDAY(A563,3))</f>
        <v>46174</v>
      </c>
      <c r="C563" s="32" t="n">
        <f aca="false">IF(OR('Raw Orders'!C560&lt;&gt;"Product",'Raw Orders'!K560="Cancelled"),0,'Raw Orders'!G560)</f>
        <v>39</v>
      </c>
      <c r="D563" s="31" t="n">
        <f aca="false">IF(AND('Raw Orders'!C560="Product",'Raw Orders'!K560="Fulfilled",COUNTIFS('Raw Orders'!$A$2:$A560,'Raw Orders'!A560,'Raw Orders'!$C$2:$C560,"Product",'Raw Orders'!$K$2:$K560,"Fulfilled")=1),1,0)</f>
        <v>1</v>
      </c>
      <c r="E563" s="31" t="n">
        <f aca="false">IF(AND('Raw Orders'!C560="Product",'Raw Orders'!K560="Fulfilled"),'Raw Orders'!E560,0)</f>
        <v>1</v>
      </c>
      <c r="F563" s="32" t="n">
        <f aca="false">IF('Raw Orders'!K560="Refunded",'Raw Orders'!G560,0)</f>
        <v>0</v>
      </c>
    </row>
    <row r="564" customFormat="false" ht="15" hidden="false" customHeight="false" outlineLevel="0" collapsed="false">
      <c r="A564" s="36" t="n">
        <f aca="false">IF('Raw Orders'!B561="","",IF(MID('Raw Orders'!B561,5,1)="-",DATE(VALUE(LEFT('Raw Orders'!B561,4)),VALUE(MID('Raw Orders'!B561,6,2)),VALUE(MID('Raw Orders'!B561,9,2))),DATE(VALUE(MID('Raw Orders'!B561,7,4)),VALUE(MID('Raw Orders'!B561,4,2)),VALUE(LEFT('Raw Orders'!B561,2)))))</f>
        <v>46177</v>
      </c>
      <c r="B564" s="36" t="n">
        <f aca="false">IF(A564="","",A564-WEEKDAY(A564,3))</f>
        <v>46174</v>
      </c>
      <c r="C564" s="32" t="n">
        <f aca="false">IF(OR('Raw Orders'!C561&lt;&gt;"Product",'Raw Orders'!K561="Cancelled"),0,'Raw Orders'!G561)</f>
        <v>58</v>
      </c>
      <c r="D564" s="31" t="n">
        <f aca="false">IF(AND('Raw Orders'!C561="Product",'Raw Orders'!K561="Fulfilled",COUNTIFS('Raw Orders'!$A$2:$A561,'Raw Orders'!A561,'Raw Orders'!$C$2:$C561,"Product",'Raw Orders'!$K$2:$K561,"Fulfilled")=1),1,0)</f>
        <v>0</v>
      </c>
      <c r="E564" s="31" t="n">
        <f aca="false">IF(AND('Raw Orders'!C561="Product",'Raw Orders'!K561="Fulfilled"),'Raw Orders'!E561,0)</f>
        <v>2</v>
      </c>
      <c r="F564" s="32" t="n">
        <f aca="false">IF('Raw Orders'!K561="Refunded",'Raw Orders'!G561,0)</f>
        <v>0</v>
      </c>
    </row>
    <row r="565" customFormat="false" ht="15" hidden="false" customHeight="false" outlineLevel="0" collapsed="false">
      <c r="A565" s="36" t="n">
        <f aca="false">IF('Raw Orders'!B562="","",IF(MID('Raw Orders'!B562,5,1)="-",DATE(VALUE(LEFT('Raw Orders'!B562,4)),VALUE(MID('Raw Orders'!B562,6,2)),VALUE(MID('Raw Orders'!B562,9,2))),DATE(VALUE(MID('Raw Orders'!B562,7,4)),VALUE(MID('Raw Orders'!B562,4,2)),VALUE(LEFT('Raw Orders'!B562,2)))))</f>
        <v>46177</v>
      </c>
      <c r="B565" s="36" t="n">
        <f aca="false">IF(A565="","",A565-WEEKDAY(A565,3))</f>
        <v>46174</v>
      </c>
      <c r="C565" s="32" t="n">
        <f aca="false">IF(OR('Raw Orders'!C562&lt;&gt;"Product",'Raw Orders'!K562="Cancelled"),0,'Raw Orders'!G562)</f>
        <v>0</v>
      </c>
      <c r="D565" s="31" t="n">
        <f aca="false">IF(AND('Raw Orders'!C562="Product",'Raw Orders'!K562="Fulfilled",COUNTIFS('Raw Orders'!$A$2:$A562,'Raw Orders'!A562,'Raw Orders'!$C$2:$C562,"Product",'Raw Orders'!$K$2:$K562,"Fulfilled")=1),1,0)</f>
        <v>0</v>
      </c>
      <c r="E565" s="31" t="n">
        <f aca="false">IF(AND('Raw Orders'!C562="Product",'Raw Orders'!K562="Fulfilled"),'Raw Orders'!E562,0)</f>
        <v>0</v>
      </c>
      <c r="F565" s="32" t="n">
        <f aca="false">IF('Raw Orders'!K562="Refunded",'Raw Orders'!G562,0)</f>
        <v>0</v>
      </c>
    </row>
    <row r="566" customFormat="false" ht="15" hidden="false" customHeight="false" outlineLevel="0" collapsed="false">
      <c r="A566" s="36" t="n">
        <f aca="false">IF('Raw Orders'!B563="","",IF(MID('Raw Orders'!B563,5,1)="-",DATE(VALUE(LEFT('Raw Orders'!B563,4)),VALUE(MID('Raw Orders'!B563,6,2)),VALUE(MID('Raw Orders'!B563,9,2))),DATE(VALUE(MID('Raw Orders'!B563,7,4)),VALUE(MID('Raw Orders'!B563,4,2)),VALUE(LEFT('Raw Orders'!B563,2)))))</f>
        <v>46177</v>
      </c>
      <c r="B566" s="36" t="n">
        <f aca="false">IF(A566="","",A566-WEEKDAY(A566,3))</f>
        <v>46174</v>
      </c>
      <c r="C566" s="32" t="n">
        <f aca="false">IF(OR('Raw Orders'!C563&lt;&gt;"Product",'Raw Orders'!K563="Cancelled"),0,'Raw Orders'!G563)</f>
        <v>39</v>
      </c>
      <c r="D566" s="31" t="n">
        <f aca="false">IF(AND('Raw Orders'!C563="Product",'Raw Orders'!K563="Fulfilled",COUNTIFS('Raw Orders'!$A$2:$A563,'Raw Orders'!A563,'Raw Orders'!$C$2:$C563,"Product",'Raw Orders'!$K$2:$K563,"Fulfilled")=1),1,0)</f>
        <v>1</v>
      </c>
      <c r="E566" s="31" t="n">
        <f aca="false">IF(AND('Raw Orders'!C563="Product",'Raw Orders'!K563="Fulfilled"),'Raw Orders'!E563,0)</f>
        <v>1</v>
      </c>
      <c r="F566" s="32" t="n">
        <f aca="false">IF('Raw Orders'!K563="Refunded",'Raw Orders'!G563,0)</f>
        <v>0</v>
      </c>
    </row>
    <row r="567" customFormat="false" ht="15" hidden="false" customHeight="false" outlineLevel="0" collapsed="false">
      <c r="A567" s="36" t="n">
        <f aca="false">IF('Raw Orders'!B564="","",IF(MID('Raw Orders'!B564,5,1)="-",DATE(VALUE(LEFT('Raw Orders'!B564,4)),VALUE(MID('Raw Orders'!B564,6,2)),VALUE(MID('Raw Orders'!B564,9,2))),DATE(VALUE(MID('Raw Orders'!B564,7,4)),VALUE(MID('Raw Orders'!B564,4,2)),VALUE(LEFT('Raw Orders'!B564,2)))))</f>
        <v>46177</v>
      </c>
      <c r="B567" s="36" t="n">
        <f aca="false">IF(A567="","",A567-WEEKDAY(A567,3))</f>
        <v>46174</v>
      </c>
      <c r="C567" s="32" t="n">
        <f aca="false">IF(OR('Raw Orders'!C564&lt;&gt;"Product",'Raw Orders'!K564="Cancelled"),0,'Raw Orders'!G564)</f>
        <v>32</v>
      </c>
      <c r="D567" s="31" t="n">
        <f aca="false">IF(AND('Raw Orders'!C564="Product",'Raw Orders'!K564="Fulfilled",COUNTIFS('Raw Orders'!$A$2:$A564,'Raw Orders'!A564,'Raw Orders'!$C$2:$C564,"Product",'Raw Orders'!$K$2:$K564,"Fulfilled")=1),1,0)</f>
        <v>1</v>
      </c>
      <c r="E567" s="31" t="n">
        <f aca="false">IF(AND('Raw Orders'!C564="Product",'Raw Orders'!K564="Fulfilled"),'Raw Orders'!E564,0)</f>
        <v>1</v>
      </c>
      <c r="F567" s="32" t="n">
        <f aca="false">IF('Raw Orders'!K564="Refunded",'Raw Orders'!G564,0)</f>
        <v>0</v>
      </c>
    </row>
    <row r="568" customFormat="false" ht="15" hidden="false" customHeight="false" outlineLevel="0" collapsed="false">
      <c r="A568" s="36" t="n">
        <f aca="false">IF('Raw Orders'!B565="","",IF(MID('Raw Orders'!B565,5,1)="-",DATE(VALUE(LEFT('Raw Orders'!B565,4)),VALUE(MID('Raw Orders'!B565,6,2)),VALUE(MID('Raw Orders'!B565,9,2))),DATE(VALUE(MID('Raw Orders'!B565,7,4)),VALUE(MID('Raw Orders'!B565,4,2)),VALUE(LEFT('Raw Orders'!B565,2)))))</f>
        <v>46177</v>
      </c>
      <c r="B568" s="36" t="n">
        <f aca="false">IF(A568="","",A568-WEEKDAY(A568,3))</f>
        <v>46174</v>
      </c>
      <c r="C568" s="32" t="n">
        <f aca="false">IF(OR('Raw Orders'!C565&lt;&gt;"Product",'Raw Orders'!K565="Cancelled"),0,'Raw Orders'!G565)</f>
        <v>22</v>
      </c>
      <c r="D568" s="31" t="n">
        <f aca="false">IF(AND('Raw Orders'!C565="Product",'Raw Orders'!K565="Fulfilled",COUNTIFS('Raw Orders'!$A$2:$A565,'Raw Orders'!A565,'Raw Orders'!$C$2:$C565,"Product",'Raw Orders'!$K$2:$K565,"Fulfilled")=1),1,0)</f>
        <v>1</v>
      </c>
      <c r="E568" s="31" t="n">
        <f aca="false">IF(AND('Raw Orders'!C565="Product",'Raw Orders'!K565="Fulfilled"),'Raw Orders'!E565,0)</f>
        <v>1</v>
      </c>
      <c r="F568" s="32" t="n">
        <f aca="false">IF('Raw Orders'!K565="Refunded",'Raw Orders'!G565,0)</f>
        <v>0</v>
      </c>
    </row>
    <row r="569" customFormat="false" ht="15" hidden="false" customHeight="false" outlineLevel="0" collapsed="false">
      <c r="A569" s="36" t="n">
        <f aca="false">IF('Raw Orders'!B566="","",IF(MID('Raw Orders'!B566,5,1)="-",DATE(VALUE(LEFT('Raw Orders'!B566,4)),VALUE(MID('Raw Orders'!B566,6,2)),VALUE(MID('Raw Orders'!B566,9,2))),DATE(VALUE(MID('Raw Orders'!B566,7,4)),VALUE(MID('Raw Orders'!B566,4,2)),VALUE(LEFT('Raw Orders'!B566,2)))))</f>
        <v>46177</v>
      </c>
      <c r="B569" s="36" t="n">
        <f aca="false">IF(A569="","",A569-WEEKDAY(A569,3))</f>
        <v>46174</v>
      </c>
      <c r="C569" s="32" t="n">
        <f aca="false">IF(OR('Raw Orders'!C566&lt;&gt;"Product",'Raw Orders'!K566="Cancelled"),0,'Raw Orders'!G566)</f>
        <v>0</v>
      </c>
      <c r="D569" s="31" t="n">
        <f aca="false">IF(AND('Raw Orders'!C566="Product",'Raw Orders'!K566="Fulfilled",COUNTIFS('Raw Orders'!$A$2:$A566,'Raw Orders'!A566,'Raw Orders'!$C$2:$C566,"Product",'Raw Orders'!$K$2:$K566,"Fulfilled")=1),1,0)</f>
        <v>0</v>
      </c>
      <c r="E569" s="31" t="n">
        <f aca="false">IF(AND('Raw Orders'!C566="Product",'Raw Orders'!K566="Fulfilled"),'Raw Orders'!E566,0)</f>
        <v>0</v>
      </c>
      <c r="F569" s="32" t="n">
        <f aca="false">IF('Raw Orders'!K566="Refunded",'Raw Orders'!G566,0)</f>
        <v>0</v>
      </c>
    </row>
    <row r="570" customFormat="false" ht="15" hidden="false" customHeight="false" outlineLevel="0" collapsed="false">
      <c r="A570" s="36" t="n">
        <f aca="false">IF('Raw Orders'!B567="","",IF(MID('Raw Orders'!B567,5,1)="-",DATE(VALUE(LEFT('Raw Orders'!B567,4)),VALUE(MID('Raw Orders'!B567,6,2)),VALUE(MID('Raw Orders'!B567,9,2))),DATE(VALUE(MID('Raw Orders'!B567,7,4)),VALUE(MID('Raw Orders'!B567,4,2)),VALUE(LEFT('Raw Orders'!B567,2)))))</f>
        <v>46177</v>
      </c>
      <c r="B570" s="36" t="n">
        <f aca="false">IF(A570="","",A570-WEEKDAY(A570,3))</f>
        <v>46174</v>
      </c>
      <c r="C570" s="32" t="n">
        <f aca="false">IF(OR('Raw Orders'!C567&lt;&gt;"Product",'Raw Orders'!K567="Cancelled"),0,'Raw Orders'!G567)</f>
        <v>0</v>
      </c>
      <c r="D570" s="31" t="n">
        <f aca="false">IF(AND('Raw Orders'!C567="Product",'Raw Orders'!K567="Fulfilled",COUNTIFS('Raw Orders'!$A$2:$A567,'Raw Orders'!A567,'Raw Orders'!$C$2:$C567,"Product",'Raw Orders'!$K$2:$K567,"Fulfilled")=1),1,0)</f>
        <v>0</v>
      </c>
      <c r="E570" s="31" t="n">
        <f aca="false">IF(AND('Raw Orders'!C567="Product",'Raw Orders'!K567="Fulfilled"),'Raw Orders'!E567,0)</f>
        <v>0</v>
      </c>
      <c r="F570" s="32" t="n">
        <f aca="false">IF('Raw Orders'!K567="Refunded",'Raw Orders'!G567,0)</f>
        <v>0</v>
      </c>
    </row>
    <row r="571" customFormat="false" ht="15" hidden="false" customHeight="false" outlineLevel="0" collapsed="false">
      <c r="A571" s="36" t="n">
        <f aca="false">IF('Raw Orders'!B568="","",IF(MID('Raw Orders'!B568,5,1)="-",DATE(VALUE(LEFT('Raw Orders'!B568,4)),VALUE(MID('Raw Orders'!B568,6,2)),VALUE(MID('Raw Orders'!B568,9,2))),DATE(VALUE(MID('Raw Orders'!B568,7,4)),VALUE(MID('Raw Orders'!B568,4,2)),VALUE(LEFT('Raw Orders'!B568,2)))))</f>
        <v>46177</v>
      </c>
      <c r="B571" s="36" t="n">
        <f aca="false">IF(A571="","",A571-WEEKDAY(A571,3))</f>
        <v>46174</v>
      </c>
      <c r="C571" s="32" t="n">
        <f aca="false">IF(OR('Raw Orders'!C568&lt;&gt;"Product",'Raw Orders'!K568="Cancelled"),0,'Raw Orders'!G568)</f>
        <v>39</v>
      </c>
      <c r="D571" s="31" t="n">
        <f aca="false">IF(AND('Raw Orders'!C568="Product",'Raw Orders'!K568="Fulfilled",COUNTIFS('Raw Orders'!$A$2:$A568,'Raw Orders'!A568,'Raw Orders'!$C$2:$C568,"Product",'Raw Orders'!$K$2:$K568,"Fulfilled")=1),1,0)</f>
        <v>1</v>
      </c>
      <c r="E571" s="31" t="n">
        <f aca="false">IF(AND('Raw Orders'!C568="Product",'Raw Orders'!K568="Fulfilled"),'Raw Orders'!E568,0)</f>
        <v>1</v>
      </c>
      <c r="F571" s="32" t="n">
        <f aca="false">IF('Raw Orders'!K568="Refunded",'Raw Orders'!G568,0)</f>
        <v>0</v>
      </c>
    </row>
    <row r="572" customFormat="false" ht="15" hidden="false" customHeight="false" outlineLevel="0" collapsed="false">
      <c r="A572" s="36" t="n">
        <f aca="false">IF('Raw Orders'!B569="","",IF(MID('Raw Orders'!B569,5,1)="-",DATE(VALUE(LEFT('Raw Orders'!B569,4)),VALUE(MID('Raw Orders'!B569,6,2)),VALUE(MID('Raw Orders'!B569,9,2))),DATE(VALUE(MID('Raw Orders'!B569,7,4)),VALUE(MID('Raw Orders'!B569,4,2)),VALUE(LEFT('Raw Orders'!B569,2)))))</f>
        <v>46177</v>
      </c>
      <c r="B572" s="36" t="n">
        <f aca="false">IF(A572="","",A572-WEEKDAY(A572,3))</f>
        <v>46174</v>
      </c>
      <c r="C572" s="32" t="n">
        <f aca="false">IF(OR('Raw Orders'!C569&lt;&gt;"Product",'Raw Orders'!K569="Cancelled"),0,'Raw Orders'!G569)</f>
        <v>356</v>
      </c>
      <c r="D572" s="31" t="n">
        <f aca="false">IF(AND('Raw Orders'!C569="Product",'Raw Orders'!K569="Fulfilled",COUNTIFS('Raw Orders'!$A$2:$A569,'Raw Orders'!A569,'Raw Orders'!$C$2:$C569,"Product",'Raw Orders'!$K$2:$K569,"Fulfilled")=1),1,0)</f>
        <v>0</v>
      </c>
      <c r="E572" s="31" t="n">
        <f aca="false">IF(AND('Raw Orders'!C569="Product",'Raw Orders'!K569="Fulfilled"),'Raw Orders'!E569,0)</f>
        <v>4</v>
      </c>
      <c r="F572" s="32" t="n">
        <f aca="false">IF('Raw Orders'!K569="Refunded",'Raw Orders'!G569,0)</f>
        <v>0</v>
      </c>
    </row>
    <row r="573" customFormat="false" ht="15" hidden="false" customHeight="false" outlineLevel="0" collapsed="false">
      <c r="A573" s="36" t="n">
        <f aca="false">IF('Raw Orders'!B570="","",IF(MID('Raw Orders'!B570,5,1)="-",DATE(VALUE(LEFT('Raw Orders'!B570,4)),VALUE(MID('Raw Orders'!B570,6,2)),VALUE(MID('Raw Orders'!B570,9,2))),DATE(VALUE(MID('Raw Orders'!B570,7,4)),VALUE(MID('Raw Orders'!B570,4,2)),VALUE(LEFT('Raw Orders'!B570,2)))))</f>
        <v>46177</v>
      </c>
      <c r="B573" s="36" t="n">
        <f aca="false">IF(A573="","",A573-WEEKDAY(A573,3))</f>
        <v>46174</v>
      </c>
      <c r="C573" s="32" t="n">
        <f aca="false">IF(OR('Raw Orders'!C570&lt;&gt;"Product",'Raw Orders'!K570="Cancelled"),0,'Raw Orders'!G570)</f>
        <v>0</v>
      </c>
      <c r="D573" s="31" t="n">
        <f aca="false">IF(AND('Raw Orders'!C570="Product",'Raw Orders'!K570="Fulfilled",COUNTIFS('Raw Orders'!$A$2:$A570,'Raw Orders'!A570,'Raw Orders'!$C$2:$C570,"Product",'Raw Orders'!$K$2:$K570,"Fulfilled")=1),1,0)</f>
        <v>0</v>
      </c>
      <c r="E573" s="31" t="n">
        <f aca="false">IF(AND('Raw Orders'!C570="Product",'Raw Orders'!K570="Fulfilled"),'Raw Orders'!E570,0)</f>
        <v>0</v>
      </c>
      <c r="F573" s="32" t="n">
        <f aca="false">IF('Raw Orders'!K570="Refunded",'Raw Orders'!G570,0)</f>
        <v>0</v>
      </c>
    </row>
    <row r="574" customFormat="false" ht="15" hidden="false" customHeight="false" outlineLevel="0" collapsed="false">
      <c r="A574" s="36" t="n">
        <f aca="false">IF('Raw Orders'!B571="","",IF(MID('Raw Orders'!B571,5,1)="-",DATE(VALUE(LEFT('Raw Orders'!B571,4)),VALUE(MID('Raw Orders'!B571,6,2)),VALUE(MID('Raw Orders'!B571,9,2))),DATE(VALUE(MID('Raw Orders'!B571,7,4)),VALUE(MID('Raw Orders'!B571,4,2)),VALUE(LEFT('Raw Orders'!B571,2)))))</f>
        <v>46177</v>
      </c>
      <c r="B574" s="36" t="n">
        <f aca="false">IF(A574="","",A574-WEEKDAY(A574,3))</f>
        <v>46174</v>
      </c>
      <c r="C574" s="32" t="n">
        <f aca="false">IF(OR('Raw Orders'!C571&lt;&gt;"Product",'Raw Orders'!K571="Cancelled"),0,'Raw Orders'!G571)</f>
        <v>87</v>
      </c>
      <c r="D574" s="31" t="n">
        <f aca="false">IF(AND('Raw Orders'!C571="Product",'Raw Orders'!K571="Fulfilled",COUNTIFS('Raw Orders'!$A$2:$A571,'Raw Orders'!A571,'Raw Orders'!$C$2:$C571,"Product",'Raw Orders'!$K$2:$K571,"Fulfilled")=1),1,0)</f>
        <v>1</v>
      </c>
      <c r="E574" s="31" t="n">
        <f aca="false">IF(AND('Raw Orders'!C571="Product",'Raw Orders'!K571="Fulfilled"),'Raw Orders'!E571,0)</f>
        <v>3</v>
      </c>
      <c r="F574" s="32" t="n">
        <f aca="false">IF('Raw Orders'!K571="Refunded",'Raw Orders'!G571,0)</f>
        <v>0</v>
      </c>
    </row>
    <row r="575" customFormat="false" ht="15" hidden="false" customHeight="false" outlineLevel="0" collapsed="false">
      <c r="A575" s="36" t="n">
        <f aca="false">IF('Raw Orders'!B572="","",IF(MID('Raw Orders'!B572,5,1)="-",DATE(VALUE(LEFT('Raw Orders'!B572,4)),VALUE(MID('Raw Orders'!B572,6,2)),VALUE(MID('Raw Orders'!B572,9,2))),DATE(VALUE(MID('Raw Orders'!B572,7,4)),VALUE(MID('Raw Orders'!B572,4,2)),VALUE(LEFT('Raw Orders'!B572,2)))))</f>
        <v>46177</v>
      </c>
      <c r="B575" s="36" t="n">
        <f aca="false">IF(A575="","",A575-WEEKDAY(A575,3))</f>
        <v>46174</v>
      </c>
      <c r="C575" s="32" t="n">
        <f aca="false">IF(OR('Raw Orders'!C572&lt;&gt;"Product",'Raw Orders'!K572="Cancelled"),0,'Raw Orders'!G572)</f>
        <v>0</v>
      </c>
      <c r="D575" s="31" t="n">
        <f aca="false">IF(AND('Raw Orders'!C572="Product",'Raw Orders'!K572="Fulfilled",COUNTIFS('Raw Orders'!$A$2:$A572,'Raw Orders'!A572,'Raw Orders'!$C$2:$C572,"Product",'Raw Orders'!$K$2:$K572,"Fulfilled")=1),1,0)</f>
        <v>0</v>
      </c>
      <c r="E575" s="31" t="n">
        <f aca="false">IF(AND('Raw Orders'!C572="Product",'Raw Orders'!K572="Fulfilled"),'Raw Orders'!E572,0)</f>
        <v>0</v>
      </c>
      <c r="F575" s="32" t="n">
        <f aca="false">IF('Raw Orders'!K572="Refunded",'Raw Orders'!G572,0)</f>
        <v>0</v>
      </c>
    </row>
    <row r="576" customFormat="false" ht="15" hidden="false" customHeight="false" outlineLevel="0" collapsed="false">
      <c r="A576" s="36" t="n">
        <f aca="false">IF('Raw Orders'!B573="","",IF(MID('Raw Orders'!B573,5,1)="-",DATE(VALUE(LEFT('Raw Orders'!B573,4)),VALUE(MID('Raw Orders'!B573,6,2)),VALUE(MID('Raw Orders'!B573,9,2))),DATE(VALUE(MID('Raw Orders'!B573,7,4)),VALUE(MID('Raw Orders'!B573,4,2)),VALUE(LEFT('Raw Orders'!B573,2)))))</f>
        <v>46177</v>
      </c>
      <c r="B576" s="36" t="n">
        <f aca="false">IF(A576="","",A576-WEEKDAY(A576,3))</f>
        <v>46174</v>
      </c>
      <c r="C576" s="32" t="n">
        <f aca="false">IF(OR('Raw Orders'!C573&lt;&gt;"Product",'Raw Orders'!K573="Cancelled"),0,'Raw Orders'!G573)</f>
        <v>35</v>
      </c>
      <c r="D576" s="31" t="n">
        <f aca="false">IF(AND('Raw Orders'!C573="Product",'Raw Orders'!K573="Fulfilled",COUNTIFS('Raw Orders'!$A$2:$A573,'Raw Orders'!A573,'Raw Orders'!$C$2:$C573,"Product",'Raw Orders'!$K$2:$K573,"Fulfilled")=1),1,0)</f>
        <v>1</v>
      </c>
      <c r="E576" s="31" t="n">
        <f aca="false">IF(AND('Raw Orders'!C573="Product",'Raw Orders'!K573="Fulfilled"),'Raw Orders'!E573,0)</f>
        <v>1</v>
      </c>
      <c r="F576" s="32" t="n">
        <f aca="false">IF('Raw Orders'!K573="Refunded",'Raw Orders'!G573,0)</f>
        <v>0</v>
      </c>
    </row>
    <row r="577" customFormat="false" ht="15" hidden="false" customHeight="false" outlineLevel="0" collapsed="false">
      <c r="A577" s="36" t="n">
        <f aca="false">IF('Raw Orders'!B574="","",IF(MID('Raw Orders'!B574,5,1)="-",DATE(VALUE(LEFT('Raw Orders'!B574,4)),VALUE(MID('Raw Orders'!B574,6,2)),VALUE(MID('Raw Orders'!B574,9,2))),DATE(VALUE(MID('Raw Orders'!B574,7,4)),VALUE(MID('Raw Orders'!B574,4,2)),VALUE(LEFT('Raw Orders'!B574,2)))))</f>
        <v>46177</v>
      </c>
      <c r="B577" s="36" t="n">
        <f aca="false">IF(A577="","",A577-WEEKDAY(A577,3))</f>
        <v>46174</v>
      </c>
      <c r="C577" s="32" t="n">
        <f aca="false">IF(OR('Raw Orders'!C574&lt;&gt;"Product",'Raw Orders'!K574="Cancelled"),0,'Raw Orders'!G574)</f>
        <v>29</v>
      </c>
      <c r="D577" s="31" t="n">
        <f aca="false">IF(AND('Raw Orders'!C574="Product",'Raw Orders'!K574="Fulfilled",COUNTIFS('Raw Orders'!$A$2:$A574,'Raw Orders'!A574,'Raw Orders'!$C$2:$C574,"Product",'Raw Orders'!$K$2:$K574,"Fulfilled")=1),1,0)</f>
        <v>0</v>
      </c>
      <c r="E577" s="31" t="n">
        <f aca="false">IF(AND('Raw Orders'!C574="Product",'Raw Orders'!K574="Fulfilled"),'Raw Orders'!E574,0)</f>
        <v>1</v>
      </c>
      <c r="F577" s="32" t="n">
        <f aca="false">IF('Raw Orders'!K574="Refunded",'Raw Orders'!G574,0)</f>
        <v>0</v>
      </c>
    </row>
    <row r="578" customFormat="false" ht="15" hidden="false" customHeight="false" outlineLevel="0" collapsed="false">
      <c r="A578" s="36" t="n">
        <f aca="false">IF('Raw Orders'!B575="","",IF(MID('Raw Orders'!B575,5,1)="-",DATE(VALUE(LEFT('Raw Orders'!B575,4)),VALUE(MID('Raw Orders'!B575,6,2)),VALUE(MID('Raw Orders'!B575,9,2))),DATE(VALUE(MID('Raw Orders'!B575,7,4)),VALUE(MID('Raw Orders'!B575,4,2)),VALUE(LEFT('Raw Orders'!B575,2)))))</f>
        <v>46177</v>
      </c>
      <c r="B578" s="36" t="n">
        <f aca="false">IF(A578="","",A578-WEEKDAY(A578,3))</f>
        <v>46174</v>
      </c>
      <c r="C578" s="32" t="n">
        <f aca="false">IF(OR('Raw Orders'!C575&lt;&gt;"Product",'Raw Orders'!K575="Cancelled"),0,'Raw Orders'!G575)</f>
        <v>69</v>
      </c>
      <c r="D578" s="31" t="n">
        <f aca="false">IF(AND('Raw Orders'!C575="Product",'Raw Orders'!K575="Fulfilled",COUNTIFS('Raw Orders'!$A$2:$A575,'Raw Orders'!A575,'Raw Orders'!$C$2:$C575,"Product",'Raw Orders'!$K$2:$K575,"Fulfilled")=1),1,0)</f>
        <v>0</v>
      </c>
      <c r="E578" s="31" t="n">
        <f aca="false">IF(AND('Raw Orders'!C575="Product",'Raw Orders'!K575="Fulfilled"),'Raw Orders'!E575,0)</f>
        <v>1</v>
      </c>
      <c r="F578" s="32" t="n">
        <f aca="false">IF('Raw Orders'!K575="Refunded",'Raw Orders'!G575,0)</f>
        <v>0</v>
      </c>
    </row>
    <row r="579" customFormat="false" ht="15" hidden="false" customHeight="false" outlineLevel="0" collapsed="false">
      <c r="A579" s="36" t="n">
        <f aca="false">IF('Raw Orders'!B576="","",IF(MID('Raw Orders'!B576,5,1)="-",DATE(VALUE(LEFT('Raw Orders'!B576,4)),VALUE(MID('Raw Orders'!B576,6,2)),VALUE(MID('Raw Orders'!B576,9,2))),DATE(VALUE(MID('Raw Orders'!B576,7,4)),VALUE(MID('Raw Orders'!B576,4,2)),VALUE(LEFT('Raw Orders'!B576,2)))))</f>
        <v>46177</v>
      </c>
      <c r="B579" s="36" t="n">
        <f aca="false">IF(A579="","",A579-WEEKDAY(A579,3))</f>
        <v>46174</v>
      </c>
      <c r="C579" s="32" t="n">
        <f aca="false">IF(OR('Raw Orders'!C576&lt;&gt;"Product",'Raw Orders'!K576="Cancelled"),0,'Raw Orders'!G576)</f>
        <v>0</v>
      </c>
      <c r="D579" s="31" t="n">
        <f aca="false">IF(AND('Raw Orders'!C576="Product",'Raw Orders'!K576="Fulfilled",COUNTIFS('Raw Orders'!$A$2:$A576,'Raw Orders'!A576,'Raw Orders'!$C$2:$C576,"Product",'Raw Orders'!$K$2:$K576,"Fulfilled")=1),1,0)</f>
        <v>0</v>
      </c>
      <c r="E579" s="31" t="n">
        <f aca="false">IF(AND('Raw Orders'!C576="Product",'Raw Orders'!K576="Fulfilled"),'Raw Orders'!E576,0)</f>
        <v>0</v>
      </c>
      <c r="F579" s="32" t="n">
        <f aca="false">IF('Raw Orders'!K576="Refunded",'Raw Orders'!G576,0)</f>
        <v>0</v>
      </c>
    </row>
    <row r="580" customFormat="false" ht="15" hidden="false" customHeight="false" outlineLevel="0" collapsed="false">
      <c r="A580" s="36" t="n">
        <f aca="false">IF('Raw Orders'!B577="","",IF(MID('Raw Orders'!B577,5,1)="-",DATE(VALUE(LEFT('Raw Orders'!B577,4)),VALUE(MID('Raw Orders'!B577,6,2)),VALUE(MID('Raw Orders'!B577,9,2))),DATE(VALUE(MID('Raw Orders'!B577,7,4)),VALUE(MID('Raw Orders'!B577,4,2)),VALUE(LEFT('Raw Orders'!B577,2)))))</f>
        <v>46177</v>
      </c>
      <c r="B580" s="36" t="n">
        <f aca="false">IF(A580="","",A580-WEEKDAY(A580,3))</f>
        <v>46174</v>
      </c>
      <c r="C580" s="32" t="n">
        <f aca="false">IF(OR('Raw Orders'!C577&lt;&gt;"Product",'Raw Orders'!K577="Cancelled"),0,'Raw Orders'!G577)</f>
        <v>26</v>
      </c>
      <c r="D580" s="31" t="n">
        <f aca="false">IF(AND('Raw Orders'!C577="Product",'Raw Orders'!K577="Fulfilled",COUNTIFS('Raw Orders'!$A$2:$A577,'Raw Orders'!A577,'Raw Orders'!$C$2:$C577,"Product",'Raw Orders'!$K$2:$K577,"Fulfilled")=1),1,0)</f>
        <v>1</v>
      </c>
      <c r="E580" s="31" t="n">
        <f aca="false">IF(AND('Raw Orders'!C577="Product",'Raw Orders'!K577="Fulfilled"),'Raw Orders'!E577,0)</f>
        <v>1</v>
      </c>
      <c r="F580" s="32" t="n">
        <f aca="false">IF('Raw Orders'!K577="Refunded",'Raw Orders'!G577,0)</f>
        <v>0</v>
      </c>
    </row>
    <row r="581" customFormat="false" ht="15" hidden="false" customHeight="false" outlineLevel="0" collapsed="false">
      <c r="A581" s="36" t="n">
        <f aca="false">IF('Raw Orders'!B578="","",IF(MID('Raw Orders'!B578,5,1)="-",DATE(VALUE(LEFT('Raw Orders'!B578,4)),VALUE(MID('Raw Orders'!B578,6,2)),VALUE(MID('Raw Orders'!B578,9,2))),DATE(VALUE(MID('Raw Orders'!B578,7,4)),VALUE(MID('Raw Orders'!B578,4,2)),VALUE(LEFT('Raw Orders'!B578,2)))))</f>
        <v>46177</v>
      </c>
      <c r="B581" s="36" t="n">
        <f aca="false">IF(A581="","",A581-WEEKDAY(A581,3))</f>
        <v>46174</v>
      </c>
      <c r="C581" s="32" t="n">
        <f aca="false">IF(OR('Raw Orders'!C578&lt;&gt;"Product",'Raw Orders'!K578="Cancelled"),0,'Raw Orders'!G578)</f>
        <v>0</v>
      </c>
      <c r="D581" s="31" t="n">
        <f aca="false">IF(AND('Raw Orders'!C578="Product",'Raw Orders'!K578="Fulfilled",COUNTIFS('Raw Orders'!$A$2:$A578,'Raw Orders'!A578,'Raw Orders'!$C$2:$C578,"Product",'Raw Orders'!$K$2:$K578,"Fulfilled")=1),1,0)</f>
        <v>0</v>
      </c>
      <c r="E581" s="31" t="n">
        <f aca="false">IF(AND('Raw Orders'!C578="Product",'Raw Orders'!K578="Fulfilled"),'Raw Orders'!E578,0)</f>
        <v>0</v>
      </c>
      <c r="F581" s="32" t="n">
        <f aca="false">IF('Raw Orders'!K578="Refunded",'Raw Orders'!G578,0)</f>
        <v>0</v>
      </c>
    </row>
    <row r="582" customFormat="false" ht="15" hidden="false" customHeight="false" outlineLevel="0" collapsed="false">
      <c r="A582" s="36" t="n">
        <f aca="false">IF('Raw Orders'!B579="","",IF(MID('Raw Orders'!B579,5,1)="-",DATE(VALUE(LEFT('Raw Orders'!B579,4)),VALUE(MID('Raw Orders'!B579,6,2)),VALUE(MID('Raw Orders'!B579,9,2))),DATE(VALUE(MID('Raw Orders'!B579,7,4)),VALUE(MID('Raw Orders'!B579,4,2)),VALUE(LEFT('Raw Orders'!B579,2)))))</f>
        <v>46177</v>
      </c>
      <c r="B582" s="36" t="n">
        <f aca="false">IF(A582="","",A582-WEEKDAY(A582,3))</f>
        <v>46174</v>
      </c>
      <c r="C582" s="32" t="n">
        <f aca="false">IF(OR('Raw Orders'!C579&lt;&gt;"Product",'Raw Orders'!K579="Cancelled"),0,'Raw Orders'!G579)</f>
        <v>45</v>
      </c>
      <c r="D582" s="31" t="n">
        <f aca="false">IF(AND('Raw Orders'!C579="Product",'Raw Orders'!K579="Fulfilled",COUNTIFS('Raw Orders'!$A$2:$A579,'Raw Orders'!A579,'Raw Orders'!$C$2:$C579,"Product",'Raw Orders'!$K$2:$K579,"Fulfilled")=1),1,0)</f>
        <v>0</v>
      </c>
      <c r="E582" s="31" t="n">
        <f aca="false">IF(AND('Raw Orders'!C579="Product",'Raw Orders'!K579="Fulfilled"),'Raw Orders'!E579,0)</f>
        <v>1</v>
      </c>
      <c r="F582" s="32" t="n">
        <f aca="false">IF('Raw Orders'!K579="Refunded",'Raw Orders'!G579,0)</f>
        <v>0</v>
      </c>
    </row>
    <row r="583" customFormat="false" ht="15" hidden="false" customHeight="false" outlineLevel="0" collapsed="false">
      <c r="A583" s="36" t="n">
        <f aca="false">IF('Raw Orders'!B580="","",IF(MID('Raw Orders'!B580,5,1)="-",DATE(VALUE(LEFT('Raw Orders'!B580,4)),VALUE(MID('Raw Orders'!B580,6,2)),VALUE(MID('Raw Orders'!B580,9,2))),DATE(VALUE(MID('Raw Orders'!B580,7,4)),VALUE(MID('Raw Orders'!B580,4,2)),VALUE(LEFT('Raw Orders'!B580,2)))))</f>
        <v>46178</v>
      </c>
      <c r="B583" s="36" t="n">
        <f aca="false">IF(A583="","",A583-WEEKDAY(A583,3))</f>
        <v>46174</v>
      </c>
      <c r="C583" s="32" t="n">
        <f aca="false">IF(OR('Raw Orders'!C580&lt;&gt;"Product",'Raw Orders'!K580="Cancelled"),0,'Raw Orders'!G580)</f>
        <v>0</v>
      </c>
      <c r="D583" s="31" t="n">
        <f aca="false">IF(AND('Raw Orders'!C580="Product",'Raw Orders'!K580="Fulfilled",COUNTIFS('Raw Orders'!$A$2:$A580,'Raw Orders'!A580,'Raw Orders'!$C$2:$C580,"Product",'Raw Orders'!$K$2:$K580,"Fulfilled")=1),1,0)</f>
        <v>0</v>
      </c>
      <c r="E583" s="31" t="n">
        <f aca="false">IF(AND('Raw Orders'!C580="Product",'Raw Orders'!K580="Fulfilled"),'Raw Orders'!E580,0)</f>
        <v>0</v>
      </c>
      <c r="F583" s="32" t="n">
        <f aca="false">IF('Raw Orders'!K580="Refunded",'Raw Orders'!G580,0)</f>
        <v>0</v>
      </c>
    </row>
    <row r="584" customFormat="false" ht="15" hidden="false" customHeight="false" outlineLevel="0" collapsed="false">
      <c r="A584" s="36" t="n">
        <f aca="false">IF('Raw Orders'!B581="","",IF(MID('Raw Orders'!B581,5,1)="-",DATE(VALUE(LEFT('Raw Orders'!B581,4)),VALUE(MID('Raw Orders'!B581,6,2)),VALUE(MID('Raw Orders'!B581,9,2))),DATE(VALUE(MID('Raw Orders'!B581,7,4)),VALUE(MID('Raw Orders'!B581,4,2)),VALUE(LEFT('Raw Orders'!B581,2)))))</f>
        <v>46178</v>
      </c>
      <c r="B584" s="36" t="n">
        <f aca="false">IF(A584="","",A584-WEEKDAY(A584,3))</f>
        <v>46174</v>
      </c>
      <c r="C584" s="32" t="n">
        <f aca="false">IF(OR('Raw Orders'!C581&lt;&gt;"Product",'Raw Orders'!K581="Cancelled"),0,'Raw Orders'!G581)</f>
        <v>39</v>
      </c>
      <c r="D584" s="31" t="n">
        <f aca="false">IF(AND('Raw Orders'!C581="Product",'Raw Orders'!K581="Fulfilled",COUNTIFS('Raw Orders'!$A$2:$A581,'Raw Orders'!A581,'Raw Orders'!$C$2:$C581,"Product",'Raw Orders'!$K$2:$K581,"Fulfilled")=1),1,0)</f>
        <v>1</v>
      </c>
      <c r="E584" s="31" t="n">
        <f aca="false">IF(AND('Raw Orders'!C581="Product",'Raw Orders'!K581="Fulfilled"),'Raw Orders'!E581,0)</f>
        <v>1</v>
      </c>
      <c r="F584" s="32" t="n">
        <f aca="false">IF('Raw Orders'!K581="Refunded",'Raw Orders'!G581,0)</f>
        <v>0</v>
      </c>
    </row>
    <row r="585" customFormat="false" ht="15" hidden="false" customHeight="false" outlineLevel="0" collapsed="false">
      <c r="A585" s="36" t="n">
        <f aca="false">IF('Raw Orders'!B582="","",IF(MID('Raw Orders'!B582,5,1)="-",DATE(VALUE(LEFT('Raw Orders'!B582,4)),VALUE(MID('Raw Orders'!B582,6,2)),VALUE(MID('Raw Orders'!B582,9,2))),DATE(VALUE(MID('Raw Orders'!B582,7,4)),VALUE(MID('Raw Orders'!B582,4,2)),VALUE(LEFT('Raw Orders'!B582,2)))))</f>
        <v>46178</v>
      </c>
      <c r="B585" s="36" t="n">
        <f aca="false">IF(A585="","",A585-WEEKDAY(A585,3))</f>
        <v>46174</v>
      </c>
      <c r="C585" s="32" t="n">
        <f aca="false">IF(OR('Raw Orders'!C582&lt;&gt;"Product",'Raw Orders'!K582="Cancelled"),0,'Raw Orders'!G582)</f>
        <v>0</v>
      </c>
      <c r="D585" s="31" t="n">
        <f aca="false">IF(AND('Raw Orders'!C582="Product",'Raw Orders'!K582="Fulfilled",COUNTIFS('Raw Orders'!$A$2:$A582,'Raw Orders'!A582,'Raw Orders'!$C$2:$C582,"Product",'Raw Orders'!$K$2:$K582,"Fulfilled")=1),1,0)</f>
        <v>0</v>
      </c>
      <c r="E585" s="31" t="n">
        <f aca="false">IF(AND('Raw Orders'!C582="Product",'Raw Orders'!K582="Fulfilled"),'Raw Orders'!E582,0)</f>
        <v>0</v>
      </c>
      <c r="F585" s="32" t="n">
        <f aca="false">IF('Raw Orders'!K582="Refunded",'Raw Orders'!G582,0)</f>
        <v>0</v>
      </c>
    </row>
    <row r="586" customFormat="false" ht="15" hidden="false" customHeight="false" outlineLevel="0" collapsed="false">
      <c r="A586" s="36" t="n">
        <f aca="false">IF('Raw Orders'!B583="","",IF(MID('Raw Orders'!B583,5,1)="-",DATE(VALUE(LEFT('Raw Orders'!B583,4)),VALUE(MID('Raw Orders'!B583,6,2)),VALUE(MID('Raw Orders'!B583,9,2))),DATE(VALUE(MID('Raw Orders'!B583,7,4)),VALUE(MID('Raw Orders'!B583,4,2)),VALUE(LEFT('Raw Orders'!B583,2)))))</f>
        <v>46178</v>
      </c>
      <c r="B586" s="36" t="n">
        <f aca="false">IF(A586="","",A586-WEEKDAY(A586,3))</f>
        <v>46174</v>
      </c>
      <c r="C586" s="32" t="n">
        <f aca="false">IF(OR('Raw Orders'!C583&lt;&gt;"Product",'Raw Orders'!K583="Cancelled"),0,'Raw Orders'!G583)</f>
        <v>89</v>
      </c>
      <c r="D586" s="31" t="n">
        <f aca="false">IF(AND('Raw Orders'!C583="Product",'Raw Orders'!K583="Fulfilled",COUNTIFS('Raw Orders'!$A$2:$A583,'Raw Orders'!A583,'Raw Orders'!$C$2:$C583,"Product",'Raw Orders'!$K$2:$K583,"Fulfilled")=1),1,0)</f>
        <v>1</v>
      </c>
      <c r="E586" s="31" t="n">
        <f aca="false">IF(AND('Raw Orders'!C583="Product",'Raw Orders'!K583="Fulfilled"),'Raw Orders'!E583,0)</f>
        <v>1</v>
      </c>
      <c r="F586" s="32" t="n">
        <f aca="false">IF('Raw Orders'!K583="Refunded",'Raw Orders'!G583,0)</f>
        <v>0</v>
      </c>
    </row>
    <row r="587" customFormat="false" ht="15" hidden="false" customHeight="false" outlineLevel="0" collapsed="false">
      <c r="A587" s="36" t="n">
        <f aca="false">IF('Raw Orders'!B584="","",IF(MID('Raw Orders'!B584,5,1)="-",DATE(VALUE(LEFT('Raw Orders'!B584,4)),VALUE(MID('Raw Orders'!B584,6,2)),VALUE(MID('Raw Orders'!B584,9,2))),DATE(VALUE(MID('Raw Orders'!B584,7,4)),VALUE(MID('Raw Orders'!B584,4,2)),VALUE(LEFT('Raw Orders'!B584,2)))))</f>
        <v>46178</v>
      </c>
      <c r="B587" s="36" t="n">
        <f aca="false">IF(A587="","",A587-WEEKDAY(A587,3))</f>
        <v>46174</v>
      </c>
      <c r="C587" s="32" t="n">
        <f aca="false">IF(OR('Raw Orders'!C584&lt;&gt;"Product",'Raw Orders'!K584="Cancelled"),0,'Raw Orders'!G584)</f>
        <v>0</v>
      </c>
      <c r="D587" s="31" t="n">
        <f aca="false">IF(AND('Raw Orders'!C584="Product",'Raw Orders'!K584="Fulfilled",COUNTIFS('Raw Orders'!$A$2:$A584,'Raw Orders'!A584,'Raw Orders'!$C$2:$C584,"Product",'Raw Orders'!$K$2:$K584,"Fulfilled")=1),1,0)</f>
        <v>0</v>
      </c>
      <c r="E587" s="31" t="n">
        <f aca="false">IF(AND('Raw Orders'!C584="Product",'Raw Orders'!K584="Fulfilled"),'Raw Orders'!E584,0)</f>
        <v>0</v>
      </c>
      <c r="F587" s="32" t="n">
        <f aca="false">IF('Raw Orders'!K584="Refunded",'Raw Orders'!G584,0)</f>
        <v>0</v>
      </c>
    </row>
    <row r="588" customFormat="false" ht="15" hidden="false" customHeight="false" outlineLevel="0" collapsed="false">
      <c r="A588" s="36" t="n">
        <f aca="false">IF('Raw Orders'!B585="","",IF(MID('Raw Orders'!B585,5,1)="-",DATE(VALUE(LEFT('Raw Orders'!B585,4)),VALUE(MID('Raw Orders'!B585,6,2)),VALUE(MID('Raw Orders'!B585,9,2))),DATE(VALUE(MID('Raw Orders'!B585,7,4)),VALUE(MID('Raw Orders'!B585,4,2)),VALUE(LEFT('Raw Orders'!B585,2)))))</f>
        <v>46178</v>
      </c>
      <c r="B588" s="36" t="n">
        <f aca="false">IF(A588="","",A588-WEEKDAY(A588,3))</f>
        <v>46174</v>
      </c>
      <c r="C588" s="32" t="n">
        <f aca="false">IF(OR('Raw Orders'!C585&lt;&gt;"Product",'Raw Orders'!K585="Cancelled"),0,'Raw Orders'!G585)</f>
        <v>0</v>
      </c>
      <c r="D588" s="31" t="n">
        <f aca="false">IF(AND('Raw Orders'!C585="Product",'Raw Orders'!K585="Fulfilled",COUNTIFS('Raw Orders'!$A$2:$A585,'Raw Orders'!A585,'Raw Orders'!$C$2:$C585,"Product",'Raw Orders'!$K$2:$K585,"Fulfilled")=1),1,0)</f>
        <v>0</v>
      </c>
      <c r="E588" s="31" t="n">
        <f aca="false">IF(AND('Raw Orders'!C585="Product",'Raw Orders'!K585="Fulfilled"),'Raw Orders'!E585,0)</f>
        <v>0</v>
      </c>
      <c r="F588" s="32" t="n">
        <f aca="false">IF('Raw Orders'!K585="Refunded",'Raw Orders'!G585,0)</f>
        <v>0</v>
      </c>
    </row>
    <row r="589" customFormat="false" ht="15" hidden="false" customHeight="false" outlineLevel="0" collapsed="false">
      <c r="A589" s="36" t="n">
        <f aca="false">IF('Raw Orders'!B586="","",IF(MID('Raw Orders'!B586,5,1)="-",DATE(VALUE(LEFT('Raw Orders'!B586,4)),VALUE(MID('Raw Orders'!B586,6,2)),VALUE(MID('Raw Orders'!B586,9,2))),DATE(VALUE(MID('Raw Orders'!B586,7,4)),VALUE(MID('Raw Orders'!B586,4,2)),VALUE(LEFT('Raw Orders'!B586,2)))))</f>
        <v>46178</v>
      </c>
      <c r="B589" s="36" t="n">
        <f aca="false">IF(A589="","",A589-WEEKDAY(A589,3))</f>
        <v>46174</v>
      </c>
      <c r="C589" s="32" t="n">
        <f aca="false">IF(OR('Raw Orders'!C586&lt;&gt;"Product",'Raw Orders'!K586="Cancelled"),0,'Raw Orders'!G586)</f>
        <v>22</v>
      </c>
      <c r="D589" s="31" t="n">
        <f aca="false">IF(AND('Raw Orders'!C586="Product",'Raw Orders'!K586="Fulfilled",COUNTIFS('Raw Orders'!$A$2:$A586,'Raw Orders'!A586,'Raw Orders'!$C$2:$C586,"Product",'Raw Orders'!$K$2:$K586,"Fulfilled")=1),1,0)</f>
        <v>1</v>
      </c>
      <c r="E589" s="31" t="n">
        <f aca="false">IF(AND('Raw Orders'!C586="Product",'Raw Orders'!K586="Fulfilled"),'Raw Orders'!E586,0)</f>
        <v>1</v>
      </c>
      <c r="F589" s="32" t="n">
        <f aca="false">IF('Raw Orders'!K586="Refunded",'Raw Orders'!G586,0)</f>
        <v>0</v>
      </c>
    </row>
    <row r="590" customFormat="false" ht="15" hidden="false" customHeight="false" outlineLevel="0" collapsed="false">
      <c r="A590" s="36" t="n">
        <f aca="false">IF('Raw Orders'!B587="","",IF(MID('Raw Orders'!B587,5,1)="-",DATE(VALUE(LEFT('Raw Orders'!B587,4)),VALUE(MID('Raw Orders'!B587,6,2)),VALUE(MID('Raw Orders'!B587,9,2))),DATE(VALUE(MID('Raw Orders'!B587,7,4)),VALUE(MID('Raw Orders'!B587,4,2)),VALUE(LEFT('Raw Orders'!B587,2)))))</f>
        <v>46178</v>
      </c>
      <c r="B590" s="36" t="n">
        <f aca="false">IF(A590="","",A590-WEEKDAY(A590,3))</f>
        <v>46174</v>
      </c>
      <c r="C590" s="32" t="n">
        <f aca="false">IF(OR('Raw Orders'!C587&lt;&gt;"Product",'Raw Orders'!K587="Cancelled"),0,'Raw Orders'!G587)</f>
        <v>150</v>
      </c>
      <c r="D590" s="31" t="n">
        <f aca="false">IF(AND('Raw Orders'!C587="Product",'Raw Orders'!K587="Fulfilled",COUNTIFS('Raw Orders'!$A$2:$A587,'Raw Orders'!A587,'Raw Orders'!$C$2:$C587,"Product",'Raw Orders'!$K$2:$K587,"Fulfilled")=1),1,0)</f>
        <v>1</v>
      </c>
      <c r="E590" s="31" t="n">
        <f aca="false">IF(AND('Raw Orders'!C587="Product",'Raw Orders'!K587="Fulfilled"),'Raw Orders'!E587,0)</f>
        <v>2</v>
      </c>
      <c r="F590" s="32" t="n">
        <f aca="false">IF('Raw Orders'!K587="Refunded",'Raw Orders'!G587,0)</f>
        <v>0</v>
      </c>
    </row>
    <row r="591" customFormat="false" ht="15" hidden="false" customHeight="false" outlineLevel="0" collapsed="false">
      <c r="A591" s="36" t="n">
        <f aca="false">IF('Raw Orders'!B588="","",IF(MID('Raw Orders'!B588,5,1)="-",DATE(VALUE(LEFT('Raw Orders'!B588,4)),VALUE(MID('Raw Orders'!B588,6,2)),VALUE(MID('Raw Orders'!B588,9,2))),DATE(VALUE(MID('Raw Orders'!B588,7,4)),VALUE(MID('Raw Orders'!B588,4,2)),VALUE(LEFT('Raw Orders'!B588,2)))))</f>
        <v>46178</v>
      </c>
      <c r="B591" s="36" t="n">
        <f aca="false">IF(A591="","",A591-WEEKDAY(A591,3))</f>
        <v>46174</v>
      </c>
      <c r="C591" s="32" t="n">
        <f aca="false">IF(OR('Raw Orders'!C588&lt;&gt;"Product",'Raw Orders'!K588="Cancelled"),0,'Raw Orders'!G588)</f>
        <v>0</v>
      </c>
      <c r="D591" s="31" t="n">
        <f aca="false">IF(AND('Raw Orders'!C588="Product",'Raw Orders'!K588="Fulfilled",COUNTIFS('Raw Orders'!$A$2:$A588,'Raw Orders'!A588,'Raw Orders'!$C$2:$C588,"Product",'Raw Orders'!$K$2:$K588,"Fulfilled")=1),1,0)</f>
        <v>0</v>
      </c>
      <c r="E591" s="31" t="n">
        <f aca="false">IF(AND('Raw Orders'!C588="Product",'Raw Orders'!K588="Fulfilled"),'Raw Orders'!E588,0)</f>
        <v>0</v>
      </c>
      <c r="F591" s="32" t="n">
        <f aca="false">IF('Raw Orders'!K588="Refunded",'Raw Orders'!G588,0)</f>
        <v>0</v>
      </c>
    </row>
    <row r="592" customFormat="false" ht="15" hidden="false" customHeight="false" outlineLevel="0" collapsed="false">
      <c r="A592" s="36" t="n">
        <f aca="false">IF('Raw Orders'!B589="","",IF(MID('Raw Orders'!B589,5,1)="-",DATE(VALUE(LEFT('Raw Orders'!B589,4)),VALUE(MID('Raw Orders'!B589,6,2)),VALUE(MID('Raw Orders'!B589,9,2))),DATE(VALUE(MID('Raw Orders'!B589,7,4)),VALUE(MID('Raw Orders'!B589,4,2)),VALUE(LEFT('Raw Orders'!B589,2)))))</f>
        <v>46178</v>
      </c>
      <c r="B592" s="36" t="n">
        <f aca="false">IF(A592="","",A592-WEEKDAY(A592,3))</f>
        <v>46174</v>
      </c>
      <c r="C592" s="32" t="n">
        <f aca="false">IF(OR('Raw Orders'!C589&lt;&gt;"Product",'Raw Orders'!K589="Cancelled"),0,'Raw Orders'!G589)</f>
        <v>35</v>
      </c>
      <c r="D592" s="31" t="n">
        <f aca="false">IF(AND('Raw Orders'!C589="Product",'Raw Orders'!K589="Fulfilled",COUNTIFS('Raw Orders'!$A$2:$A589,'Raw Orders'!A589,'Raw Orders'!$C$2:$C589,"Product",'Raw Orders'!$K$2:$K589,"Fulfilled")=1),1,0)</f>
        <v>1</v>
      </c>
      <c r="E592" s="31" t="n">
        <f aca="false">IF(AND('Raw Orders'!C589="Product",'Raw Orders'!K589="Fulfilled"),'Raw Orders'!E589,0)</f>
        <v>1</v>
      </c>
      <c r="F592" s="32" t="n">
        <f aca="false">IF('Raw Orders'!K589="Refunded",'Raw Orders'!G589,0)</f>
        <v>0</v>
      </c>
    </row>
    <row r="593" customFormat="false" ht="15" hidden="false" customHeight="false" outlineLevel="0" collapsed="false">
      <c r="A593" s="36" t="n">
        <f aca="false">IF('Raw Orders'!B590="","",IF(MID('Raw Orders'!B590,5,1)="-",DATE(VALUE(LEFT('Raw Orders'!B590,4)),VALUE(MID('Raw Orders'!B590,6,2)),VALUE(MID('Raw Orders'!B590,9,2))),DATE(VALUE(MID('Raw Orders'!B590,7,4)),VALUE(MID('Raw Orders'!B590,4,2)),VALUE(LEFT('Raw Orders'!B590,2)))))</f>
        <v>46178</v>
      </c>
      <c r="B593" s="36" t="n">
        <f aca="false">IF(A593="","",A593-WEEKDAY(A593,3))</f>
        <v>46174</v>
      </c>
      <c r="C593" s="32" t="n">
        <f aca="false">IF(OR('Raw Orders'!C590&lt;&gt;"Product",'Raw Orders'!K590="Cancelled"),0,'Raw Orders'!G590)</f>
        <v>0</v>
      </c>
      <c r="D593" s="31" t="n">
        <f aca="false">IF(AND('Raw Orders'!C590="Product",'Raw Orders'!K590="Fulfilled",COUNTIFS('Raw Orders'!$A$2:$A590,'Raw Orders'!A590,'Raw Orders'!$C$2:$C590,"Product",'Raw Orders'!$K$2:$K590,"Fulfilled")=1),1,0)</f>
        <v>0</v>
      </c>
      <c r="E593" s="31" t="n">
        <f aca="false">IF(AND('Raw Orders'!C590="Product",'Raw Orders'!K590="Fulfilled"),'Raw Orders'!E590,0)</f>
        <v>0</v>
      </c>
      <c r="F593" s="32" t="n">
        <f aca="false">IF('Raw Orders'!K590="Refunded",'Raw Orders'!G590,0)</f>
        <v>0</v>
      </c>
    </row>
    <row r="594" customFormat="false" ht="15" hidden="false" customHeight="false" outlineLevel="0" collapsed="false">
      <c r="A594" s="36" t="n">
        <f aca="false">IF('Raw Orders'!B591="","",IF(MID('Raw Orders'!B591,5,1)="-",DATE(VALUE(LEFT('Raw Orders'!B591,4)),VALUE(MID('Raw Orders'!B591,6,2)),VALUE(MID('Raw Orders'!B591,9,2))),DATE(VALUE(MID('Raw Orders'!B591,7,4)),VALUE(MID('Raw Orders'!B591,4,2)),VALUE(LEFT('Raw Orders'!B591,2)))))</f>
        <v>46178</v>
      </c>
      <c r="B594" s="36" t="n">
        <f aca="false">IF(A594="","",A594-WEEKDAY(A594,3))</f>
        <v>46174</v>
      </c>
      <c r="C594" s="32" t="n">
        <f aca="false">IF(OR('Raw Orders'!C591&lt;&gt;"Product",'Raw Orders'!K591="Cancelled"),0,'Raw Orders'!G591)</f>
        <v>29</v>
      </c>
      <c r="D594" s="31" t="n">
        <f aca="false">IF(AND('Raw Orders'!C591="Product",'Raw Orders'!K591="Fulfilled",COUNTIFS('Raw Orders'!$A$2:$A591,'Raw Orders'!A591,'Raw Orders'!$C$2:$C591,"Product",'Raw Orders'!$K$2:$K591,"Fulfilled")=1),1,0)</f>
        <v>0</v>
      </c>
      <c r="E594" s="31" t="n">
        <f aca="false">IF(AND('Raw Orders'!C591="Product",'Raw Orders'!K591="Fulfilled"),'Raw Orders'!E591,0)</f>
        <v>1</v>
      </c>
      <c r="F594" s="32" t="n">
        <f aca="false">IF('Raw Orders'!K591="Refunded",'Raw Orders'!G591,0)</f>
        <v>0</v>
      </c>
    </row>
    <row r="595" customFormat="false" ht="15" hidden="false" customHeight="false" outlineLevel="0" collapsed="false">
      <c r="A595" s="36" t="n">
        <f aca="false">IF('Raw Orders'!B592="","",IF(MID('Raw Orders'!B592,5,1)="-",DATE(VALUE(LEFT('Raw Orders'!B592,4)),VALUE(MID('Raw Orders'!B592,6,2)),VALUE(MID('Raw Orders'!B592,9,2))),DATE(VALUE(MID('Raw Orders'!B592,7,4)),VALUE(MID('Raw Orders'!B592,4,2)),VALUE(LEFT('Raw Orders'!B592,2)))))</f>
        <v>46178</v>
      </c>
      <c r="B595" s="36" t="n">
        <f aca="false">IF(A595="","",A595-WEEKDAY(A595,3))</f>
        <v>46174</v>
      </c>
      <c r="C595" s="32" t="n">
        <f aca="false">IF(OR('Raw Orders'!C592&lt;&gt;"Product",'Raw Orders'!K592="Cancelled"),0,'Raw Orders'!G592)</f>
        <v>39</v>
      </c>
      <c r="D595" s="31" t="n">
        <f aca="false">IF(AND('Raw Orders'!C592="Product",'Raw Orders'!K592="Fulfilled",COUNTIFS('Raw Orders'!$A$2:$A592,'Raw Orders'!A592,'Raw Orders'!$C$2:$C592,"Product",'Raw Orders'!$K$2:$K592,"Fulfilled")=1),1,0)</f>
        <v>1</v>
      </c>
      <c r="E595" s="31" t="n">
        <f aca="false">IF(AND('Raw Orders'!C592="Product",'Raw Orders'!K592="Fulfilled"),'Raw Orders'!E592,0)</f>
        <v>1</v>
      </c>
      <c r="F595" s="32" t="n">
        <f aca="false">IF('Raw Orders'!K592="Refunded",'Raw Orders'!G592,0)</f>
        <v>0</v>
      </c>
    </row>
    <row r="596" customFormat="false" ht="15" hidden="false" customHeight="false" outlineLevel="0" collapsed="false">
      <c r="A596" s="36" t="n">
        <f aca="false">IF('Raw Orders'!B593="","",IF(MID('Raw Orders'!B593,5,1)="-",DATE(VALUE(LEFT('Raw Orders'!B593,4)),VALUE(MID('Raw Orders'!B593,6,2)),VALUE(MID('Raw Orders'!B593,9,2))),DATE(VALUE(MID('Raw Orders'!B593,7,4)),VALUE(MID('Raw Orders'!B593,4,2)),VALUE(LEFT('Raw Orders'!B593,2)))))</f>
        <v>46178</v>
      </c>
      <c r="B596" s="36" t="n">
        <f aca="false">IF(A596="","",A596-WEEKDAY(A596,3))</f>
        <v>46174</v>
      </c>
      <c r="C596" s="32" t="n">
        <f aca="false">IF(OR('Raw Orders'!C593&lt;&gt;"Product",'Raw Orders'!K593="Cancelled"),0,'Raw Orders'!G593)</f>
        <v>0</v>
      </c>
      <c r="D596" s="31" t="n">
        <f aca="false">IF(AND('Raw Orders'!C593="Product",'Raw Orders'!K593="Fulfilled",COUNTIFS('Raw Orders'!$A$2:$A593,'Raw Orders'!A593,'Raw Orders'!$C$2:$C593,"Product",'Raw Orders'!$K$2:$K593,"Fulfilled")=1),1,0)</f>
        <v>0</v>
      </c>
      <c r="E596" s="31" t="n">
        <f aca="false">IF(AND('Raw Orders'!C593="Product",'Raw Orders'!K593="Fulfilled"),'Raw Orders'!E593,0)</f>
        <v>0</v>
      </c>
      <c r="F596" s="32" t="n">
        <f aca="false">IF('Raw Orders'!K593="Refunded",'Raw Orders'!G593,0)</f>
        <v>0</v>
      </c>
    </row>
    <row r="597" customFormat="false" ht="15" hidden="false" customHeight="false" outlineLevel="0" collapsed="false">
      <c r="A597" s="36" t="n">
        <f aca="false">IF('Raw Orders'!B594="","",IF(MID('Raw Orders'!B594,5,1)="-",DATE(VALUE(LEFT('Raw Orders'!B594,4)),VALUE(MID('Raw Orders'!B594,6,2)),VALUE(MID('Raw Orders'!B594,9,2))),DATE(VALUE(MID('Raw Orders'!B594,7,4)),VALUE(MID('Raw Orders'!B594,4,2)),VALUE(LEFT('Raw Orders'!B594,2)))))</f>
        <v>46178</v>
      </c>
      <c r="B597" s="36" t="n">
        <f aca="false">IF(A597="","",A597-WEEKDAY(A597,3))</f>
        <v>46174</v>
      </c>
      <c r="C597" s="32" t="n">
        <f aca="false">IF(OR('Raw Orders'!C594&lt;&gt;"Product",'Raw Orders'!K594="Cancelled"),0,'Raw Orders'!G594)</f>
        <v>0</v>
      </c>
      <c r="D597" s="31" t="n">
        <f aca="false">IF(AND('Raw Orders'!C594="Product",'Raw Orders'!K594="Fulfilled",COUNTIFS('Raw Orders'!$A$2:$A594,'Raw Orders'!A594,'Raw Orders'!$C$2:$C594,"Product",'Raw Orders'!$K$2:$K594,"Fulfilled")=1),1,0)</f>
        <v>0</v>
      </c>
      <c r="E597" s="31" t="n">
        <f aca="false">IF(AND('Raw Orders'!C594="Product",'Raw Orders'!K594="Fulfilled"),'Raw Orders'!E594,0)</f>
        <v>0</v>
      </c>
      <c r="F597" s="32" t="n">
        <f aca="false">IF('Raw Orders'!K594="Refunded",'Raw Orders'!G594,0)</f>
        <v>0</v>
      </c>
    </row>
    <row r="598" customFormat="false" ht="15" hidden="false" customHeight="false" outlineLevel="0" collapsed="false">
      <c r="A598" s="36" t="n">
        <f aca="false">IF('Raw Orders'!B595="","",IF(MID('Raw Orders'!B595,5,1)="-",DATE(VALUE(LEFT('Raw Orders'!B595,4)),VALUE(MID('Raw Orders'!B595,6,2)),VALUE(MID('Raw Orders'!B595,9,2))),DATE(VALUE(MID('Raw Orders'!B595,7,4)),VALUE(MID('Raw Orders'!B595,4,2)),VALUE(LEFT('Raw Orders'!B595,2)))))</f>
        <v>46178</v>
      </c>
      <c r="B598" s="36" t="n">
        <f aca="false">IF(A598="","",A598-WEEKDAY(A598,3))</f>
        <v>46174</v>
      </c>
      <c r="C598" s="32" t="n">
        <f aca="false">IF(OR('Raw Orders'!C595&lt;&gt;"Product",'Raw Orders'!K595="Cancelled"),0,'Raw Orders'!G595)</f>
        <v>35</v>
      </c>
      <c r="D598" s="31" t="n">
        <f aca="false">IF(AND('Raw Orders'!C595="Product",'Raw Orders'!K595="Fulfilled",COUNTIFS('Raw Orders'!$A$2:$A595,'Raw Orders'!A595,'Raw Orders'!$C$2:$C595,"Product",'Raw Orders'!$K$2:$K595,"Fulfilled")=1),1,0)</f>
        <v>1</v>
      </c>
      <c r="E598" s="31" t="n">
        <f aca="false">IF(AND('Raw Orders'!C595="Product",'Raw Orders'!K595="Fulfilled"),'Raw Orders'!E595,0)</f>
        <v>1</v>
      </c>
      <c r="F598" s="32" t="n">
        <f aca="false">IF('Raw Orders'!K595="Refunded",'Raw Orders'!G595,0)</f>
        <v>0</v>
      </c>
    </row>
    <row r="599" customFormat="false" ht="15" hidden="false" customHeight="false" outlineLevel="0" collapsed="false">
      <c r="A599" s="36" t="n">
        <f aca="false">IF('Raw Orders'!B596="","",IF(MID('Raw Orders'!B596,5,1)="-",DATE(VALUE(LEFT('Raw Orders'!B596,4)),VALUE(MID('Raw Orders'!B596,6,2)),VALUE(MID('Raw Orders'!B596,9,2))),DATE(VALUE(MID('Raw Orders'!B596,7,4)),VALUE(MID('Raw Orders'!B596,4,2)),VALUE(LEFT('Raw Orders'!B596,2)))))</f>
        <v>46178</v>
      </c>
      <c r="B599" s="36" t="n">
        <f aca="false">IF(A599="","",A599-WEEKDAY(A599,3))</f>
        <v>46174</v>
      </c>
      <c r="C599" s="32" t="n">
        <f aca="false">IF(OR('Raw Orders'!C596&lt;&gt;"Product",'Raw Orders'!K596="Cancelled"),0,'Raw Orders'!G596)</f>
        <v>0</v>
      </c>
      <c r="D599" s="31" t="n">
        <f aca="false">IF(AND('Raw Orders'!C596="Product",'Raw Orders'!K596="Fulfilled",COUNTIFS('Raw Orders'!$A$2:$A596,'Raw Orders'!A596,'Raw Orders'!$C$2:$C596,"Product",'Raw Orders'!$K$2:$K596,"Fulfilled")=1),1,0)</f>
        <v>0</v>
      </c>
      <c r="E599" s="31" t="n">
        <f aca="false">IF(AND('Raw Orders'!C596="Product",'Raw Orders'!K596="Fulfilled"),'Raw Orders'!E596,0)</f>
        <v>0</v>
      </c>
      <c r="F599" s="32" t="n">
        <f aca="false">IF('Raw Orders'!K596="Refunded",'Raw Orders'!G596,0)</f>
        <v>0</v>
      </c>
    </row>
    <row r="600" customFormat="false" ht="15" hidden="false" customHeight="false" outlineLevel="0" collapsed="false">
      <c r="A600" s="36" t="n">
        <f aca="false">IF('Raw Orders'!B597="","",IF(MID('Raw Orders'!B597,5,1)="-",DATE(VALUE(LEFT('Raw Orders'!B597,4)),VALUE(MID('Raw Orders'!B597,6,2)),VALUE(MID('Raw Orders'!B597,9,2))),DATE(VALUE(MID('Raw Orders'!B597,7,4)),VALUE(MID('Raw Orders'!B597,4,2)),VALUE(LEFT('Raw Orders'!B597,2)))))</f>
        <v>46178</v>
      </c>
      <c r="B600" s="36" t="n">
        <f aca="false">IF(A600="","",A600-WEEKDAY(A600,3))</f>
        <v>46174</v>
      </c>
      <c r="C600" s="32" t="n">
        <f aca="false">IF(OR('Raw Orders'!C597&lt;&gt;"Product",'Raw Orders'!K597="Cancelled"),0,'Raw Orders'!G597)</f>
        <v>28.8</v>
      </c>
      <c r="D600" s="31" t="n">
        <f aca="false">IF(AND('Raw Orders'!C597="Product",'Raw Orders'!K597="Fulfilled",COUNTIFS('Raw Orders'!$A$2:$A597,'Raw Orders'!A597,'Raw Orders'!$C$2:$C597,"Product",'Raw Orders'!$K$2:$K597,"Fulfilled")=1),1,0)</f>
        <v>1</v>
      </c>
      <c r="E600" s="31" t="n">
        <f aca="false">IF(AND('Raw Orders'!C597="Product",'Raw Orders'!K597="Fulfilled"),'Raw Orders'!E597,0)</f>
        <v>1</v>
      </c>
      <c r="F600" s="32" t="n">
        <f aca="false">IF('Raw Orders'!K597="Refunded",'Raw Orders'!G597,0)</f>
        <v>0</v>
      </c>
    </row>
    <row r="601" customFormat="false" ht="15" hidden="false" customHeight="false" outlineLevel="0" collapsed="false">
      <c r="A601" s="36" t="n">
        <f aca="false">IF('Raw Orders'!B598="","",IF(MID('Raw Orders'!B598,5,1)="-",DATE(VALUE(LEFT('Raw Orders'!B598,4)),VALUE(MID('Raw Orders'!B598,6,2)),VALUE(MID('Raw Orders'!B598,9,2))),DATE(VALUE(MID('Raw Orders'!B598,7,4)),VALUE(MID('Raw Orders'!B598,4,2)),VALUE(LEFT('Raw Orders'!B598,2)))))</f>
        <v>46178</v>
      </c>
      <c r="B601" s="36" t="n">
        <f aca="false">IF(A601="","",A601-WEEKDAY(A601,3))</f>
        <v>46174</v>
      </c>
      <c r="C601" s="32" t="n">
        <f aca="false">IF(OR('Raw Orders'!C598&lt;&gt;"Product",'Raw Orders'!K598="Cancelled"),0,'Raw Orders'!G598)</f>
        <v>89</v>
      </c>
      <c r="D601" s="31" t="n">
        <f aca="false">IF(AND('Raw Orders'!C598="Product",'Raw Orders'!K598="Fulfilled",COUNTIFS('Raw Orders'!$A$2:$A598,'Raw Orders'!A598,'Raw Orders'!$C$2:$C598,"Product",'Raw Orders'!$K$2:$K598,"Fulfilled")=1),1,0)</f>
        <v>1</v>
      </c>
      <c r="E601" s="31" t="n">
        <f aca="false">IF(AND('Raw Orders'!C598="Product",'Raw Orders'!K598="Fulfilled"),'Raw Orders'!E598,0)</f>
        <v>1</v>
      </c>
      <c r="F601" s="32" t="n">
        <f aca="false">IF('Raw Orders'!K598="Refunded",'Raw Orders'!G598,0)</f>
        <v>0</v>
      </c>
    </row>
    <row r="602" customFormat="false" ht="15" hidden="false" customHeight="false" outlineLevel="0" collapsed="false">
      <c r="A602" s="36" t="n">
        <f aca="false">IF('Raw Orders'!B599="","",IF(MID('Raw Orders'!B599,5,1)="-",DATE(VALUE(LEFT('Raw Orders'!B599,4)),VALUE(MID('Raw Orders'!B599,6,2)),VALUE(MID('Raw Orders'!B599,9,2))),DATE(VALUE(MID('Raw Orders'!B599,7,4)),VALUE(MID('Raw Orders'!B599,4,2)),VALUE(LEFT('Raw Orders'!B599,2)))))</f>
        <v>46178</v>
      </c>
      <c r="B602" s="36" t="n">
        <f aca="false">IF(A602="","",A602-WEEKDAY(A602,3))</f>
        <v>46174</v>
      </c>
      <c r="C602" s="32" t="n">
        <f aca="false">IF(OR('Raw Orders'!C599&lt;&gt;"Product",'Raw Orders'!K599="Cancelled"),0,'Raw Orders'!G599)</f>
        <v>0</v>
      </c>
      <c r="D602" s="31" t="n">
        <f aca="false">IF(AND('Raw Orders'!C599="Product",'Raw Orders'!K599="Fulfilled",COUNTIFS('Raw Orders'!$A$2:$A599,'Raw Orders'!A599,'Raw Orders'!$C$2:$C599,"Product",'Raw Orders'!$K$2:$K599,"Fulfilled")=1),1,0)</f>
        <v>0</v>
      </c>
      <c r="E602" s="31" t="n">
        <f aca="false">IF(AND('Raw Orders'!C599="Product",'Raw Orders'!K599="Fulfilled"),'Raw Orders'!E599,0)</f>
        <v>0</v>
      </c>
      <c r="F602" s="32" t="n">
        <f aca="false">IF('Raw Orders'!K599="Refunded",'Raw Orders'!G599,0)</f>
        <v>0</v>
      </c>
    </row>
    <row r="603" customFormat="false" ht="15" hidden="false" customHeight="false" outlineLevel="0" collapsed="false">
      <c r="A603" s="36" t="n">
        <f aca="false">IF('Raw Orders'!B600="","",IF(MID('Raw Orders'!B600,5,1)="-",DATE(VALUE(LEFT('Raw Orders'!B600,4)),VALUE(MID('Raw Orders'!B600,6,2)),VALUE(MID('Raw Orders'!B600,9,2))),DATE(VALUE(MID('Raw Orders'!B600,7,4)),VALUE(MID('Raw Orders'!B600,4,2)),VALUE(LEFT('Raw Orders'!B600,2)))))</f>
        <v>46178</v>
      </c>
      <c r="B603" s="36" t="n">
        <f aca="false">IF(A603="","",A603-WEEKDAY(A603,3))</f>
        <v>46174</v>
      </c>
      <c r="C603" s="32" t="n">
        <f aca="false">IF(OR('Raw Orders'!C600&lt;&gt;"Product",'Raw Orders'!K600="Cancelled"),0,'Raw Orders'!G600)</f>
        <v>0</v>
      </c>
      <c r="D603" s="31" t="n">
        <f aca="false">IF(AND('Raw Orders'!C600="Product",'Raw Orders'!K600="Fulfilled",COUNTIFS('Raw Orders'!$A$2:$A600,'Raw Orders'!A600,'Raw Orders'!$C$2:$C600,"Product",'Raw Orders'!$K$2:$K600,"Fulfilled")=1),1,0)</f>
        <v>0</v>
      </c>
      <c r="E603" s="31" t="n">
        <f aca="false">IF(AND('Raw Orders'!C600="Product",'Raw Orders'!K600="Fulfilled"),'Raw Orders'!E600,0)</f>
        <v>0</v>
      </c>
      <c r="F603" s="32" t="n">
        <f aca="false">IF('Raw Orders'!K600="Refunded",'Raw Orders'!G600,0)</f>
        <v>0</v>
      </c>
    </row>
    <row r="604" customFormat="false" ht="15" hidden="false" customHeight="false" outlineLevel="0" collapsed="false">
      <c r="A604" s="36" t="n">
        <f aca="false">IF('Raw Orders'!B601="","",IF(MID('Raw Orders'!B601,5,1)="-",DATE(VALUE(LEFT('Raw Orders'!B601,4)),VALUE(MID('Raw Orders'!B601,6,2)),VALUE(MID('Raw Orders'!B601,9,2))),DATE(VALUE(MID('Raw Orders'!B601,7,4)),VALUE(MID('Raw Orders'!B601,4,2)),VALUE(LEFT('Raw Orders'!B601,2)))))</f>
        <v>46178</v>
      </c>
      <c r="B604" s="36" t="n">
        <f aca="false">IF(A604="","",A604-WEEKDAY(A604,3))</f>
        <v>46174</v>
      </c>
      <c r="C604" s="32" t="n">
        <f aca="false">IF(OR('Raw Orders'!C601&lt;&gt;"Product",'Raw Orders'!K601="Cancelled"),0,'Raw Orders'!G601)</f>
        <v>-45</v>
      </c>
      <c r="D604" s="31" t="n">
        <f aca="false">IF(AND('Raw Orders'!C601="Product",'Raw Orders'!K601="Fulfilled",COUNTIFS('Raw Orders'!$A$2:$A601,'Raw Orders'!A601,'Raw Orders'!$C$2:$C601,"Product",'Raw Orders'!$K$2:$K601,"Fulfilled")=1),1,0)</f>
        <v>0</v>
      </c>
      <c r="E604" s="31" t="n">
        <f aca="false">IF(AND('Raw Orders'!C601="Product",'Raw Orders'!K601="Fulfilled"),'Raw Orders'!E601,0)</f>
        <v>0</v>
      </c>
      <c r="F604" s="32" t="n">
        <f aca="false">IF('Raw Orders'!K601="Refunded",'Raw Orders'!G601,0)</f>
        <v>-45</v>
      </c>
    </row>
    <row r="605" customFormat="false" ht="15" hidden="false" customHeight="false" outlineLevel="0" collapsed="false">
      <c r="A605" s="36" t="n">
        <f aca="false">IF('Raw Orders'!B602="","",IF(MID('Raw Orders'!B602,5,1)="-",DATE(VALUE(LEFT('Raw Orders'!B602,4)),VALUE(MID('Raw Orders'!B602,6,2)),VALUE(MID('Raw Orders'!B602,9,2))),DATE(VALUE(MID('Raw Orders'!B602,7,4)),VALUE(MID('Raw Orders'!B602,4,2)),VALUE(LEFT('Raw Orders'!B602,2)))))</f>
        <v>46179</v>
      </c>
      <c r="B605" s="36" t="n">
        <f aca="false">IF(A605="","",A605-WEEKDAY(A605,3))</f>
        <v>46174</v>
      </c>
      <c r="C605" s="32" t="n">
        <f aca="false">IF(OR('Raw Orders'!C602&lt;&gt;"Product",'Raw Orders'!K602="Cancelled"),0,'Raw Orders'!G602)</f>
        <v>69</v>
      </c>
      <c r="D605" s="31" t="n">
        <f aca="false">IF(AND('Raw Orders'!C602="Product",'Raw Orders'!K602="Fulfilled",COUNTIFS('Raw Orders'!$A$2:$A602,'Raw Orders'!A602,'Raw Orders'!$C$2:$C602,"Product",'Raw Orders'!$K$2:$K602,"Fulfilled")=1),1,0)</f>
        <v>1</v>
      </c>
      <c r="E605" s="31" t="n">
        <f aca="false">IF(AND('Raw Orders'!C602="Product",'Raw Orders'!K602="Fulfilled"),'Raw Orders'!E602,0)</f>
        <v>1</v>
      </c>
      <c r="F605" s="32" t="n">
        <f aca="false">IF('Raw Orders'!K602="Refunded",'Raw Orders'!G602,0)</f>
        <v>0</v>
      </c>
    </row>
    <row r="606" customFormat="false" ht="15" hidden="false" customHeight="false" outlineLevel="0" collapsed="false">
      <c r="A606" s="36" t="n">
        <f aca="false">IF('Raw Orders'!B603="","",IF(MID('Raw Orders'!B603,5,1)="-",DATE(VALUE(LEFT('Raw Orders'!B603,4)),VALUE(MID('Raw Orders'!B603,6,2)),VALUE(MID('Raw Orders'!B603,9,2))),DATE(VALUE(MID('Raw Orders'!B603,7,4)),VALUE(MID('Raw Orders'!B603,4,2)),VALUE(LEFT('Raw Orders'!B603,2)))))</f>
        <v>46179</v>
      </c>
      <c r="B606" s="36" t="n">
        <f aca="false">IF(A606="","",A606-WEEKDAY(A606,3))</f>
        <v>46174</v>
      </c>
      <c r="C606" s="32" t="n">
        <f aca="false">IF(OR('Raw Orders'!C603&lt;&gt;"Product",'Raw Orders'!K603="Cancelled"),0,'Raw Orders'!G603)</f>
        <v>0</v>
      </c>
      <c r="D606" s="31" t="n">
        <f aca="false">IF(AND('Raw Orders'!C603="Product",'Raw Orders'!K603="Fulfilled",COUNTIFS('Raw Orders'!$A$2:$A603,'Raw Orders'!A603,'Raw Orders'!$C$2:$C603,"Product",'Raw Orders'!$K$2:$K603,"Fulfilled")=1),1,0)</f>
        <v>0</v>
      </c>
      <c r="E606" s="31" t="n">
        <f aca="false">IF(AND('Raw Orders'!C603="Product",'Raw Orders'!K603="Fulfilled"),'Raw Orders'!E603,0)</f>
        <v>0</v>
      </c>
      <c r="F606" s="32" t="n">
        <f aca="false">IF('Raw Orders'!K603="Refunded",'Raw Orders'!G603,0)</f>
        <v>0</v>
      </c>
    </row>
    <row r="607" customFormat="false" ht="15" hidden="false" customHeight="false" outlineLevel="0" collapsed="false">
      <c r="A607" s="36" t="n">
        <f aca="false">IF('Raw Orders'!B604="","",IF(MID('Raw Orders'!B604,5,1)="-",DATE(VALUE(LEFT('Raw Orders'!B604,4)),VALUE(MID('Raw Orders'!B604,6,2)),VALUE(MID('Raw Orders'!B604,9,2))),DATE(VALUE(MID('Raw Orders'!B604,7,4)),VALUE(MID('Raw Orders'!B604,4,2)),VALUE(LEFT('Raw Orders'!B604,2)))))</f>
        <v>46179</v>
      </c>
      <c r="B607" s="36" t="n">
        <f aca="false">IF(A607="","",A607-WEEKDAY(A607,3))</f>
        <v>46174</v>
      </c>
      <c r="C607" s="32" t="n">
        <f aca="false">IF(OR('Raw Orders'!C604&lt;&gt;"Product",'Raw Orders'!K604="Cancelled"),0,'Raw Orders'!G604)</f>
        <v>89</v>
      </c>
      <c r="D607" s="31" t="n">
        <f aca="false">IF(AND('Raw Orders'!C604="Product",'Raw Orders'!K604="Fulfilled",COUNTIFS('Raw Orders'!$A$2:$A604,'Raw Orders'!A604,'Raw Orders'!$C$2:$C604,"Product",'Raw Orders'!$K$2:$K604,"Fulfilled")=1),1,0)</f>
        <v>1</v>
      </c>
      <c r="E607" s="31" t="n">
        <f aca="false">IF(AND('Raw Orders'!C604="Product",'Raw Orders'!K604="Fulfilled"),'Raw Orders'!E604,0)</f>
        <v>1</v>
      </c>
      <c r="F607" s="32" t="n">
        <f aca="false">IF('Raw Orders'!K604="Refunded",'Raw Orders'!G604,0)</f>
        <v>0</v>
      </c>
    </row>
    <row r="608" customFormat="false" ht="15" hidden="false" customHeight="false" outlineLevel="0" collapsed="false">
      <c r="A608" s="36" t="n">
        <f aca="false">IF('Raw Orders'!B605="","",IF(MID('Raw Orders'!B605,5,1)="-",DATE(VALUE(LEFT('Raw Orders'!B605,4)),VALUE(MID('Raw Orders'!B605,6,2)),VALUE(MID('Raw Orders'!B605,9,2))),DATE(VALUE(MID('Raw Orders'!B605,7,4)),VALUE(MID('Raw Orders'!B605,4,2)),VALUE(LEFT('Raw Orders'!B605,2)))))</f>
        <v>46179</v>
      </c>
      <c r="B608" s="36" t="n">
        <f aca="false">IF(A608="","",A608-WEEKDAY(A608,3))</f>
        <v>46174</v>
      </c>
      <c r="C608" s="32" t="n">
        <f aca="false">IF(OR('Raw Orders'!C605&lt;&gt;"Product",'Raw Orders'!K605="Cancelled"),0,'Raw Orders'!G605)</f>
        <v>0</v>
      </c>
      <c r="D608" s="31" t="n">
        <f aca="false">IF(AND('Raw Orders'!C605="Product",'Raw Orders'!K605="Fulfilled",COUNTIFS('Raw Orders'!$A$2:$A605,'Raw Orders'!A605,'Raw Orders'!$C$2:$C605,"Product",'Raw Orders'!$K$2:$K605,"Fulfilled")=1),1,0)</f>
        <v>0</v>
      </c>
      <c r="E608" s="31" t="n">
        <f aca="false">IF(AND('Raw Orders'!C605="Product",'Raw Orders'!K605="Fulfilled"),'Raw Orders'!E605,0)</f>
        <v>0</v>
      </c>
      <c r="F608" s="32" t="n">
        <f aca="false">IF('Raw Orders'!K605="Refunded",'Raw Orders'!G605,0)</f>
        <v>0</v>
      </c>
    </row>
    <row r="609" customFormat="false" ht="15" hidden="false" customHeight="false" outlineLevel="0" collapsed="false">
      <c r="A609" s="36" t="n">
        <f aca="false">IF('Raw Orders'!B606="","",IF(MID('Raw Orders'!B606,5,1)="-",DATE(VALUE(LEFT('Raw Orders'!B606,4)),VALUE(MID('Raw Orders'!B606,6,2)),VALUE(MID('Raw Orders'!B606,9,2))),DATE(VALUE(MID('Raw Orders'!B606,7,4)),VALUE(MID('Raw Orders'!B606,4,2)),VALUE(LEFT('Raw Orders'!B606,2)))))</f>
        <v>46179</v>
      </c>
      <c r="B609" s="36" t="n">
        <f aca="false">IF(A609="","",A609-WEEKDAY(A609,3))</f>
        <v>46174</v>
      </c>
      <c r="C609" s="32" t="n">
        <f aca="false">IF(OR('Raw Orders'!C606&lt;&gt;"Product",'Raw Orders'!K606="Cancelled"),0,'Raw Orders'!G606)</f>
        <v>58</v>
      </c>
      <c r="D609" s="31" t="n">
        <f aca="false">IF(AND('Raw Orders'!C606="Product",'Raw Orders'!K606="Fulfilled",COUNTIFS('Raw Orders'!$A$2:$A606,'Raw Orders'!A606,'Raw Orders'!$C$2:$C606,"Product",'Raw Orders'!$K$2:$K606,"Fulfilled")=1),1,0)</f>
        <v>0</v>
      </c>
      <c r="E609" s="31" t="n">
        <f aca="false">IF(AND('Raw Orders'!C606="Product",'Raw Orders'!K606="Fulfilled"),'Raw Orders'!E606,0)</f>
        <v>2</v>
      </c>
      <c r="F609" s="32" t="n">
        <f aca="false">IF('Raw Orders'!K606="Refunded",'Raw Orders'!G606,0)</f>
        <v>0</v>
      </c>
    </row>
    <row r="610" customFormat="false" ht="15" hidden="false" customHeight="false" outlineLevel="0" collapsed="false">
      <c r="A610" s="36" t="n">
        <f aca="false">IF('Raw Orders'!B607="","",IF(MID('Raw Orders'!B607,5,1)="-",DATE(VALUE(LEFT('Raw Orders'!B607,4)),VALUE(MID('Raw Orders'!B607,6,2)),VALUE(MID('Raw Orders'!B607,9,2))),DATE(VALUE(MID('Raw Orders'!B607,7,4)),VALUE(MID('Raw Orders'!B607,4,2)),VALUE(LEFT('Raw Orders'!B607,2)))))</f>
        <v>46179</v>
      </c>
      <c r="B610" s="36" t="n">
        <f aca="false">IF(A610="","",A610-WEEKDAY(A610,3))</f>
        <v>46174</v>
      </c>
      <c r="C610" s="32" t="n">
        <f aca="false">IF(OR('Raw Orders'!C607&lt;&gt;"Product",'Raw Orders'!K607="Cancelled"),0,'Raw Orders'!G607)</f>
        <v>29</v>
      </c>
      <c r="D610" s="31" t="n">
        <f aca="false">IF(AND('Raw Orders'!C607="Product",'Raw Orders'!K607="Fulfilled",COUNTIFS('Raw Orders'!$A$2:$A607,'Raw Orders'!A607,'Raw Orders'!$C$2:$C607,"Product",'Raw Orders'!$K$2:$K607,"Fulfilled")=1),1,0)</f>
        <v>1</v>
      </c>
      <c r="E610" s="31" t="n">
        <f aca="false">IF(AND('Raw Orders'!C607="Product",'Raw Orders'!K607="Fulfilled"),'Raw Orders'!E607,0)</f>
        <v>1</v>
      </c>
      <c r="F610" s="32" t="n">
        <f aca="false">IF('Raw Orders'!K607="Refunded",'Raw Orders'!G607,0)</f>
        <v>0</v>
      </c>
    </row>
    <row r="611" customFormat="false" ht="15" hidden="false" customHeight="false" outlineLevel="0" collapsed="false">
      <c r="A611" s="36" t="n">
        <f aca="false">IF('Raw Orders'!B608="","",IF(MID('Raw Orders'!B608,5,1)="-",DATE(VALUE(LEFT('Raw Orders'!B608,4)),VALUE(MID('Raw Orders'!B608,6,2)),VALUE(MID('Raw Orders'!B608,9,2))),DATE(VALUE(MID('Raw Orders'!B608,7,4)),VALUE(MID('Raw Orders'!B608,4,2)),VALUE(LEFT('Raw Orders'!B608,2)))))</f>
        <v>46179</v>
      </c>
      <c r="B611" s="36" t="n">
        <f aca="false">IF(A611="","",A611-WEEKDAY(A611,3))</f>
        <v>46174</v>
      </c>
      <c r="C611" s="32" t="n">
        <f aca="false">IF(OR('Raw Orders'!C608&lt;&gt;"Product",'Raw Orders'!K608="Cancelled"),0,'Raw Orders'!G608)</f>
        <v>22</v>
      </c>
      <c r="D611" s="31" t="n">
        <f aca="false">IF(AND('Raw Orders'!C608="Product",'Raw Orders'!K608="Fulfilled",COUNTIFS('Raw Orders'!$A$2:$A608,'Raw Orders'!A608,'Raw Orders'!$C$2:$C608,"Product",'Raw Orders'!$K$2:$K608,"Fulfilled")=1),1,0)</f>
        <v>0</v>
      </c>
      <c r="E611" s="31" t="n">
        <f aca="false">IF(AND('Raw Orders'!C608="Product",'Raw Orders'!K608="Fulfilled"),'Raw Orders'!E608,0)</f>
        <v>1</v>
      </c>
      <c r="F611" s="32" t="n">
        <f aca="false">IF('Raw Orders'!K608="Refunded",'Raw Orders'!G608,0)</f>
        <v>0</v>
      </c>
    </row>
    <row r="612" customFormat="false" ht="15" hidden="false" customHeight="false" outlineLevel="0" collapsed="false">
      <c r="A612" s="36" t="n">
        <f aca="false">IF('Raw Orders'!B609="","",IF(MID('Raw Orders'!B609,5,1)="-",DATE(VALUE(LEFT('Raw Orders'!B609,4)),VALUE(MID('Raw Orders'!B609,6,2)),VALUE(MID('Raw Orders'!B609,9,2))),DATE(VALUE(MID('Raw Orders'!B609,7,4)),VALUE(MID('Raw Orders'!B609,4,2)),VALUE(LEFT('Raw Orders'!B609,2)))))</f>
        <v>46179</v>
      </c>
      <c r="B612" s="36" t="n">
        <f aca="false">IF(A612="","",A612-WEEKDAY(A612,3))</f>
        <v>46174</v>
      </c>
      <c r="C612" s="32" t="n">
        <f aca="false">IF(OR('Raw Orders'!C609&lt;&gt;"Product",'Raw Orders'!K609="Cancelled"),0,'Raw Orders'!G609)</f>
        <v>28</v>
      </c>
      <c r="D612" s="31" t="n">
        <f aca="false">IF(AND('Raw Orders'!C609="Product",'Raw Orders'!K609="Fulfilled",COUNTIFS('Raw Orders'!$A$2:$A609,'Raw Orders'!A609,'Raw Orders'!$C$2:$C609,"Product",'Raw Orders'!$K$2:$K609,"Fulfilled")=1),1,0)</f>
        <v>0</v>
      </c>
      <c r="E612" s="31" t="n">
        <f aca="false">IF(AND('Raw Orders'!C609="Product",'Raw Orders'!K609="Fulfilled"),'Raw Orders'!E609,0)</f>
        <v>2</v>
      </c>
      <c r="F612" s="32" t="n">
        <f aca="false">IF('Raw Orders'!K609="Refunded",'Raw Orders'!G609,0)</f>
        <v>0</v>
      </c>
    </row>
    <row r="613" customFormat="false" ht="15" hidden="false" customHeight="false" outlineLevel="0" collapsed="false">
      <c r="A613" s="36" t="n">
        <f aca="false">IF('Raw Orders'!B610="","",IF(MID('Raw Orders'!B610,5,1)="-",DATE(VALUE(LEFT('Raw Orders'!B610,4)),VALUE(MID('Raw Orders'!B610,6,2)),VALUE(MID('Raw Orders'!B610,9,2))),DATE(VALUE(MID('Raw Orders'!B610,7,4)),VALUE(MID('Raw Orders'!B610,4,2)),VALUE(LEFT('Raw Orders'!B610,2)))))</f>
        <v>46179</v>
      </c>
      <c r="B613" s="36" t="n">
        <f aca="false">IF(A613="","",A613-WEEKDAY(A613,3))</f>
        <v>46174</v>
      </c>
      <c r="C613" s="32" t="n">
        <f aca="false">IF(OR('Raw Orders'!C610&lt;&gt;"Product",'Raw Orders'!K610="Cancelled"),0,'Raw Orders'!G610)</f>
        <v>39</v>
      </c>
      <c r="D613" s="31" t="n">
        <f aca="false">IF(AND('Raw Orders'!C610="Product",'Raw Orders'!K610="Fulfilled",COUNTIFS('Raw Orders'!$A$2:$A610,'Raw Orders'!A610,'Raw Orders'!$C$2:$C610,"Product",'Raw Orders'!$K$2:$K610,"Fulfilled")=1),1,0)</f>
        <v>1</v>
      </c>
      <c r="E613" s="31" t="n">
        <f aca="false">IF(AND('Raw Orders'!C610="Product",'Raw Orders'!K610="Fulfilled"),'Raw Orders'!E610,0)</f>
        <v>1</v>
      </c>
      <c r="F613" s="32" t="n">
        <f aca="false">IF('Raw Orders'!K610="Refunded",'Raw Orders'!G610,0)</f>
        <v>0</v>
      </c>
    </row>
    <row r="614" customFormat="false" ht="15" hidden="false" customHeight="false" outlineLevel="0" collapsed="false">
      <c r="A614" s="36" t="n">
        <f aca="false">IF('Raw Orders'!B611="","",IF(MID('Raw Orders'!B611,5,1)="-",DATE(VALUE(LEFT('Raw Orders'!B611,4)),VALUE(MID('Raw Orders'!B611,6,2)),VALUE(MID('Raw Orders'!B611,9,2))),DATE(VALUE(MID('Raw Orders'!B611,7,4)),VALUE(MID('Raw Orders'!B611,4,2)),VALUE(LEFT('Raw Orders'!B611,2)))))</f>
        <v>46179</v>
      </c>
      <c r="B614" s="36" t="n">
        <f aca="false">IF(A614="","",A614-WEEKDAY(A614,3))</f>
        <v>46174</v>
      </c>
      <c r="C614" s="32" t="n">
        <f aca="false">IF(OR('Raw Orders'!C611&lt;&gt;"Product",'Raw Orders'!K611="Cancelled"),0,'Raw Orders'!G611)</f>
        <v>0</v>
      </c>
      <c r="D614" s="31" t="n">
        <f aca="false">IF(AND('Raw Orders'!C611="Product",'Raw Orders'!K611="Fulfilled",COUNTIFS('Raw Orders'!$A$2:$A611,'Raw Orders'!A611,'Raw Orders'!$C$2:$C611,"Product",'Raw Orders'!$K$2:$K611,"Fulfilled")=1),1,0)</f>
        <v>0</v>
      </c>
      <c r="E614" s="31" t="n">
        <f aca="false">IF(AND('Raw Orders'!C611="Product",'Raw Orders'!K611="Fulfilled"),'Raw Orders'!E611,0)</f>
        <v>0</v>
      </c>
      <c r="F614" s="32" t="n">
        <f aca="false">IF('Raw Orders'!K611="Refunded",'Raw Orders'!G611,0)</f>
        <v>0</v>
      </c>
    </row>
    <row r="615" customFormat="false" ht="15" hidden="false" customHeight="false" outlineLevel="0" collapsed="false">
      <c r="A615" s="36" t="n">
        <f aca="false">IF('Raw Orders'!B612="","",IF(MID('Raw Orders'!B612,5,1)="-",DATE(VALUE(LEFT('Raw Orders'!B612,4)),VALUE(MID('Raw Orders'!B612,6,2)),VALUE(MID('Raw Orders'!B612,9,2))),DATE(VALUE(MID('Raw Orders'!B612,7,4)),VALUE(MID('Raw Orders'!B612,4,2)),VALUE(LEFT('Raw Orders'!B612,2)))))</f>
        <v>46179</v>
      </c>
      <c r="B615" s="36" t="n">
        <f aca="false">IF(A615="","",A615-WEEKDAY(A615,3))</f>
        <v>46174</v>
      </c>
      <c r="C615" s="32" t="n">
        <f aca="false">IF(OR('Raw Orders'!C612&lt;&gt;"Product",'Raw Orders'!K612="Cancelled"),0,'Raw Orders'!G612)</f>
        <v>89</v>
      </c>
      <c r="D615" s="31" t="n">
        <f aca="false">IF(AND('Raw Orders'!C612="Product",'Raw Orders'!K612="Fulfilled",COUNTIFS('Raw Orders'!$A$2:$A612,'Raw Orders'!A612,'Raw Orders'!$C$2:$C612,"Product",'Raw Orders'!$K$2:$K612,"Fulfilled")=1),1,0)</f>
        <v>1</v>
      </c>
      <c r="E615" s="31" t="n">
        <f aca="false">IF(AND('Raw Orders'!C612="Product",'Raw Orders'!K612="Fulfilled"),'Raw Orders'!E612,0)</f>
        <v>1</v>
      </c>
      <c r="F615" s="32" t="n">
        <f aca="false">IF('Raw Orders'!K612="Refunded",'Raw Orders'!G612,0)</f>
        <v>0</v>
      </c>
    </row>
    <row r="616" customFormat="false" ht="15" hidden="false" customHeight="false" outlineLevel="0" collapsed="false">
      <c r="A616" s="36" t="n">
        <f aca="false">IF('Raw Orders'!B613="","",IF(MID('Raw Orders'!B613,5,1)="-",DATE(VALUE(LEFT('Raw Orders'!B613,4)),VALUE(MID('Raw Orders'!B613,6,2)),VALUE(MID('Raw Orders'!B613,9,2))),DATE(VALUE(MID('Raw Orders'!B613,7,4)),VALUE(MID('Raw Orders'!B613,4,2)),VALUE(LEFT('Raw Orders'!B613,2)))))</f>
        <v>46179</v>
      </c>
      <c r="B616" s="36" t="n">
        <f aca="false">IF(A616="","",A616-WEEKDAY(A616,3))</f>
        <v>46174</v>
      </c>
      <c r="C616" s="32" t="n">
        <f aca="false">IF(OR('Raw Orders'!C613&lt;&gt;"Product",'Raw Orders'!K613="Cancelled"),0,'Raw Orders'!G613)</f>
        <v>69</v>
      </c>
      <c r="D616" s="31" t="n">
        <f aca="false">IF(AND('Raw Orders'!C613="Product",'Raw Orders'!K613="Fulfilled",COUNTIFS('Raw Orders'!$A$2:$A613,'Raw Orders'!A613,'Raw Orders'!$C$2:$C613,"Product",'Raw Orders'!$K$2:$K613,"Fulfilled")=1),1,0)</f>
        <v>0</v>
      </c>
      <c r="E616" s="31" t="n">
        <f aca="false">IF(AND('Raw Orders'!C613="Product",'Raw Orders'!K613="Fulfilled"),'Raw Orders'!E613,0)</f>
        <v>1</v>
      </c>
      <c r="F616" s="32" t="n">
        <f aca="false">IF('Raw Orders'!K613="Refunded",'Raw Orders'!G613,0)</f>
        <v>0</v>
      </c>
    </row>
    <row r="617" customFormat="false" ht="15" hidden="false" customHeight="false" outlineLevel="0" collapsed="false">
      <c r="A617" s="36" t="n">
        <f aca="false">IF('Raw Orders'!B614="","",IF(MID('Raw Orders'!B614,5,1)="-",DATE(VALUE(LEFT('Raw Orders'!B614,4)),VALUE(MID('Raw Orders'!B614,6,2)),VALUE(MID('Raw Orders'!B614,9,2))),DATE(VALUE(MID('Raw Orders'!B614,7,4)),VALUE(MID('Raw Orders'!B614,4,2)),VALUE(LEFT('Raw Orders'!B614,2)))))</f>
        <v>46179</v>
      </c>
      <c r="B617" s="36" t="n">
        <f aca="false">IF(A617="","",A617-WEEKDAY(A617,3))</f>
        <v>46174</v>
      </c>
      <c r="C617" s="32" t="n">
        <f aca="false">IF(OR('Raw Orders'!C614&lt;&gt;"Product",'Raw Orders'!K614="Cancelled"),0,'Raw Orders'!G614)</f>
        <v>58</v>
      </c>
      <c r="D617" s="31" t="n">
        <f aca="false">IF(AND('Raw Orders'!C614="Product",'Raw Orders'!K614="Fulfilled",COUNTIFS('Raw Orders'!$A$2:$A614,'Raw Orders'!A614,'Raw Orders'!$C$2:$C614,"Product",'Raw Orders'!$K$2:$K614,"Fulfilled")=1),1,0)</f>
        <v>0</v>
      </c>
      <c r="E617" s="31" t="n">
        <f aca="false">IF(AND('Raw Orders'!C614="Product",'Raw Orders'!K614="Fulfilled"),'Raw Orders'!E614,0)</f>
        <v>2</v>
      </c>
      <c r="F617" s="32" t="n">
        <f aca="false">IF('Raw Orders'!K614="Refunded",'Raw Orders'!G614,0)</f>
        <v>0</v>
      </c>
    </row>
    <row r="618" customFormat="false" ht="15" hidden="false" customHeight="false" outlineLevel="0" collapsed="false">
      <c r="A618" s="36" t="n">
        <f aca="false">IF('Raw Orders'!B615="","",IF(MID('Raw Orders'!B615,5,1)="-",DATE(VALUE(LEFT('Raw Orders'!B615,4)),VALUE(MID('Raw Orders'!B615,6,2)),VALUE(MID('Raw Orders'!B615,9,2))),DATE(VALUE(MID('Raw Orders'!B615,7,4)),VALUE(MID('Raw Orders'!B615,4,2)),VALUE(LEFT('Raw Orders'!B615,2)))))</f>
        <v>46179</v>
      </c>
      <c r="B618" s="36" t="n">
        <f aca="false">IF(A618="","",A618-WEEKDAY(A618,3))</f>
        <v>46174</v>
      </c>
      <c r="C618" s="32" t="n">
        <f aca="false">IF(OR('Raw Orders'!C615&lt;&gt;"Product",'Raw Orders'!K615="Cancelled"),0,'Raw Orders'!G615)</f>
        <v>0</v>
      </c>
      <c r="D618" s="31" t="n">
        <f aca="false">IF(AND('Raw Orders'!C615="Product",'Raw Orders'!K615="Fulfilled",COUNTIFS('Raw Orders'!$A$2:$A615,'Raw Orders'!A615,'Raw Orders'!$C$2:$C615,"Product",'Raw Orders'!$K$2:$K615,"Fulfilled")=1),1,0)</f>
        <v>0</v>
      </c>
      <c r="E618" s="31" t="n">
        <f aca="false">IF(AND('Raw Orders'!C615="Product",'Raw Orders'!K615="Fulfilled"),'Raw Orders'!E615,0)</f>
        <v>0</v>
      </c>
      <c r="F618" s="32" t="n">
        <f aca="false">IF('Raw Orders'!K615="Refunded",'Raw Orders'!G615,0)</f>
        <v>0</v>
      </c>
    </row>
    <row r="619" customFormat="false" ht="15" hidden="false" customHeight="false" outlineLevel="0" collapsed="false">
      <c r="A619" s="36" t="n">
        <f aca="false">IF('Raw Orders'!B616="","",IF(MID('Raw Orders'!B616,5,1)="-",DATE(VALUE(LEFT('Raw Orders'!B616,4)),VALUE(MID('Raw Orders'!B616,6,2)),VALUE(MID('Raw Orders'!B616,9,2))),DATE(VALUE(MID('Raw Orders'!B616,7,4)),VALUE(MID('Raw Orders'!B616,4,2)),VALUE(LEFT('Raw Orders'!B616,2)))))</f>
        <v>46180</v>
      </c>
      <c r="B619" s="36" t="n">
        <f aca="false">IF(A619="","",A619-WEEKDAY(A619,3))</f>
        <v>46174</v>
      </c>
      <c r="C619" s="32" t="n">
        <f aca="false">IF(OR('Raw Orders'!C616&lt;&gt;"Product",'Raw Orders'!K616="Cancelled"),0,'Raw Orders'!G616)</f>
        <v>0</v>
      </c>
      <c r="D619" s="31" t="n">
        <f aca="false">IF(AND('Raw Orders'!C616="Product",'Raw Orders'!K616="Fulfilled",COUNTIFS('Raw Orders'!$A$2:$A616,'Raw Orders'!A616,'Raw Orders'!$C$2:$C616,"Product",'Raw Orders'!$K$2:$K616,"Fulfilled")=1),1,0)</f>
        <v>0</v>
      </c>
      <c r="E619" s="31" t="n">
        <f aca="false">IF(AND('Raw Orders'!C616="Product",'Raw Orders'!K616="Fulfilled"),'Raw Orders'!E616,0)</f>
        <v>0</v>
      </c>
      <c r="F619" s="32" t="n">
        <f aca="false">IF('Raw Orders'!K616="Refunded",'Raw Orders'!G616,0)</f>
        <v>0</v>
      </c>
    </row>
    <row r="620" customFormat="false" ht="15" hidden="false" customHeight="false" outlineLevel="0" collapsed="false">
      <c r="A620" s="36" t="n">
        <f aca="false">IF('Raw Orders'!B617="","",IF(MID('Raw Orders'!B617,5,1)="-",DATE(VALUE(LEFT('Raw Orders'!B617,4)),VALUE(MID('Raw Orders'!B617,6,2)),VALUE(MID('Raw Orders'!B617,9,2))),DATE(VALUE(MID('Raw Orders'!B617,7,4)),VALUE(MID('Raw Orders'!B617,4,2)),VALUE(LEFT('Raw Orders'!B617,2)))))</f>
        <v>46180</v>
      </c>
      <c r="B620" s="36" t="n">
        <f aca="false">IF(A620="","",A620-WEEKDAY(A620,3))</f>
        <v>46174</v>
      </c>
      <c r="C620" s="32" t="n">
        <f aca="false">IF(OR('Raw Orders'!C617&lt;&gt;"Product",'Raw Orders'!K617="Cancelled"),0,'Raw Orders'!G617)</f>
        <v>32</v>
      </c>
      <c r="D620" s="31" t="n">
        <f aca="false">IF(AND('Raw Orders'!C617="Product",'Raw Orders'!K617="Fulfilled",COUNTIFS('Raw Orders'!$A$2:$A617,'Raw Orders'!A617,'Raw Orders'!$C$2:$C617,"Product",'Raw Orders'!$K$2:$K617,"Fulfilled")=1),1,0)</f>
        <v>1</v>
      </c>
      <c r="E620" s="31" t="n">
        <f aca="false">IF(AND('Raw Orders'!C617="Product",'Raw Orders'!K617="Fulfilled"),'Raw Orders'!E617,0)</f>
        <v>1</v>
      </c>
      <c r="F620" s="32" t="n">
        <f aca="false">IF('Raw Orders'!K617="Refunded",'Raw Orders'!G617,0)</f>
        <v>0</v>
      </c>
    </row>
    <row r="621" customFormat="false" ht="15" hidden="false" customHeight="false" outlineLevel="0" collapsed="false">
      <c r="A621" s="36" t="n">
        <f aca="false">IF('Raw Orders'!B618="","",IF(MID('Raw Orders'!B618,5,1)="-",DATE(VALUE(LEFT('Raw Orders'!B618,4)),VALUE(MID('Raw Orders'!B618,6,2)),VALUE(MID('Raw Orders'!B618,9,2))),DATE(VALUE(MID('Raw Orders'!B618,7,4)),VALUE(MID('Raw Orders'!B618,4,2)),VALUE(LEFT('Raw Orders'!B618,2)))))</f>
        <v>46180</v>
      </c>
      <c r="B621" s="36" t="n">
        <f aca="false">IF(A621="","",A621-WEEKDAY(A621,3))</f>
        <v>46174</v>
      </c>
      <c r="C621" s="32" t="n">
        <f aca="false">IF(OR('Raw Orders'!C618&lt;&gt;"Product",'Raw Orders'!K618="Cancelled"),0,'Raw Orders'!G618)</f>
        <v>0</v>
      </c>
      <c r="D621" s="31" t="n">
        <f aca="false">IF(AND('Raw Orders'!C618="Product",'Raw Orders'!K618="Fulfilled",COUNTIFS('Raw Orders'!$A$2:$A618,'Raw Orders'!A618,'Raw Orders'!$C$2:$C618,"Product",'Raw Orders'!$K$2:$K618,"Fulfilled")=1),1,0)</f>
        <v>0</v>
      </c>
      <c r="E621" s="31" t="n">
        <f aca="false">IF(AND('Raw Orders'!C618="Product",'Raw Orders'!K618="Fulfilled"),'Raw Orders'!E618,0)</f>
        <v>0</v>
      </c>
      <c r="F621" s="32" t="n">
        <f aca="false">IF('Raw Orders'!K618="Refunded",'Raw Orders'!G618,0)</f>
        <v>0</v>
      </c>
    </row>
    <row r="622" customFormat="false" ht="15" hidden="false" customHeight="false" outlineLevel="0" collapsed="false">
      <c r="A622" s="36" t="n">
        <f aca="false">IF('Raw Orders'!B619="","",IF(MID('Raw Orders'!B619,5,1)="-",DATE(VALUE(LEFT('Raw Orders'!B619,4)),VALUE(MID('Raw Orders'!B619,6,2)),VALUE(MID('Raw Orders'!B619,9,2))),DATE(VALUE(MID('Raw Orders'!B619,7,4)),VALUE(MID('Raw Orders'!B619,4,2)),VALUE(LEFT('Raw Orders'!B619,2)))))</f>
        <v>46180</v>
      </c>
      <c r="B622" s="36" t="n">
        <f aca="false">IF(A622="","",A622-WEEKDAY(A622,3))</f>
        <v>46174</v>
      </c>
      <c r="C622" s="32" t="n">
        <f aca="false">IF(OR('Raw Orders'!C619&lt;&gt;"Product",'Raw Orders'!K619="Cancelled"),0,'Raw Orders'!G619)</f>
        <v>24.65</v>
      </c>
      <c r="D622" s="31" t="n">
        <f aca="false">IF(AND('Raw Orders'!C619="Product",'Raw Orders'!K619="Fulfilled",COUNTIFS('Raw Orders'!$A$2:$A619,'Raw Orders'!A619,'Raw Orders'!$C$2:$C619,"Product",'Raw Orders'!$K$2:$K619,"Fulfilled")=1),1,0)</f>
        <v>1</v>
      </c>
      <c r="E622" s="31" t="n">
        <f aca="false">IF(AND('Raw Orders'!C619="Product",'Raw Orders'!K619="Fulfilled"),'Raw Orders'!E619,0)</f>
        <v>1</v>
      </c>
      <c r="F622" s="32" t="n">
        <f aca="false">IF('Raw Orders'!K619="Refunded",'Raw Orders'!G619,0)</f>
        <v>0</v>
      </c>
    </row>
    <row r="623" customFormat="false" ht="15" hidden="false" customHeight="false" outlineLevel="0" collapsed="false">
      <c r="A623" s="36" t="n">
        <f aca="false">IF('Raw Orders'!B620="","",IF(MID('Raw Orders'!B620,5,1)="-",DATE(VALUE(LEFT('Raw Orders'!B620,4)),VALUE(MID('Raw Orders'!B620,6,2)),VALUE(MID('Raw Orders'!B620,9,2))),DATE(VALUE(MID('Raw Orders'!B620,7,4)),VALUE(MID('Raw Orders'!B620,4,2)),VALUE(LEFT('Raw Orders'!B620,2)))))</f>
        <v>46180</v>
      </c>
      <c r="B623" s="36" t="n">
        <f aca="false">IF(A623="","",A623-WEEKDAY(A623,3))</f>
        <v>46174</v>
      </c>
      <c r="C623" s="32" t="n">
        <f aca="false">IF(OR('Raw Orders'!C620&lt;&gt;"Product",'Raw Orders'!K620="Cancelled"),0,'Raw Orders'!G620)</f>
        <v>39</v>
      </c>
      <c r="D623" s="31" t="n">
        <f aca="false">IF(AND('Raw Orders'!C620="Product",'Raw Orders'!K620="Fulfilled",COUNTIFS('Raw Orders'!$A$2:$A620,'Raw Orders'!A620,'Raw Orders'!$C$2:$C620,"Product",'Raw Orders'!$K$2:$K620,"Fulfilled")=1),1,0)</f>
        <v>0</v>
      </c>
      <c r="E623" s="31" t="n">
        <f aca="false">IF(AND('Raw Orders'!C620="Product",'Raw Orders'!K620="Fulfilled"),'Raw Orders'!E620,0)</f>
        <v>1</v>
      </c>
      <c r="F623" s="32" t="n">
        <f aca="false">IF('Raw Orders'!K620="Refunded",'Raw Orders'!G620,0)</f>
        <v>0</v>
      </c>
    </row>
    <row r="624" customFormat="false" ht="15" hidden="false" customHeight="false" outlineLevel="0" collapsed="false">
      <c r="A624" s="36" t="n">
        <f aca="false">IF('Raw Orders'!B621="","",IF(MID('Raw Orders'!B621,5,1)="-",DATE(VALUE(LEFT('Raw Orders'!B621,4)),VALUE(MID('Raw Orders'!B621,6,2)),VALUE(MID('Raw Orders'!B621,9,2))),DATE(VALUE(MID('Raw Orders'!B621,7,4)),VALUE(MID('Raw Orders'!B621,4,2)),VALUE(LEFT('Raw Orders'!B621,2)))))</f>
        <v>46180</v>
      </c>
      <c r="B624" s="36" t="n">
        <f aca="false">IF(A624="","",A624-WEEKDAY(A624,3))</f>
        <v>46174</v>
      </c>
      <c r="C624" s="32" t="n">
        <f aca="false">IF(OR('Raw Orders'!C621&lt;&gt;"Product",'Raw Orders'!K621="Cancelled"),0,'Raw Orders'!G621)</f>
        <v>0</v>
      </c>
      <c r="D624" s="31" t="n">
        <f aca="false">IF(AND('Raw Orders'!C621="Product",'Raw Orders'!K621="Fulfilled",COUNTIFS('Raw Orders'!$A$2:$A621,'Raw Orders'!A621,'Raw Orders'!$C$2:$C621,"Product",'Raw Orders'!$K$2:$K621,"Fulfilled")=1),1,0)</f>
        <v>0</v>
      </c>
      <c r="E624" s="31" t="n">
        <f aca="false">IF(AND('Raw Orders'!C621="Product",'Raw Orders'!K621="Fulfilled"),'Raw Orders'!E621,0)</f>
        <v>0</v>
      </c>
      <c r="F624" s="32" t="n">
        <f aca="false">IF('Raw Orders'!K621="Refunded",'Raw Orders'!G621,0)</f>
        <v>0</v>
      </c>
    </row>
    <row r="625" customFormat="false" ht="15" hidden="false" customHeight="false" outlineLevel="0" collapsed="false">
      <c r="A625" s="36" t="n">
        <f aca="false">IF('Raw Orders'!B622="","",IF(MID('Raw Orders'!B622,5,1)="-",DATE(VALUE(LEFT('Raw Orders'!B622,4)),VALUE(MID('Raw Orders'!B622,6,2)),VALUE(MID('Raw Orders'!B622,9,2))),DATE(VALUE(MID('Raw Orders'!B622,7,4)),VALUE(MID('Raw Orders'!B622,4,2)),VALUE(LEFT('Raw Orders'!B622,2)))))</f>
        <v>46180</v>
      </c>
      <c r="B625" s="36" t="n">
        <f aca="false">IF(A625="","",A625-WEEKDAY(A625,3))</f>
        <v>46174</v>
      </c>
      <c r="C625" s="32" t="n">
        <f aca="false">IF(OR('Raw Orders'!C622&lt;&gt;"Product",'Raw Orders'!K622="Cancelled"),0,'Raw Orders'!G622)</f>
        <v>14</v>
      </c>
      <c r="D625" s="31" t="n">
        <f aca="false">IF(AND('Raw Orders'!C622="Product",'Raw Orders'!K622="Fulfilled",COUNTIFS('Raw Orders'!$A$2:$A622,'Raw Orders'!A622,'Raw Orders'!$C$2:$C622,"Product",'Raw Orders'!$K$2:$K622,"Fulfilled")=1),1,0)</f>
        <v>1</v>
      </c>
      <c r="E625" s="31" t="n">
        <f aca="false">IF(AND('Raw Orders'!C622="Product",'Raw Orders'!K622="Fulfilled"),'Raw Orders'!E622,0)</f>
        <v>1</v>
      </c>
      <c r="F625" s="32" t="n">
        <f aca="false">IF('Raw Orders'!K622="Refunded",'Raw Orders'!G622,0)</f>
        <v>0</v>
      </c>
    </row>
    <row r="626" customFormat="false" ht="15" hidden="false" customHeight="false" outlineLevel="0" collapsed="false">
      <c r="A626" s="36" t="n">
        <f aca="false">IF('Raw Orders'!B623="","",IF(MID('Raw Orders'!B623,5,1)="-",DATE(VALUE(LEFT('Raw Orders'!B623,4)),VALUE(MID('Raw Orders'!B623,6,2)),VALUE(MID('Raw Orders'!B623,9,2))),DATE(VALUE(MID('Raw Orders'!B623,7,4)),VALUE(MID('Raw Orders'!B623,4,2)),VALUE(LEFT('Raw Orders'!B623,2)))))</f>
        <v>46180</v>
      </c>
      <c r="B626" s="36" t="n">
        <f aca="false">IF(A626="","",A626-WEEKDAY(A626,3))</f>
        <v>46174</v>
      </c>
      <c r="C626" s="32" t="n">
        <f aca="false">IF(OR('Raw Orders'!C623&lt;&gt;"Product",'Raw Orders'!K623="Cancelled"),0,'Raw Orders'!G623)</f>
        <v>0</v>
      </c>
      <c r="D626" s="31" t="n">
        <f aca="false">IF(AND('Raw Orders'!C623="Product",'Raw Orders'!K623="Fulfilled",COUNTIFS('Raw Orders'!$A$2:$A623,'Raw Orders'!A623,'Raw Orders'!$C$2:$C623,"Product",'Raw Orders'!$K$2:$K623,"Fulfilled")=1),1,0)</f>
        <v>0</v>
      </c>
      <c r="E626" s="31" t="n">
        <f aca="false">IF(AND('Raw Orders'!C623="Product",'Raw Orders'!K623="Fulfilled"),'Raw Orders'!E623,0)</f>
        <v>0</v>
      </c>
      <c r="F626" s="32" t="n">
        <f aca="false">IF('Raw Orders'!K623="Refunded",'Raw Orders'!G623,0)</f>
        <v>0</v>
      </c>
    </row>
    <row r="627" customFormat="false" ht="15" hidden="false" customHeight="false" outlineLevel="0" collapsed="false">
      <c r="A627" s="36" t="n">
        <f aca="false">IF('Raw Orders'!B624="","",IF(MID('Raw Orders'!B624,5,1)="-",DATE(VALUE(LEFT('Raw Orders'!B624,4)),VALUE(MID('Raw Orders'!B624,6,2)),VALUE(MID('Raw Orders'!B624,9,2))),DATE(VALUE(MID('Raw Orders'!B624,7,4)),VALUE(MID('Raw Orders'!B624,4,2)),VALUE(LEFT('Raw Orders'!B624,2)))))</f>
        <v>46180</v>
      </c>
      <c r="B627" s="36" t="n">
        <f aca="false">IF(A627="","",A627-WEEKDAY(A627,3))</f>
        <v>46174</v>
      </c>
      <c r="C627" s="32" t="n">
        <f aca="false">IF(OR('Raw Orders'!C624&lt;&gt;"Product",'Raw Orders'!K624="Cancelled"),0,'Raw Orders'!G624)</f>
        <v>29</v>
      </c>
      <c r="D627" s="31" t="n">
        <f aca="false">IF(AND('Raw Orders'!C624="Product",'Raw Orders'!K624="Fulfilled",COUNTIFS('Raw Orders'!$A$2:$A624,'Raw Orders'!A624,'Raw Orders'!$C$2:$C624,"Product",'Raw Orders'!$K$2:$K624,"Fulfilled")=1),1,0)</f>
        <v>1</v>
      </c>
      <c r="E627" s="31" t="n">
        <f aca="false">IF(AND('Raw Orders'!C624="Product",'Raw Orders'!K624="Fulfilled"),'Raw Orders'!E624,0)</f>
        <v>1</v>
      </c>
      <c r="F627" s="32" t="n">
        <f aca="false">IF('Raw Orders'!K624="Refunded",'Raw Orders'!G624,0)</f>
        <v>0</v>
      </c>
    </row>
    <row r="628" customFormat="false" ht="15" hidden="false" customHeight="false" outlineLevel="0" collapsed="false">
      <c r="A628" s="36" t="n">
        <f aca="false">IF('Raw Orders'!B625="","",IF(MID('Raw Orders'!B625,5,1)="-",DATE(VALUE(LEFT('Raw Orders'!B625,4)),VALUE(MID('Raw Orders'!B625,6,2)),VALUE(MID('Raw Orders'!B625,9,2))),DATE(VALUE(MID('Raw Orders'!B625,7,4)),VALUE(MID('Raw Orders'!B625,4,2)),VALUE(LEFT('Raw Orders'!B625,2)))))</f>
        <v>46180</v>
      </c>
      <c r="B628" s="36" t="n">
        <f aca="false">IF(A628="","",A628-WEEKDAY(A628,3))</f>
        <v>46174</v>
      </c>
      <c r="C628" s="32" t="n">
        <f aca="false">IF(OR('Raw Orders'!C625&lt;&gt;"Product",'Raw Orders'!K625="Cancelled"),0,'Raw Orders'!G625)</f>
        <v>42</v>
      </c>
      <c r="D628" s="31" t="n">
        <f aca="false">IF(AND('Raw Orders'!C625="Product",'Raw Orders'!K625="Fulfilled",COUNTIFS('Raw Orders'!$A$2:$A625,'Raw Orders'!A625,'Raw Orders'!$C$2:$C625,"Product",'Raw Orders'!$K$2:$K625,"Fulfilled")=1),1,0)</f>
        <v>1</v>
      </c>
      <c r="E628" s="31" t="n">
        <f aca="false">IF(AND('Raw Orders'!C625="Product",'Raw Orders'!K625="Fulfilled"),'Raw Orders'!E625,0)</f>
        <v>3</v>
      </c>
      <c r="F628" s="32" t="n">
        <f aca="false">IF('Raw Orders'!K625="Refunded",'Raw Orders'!G625,0)</f>
        <v>0</v>
      </c>
    </row>
    <row r="629" customFormat="false" ht="15" hidden="false" customHeight="false" outlineLevel="0" collapsed="false">
      <c r="A629" s="36" t="n">
        <f aca="false">IF('Raw Orders'!B626="","",IF(MID('Raw Orders'!B626,5,1)="-",DATE(VALUE(LEFT('Raw Orders'!B626,4)),VALUE(MID('Raw Orders'!B626,6,2)),VALUE(MID('Raw Orders'!B626,9,2))),DATE(VALUE(MID('Raw Orders'!B626,7,4)),VALUE(MID('Raw Orders'!B626,4,2)),VALUE(LEFT('Raw Orders'!B626,2)))))</f>
        <v>46180</v>
      </c>
      <c r="B629" s="36" t="n">
        <f aca="false">IF(A629="","",A629-WEEKDAY(A629,3))</f>
        <v>46174</v>
      </c>
      <c r="C629" s="32" t="n">
        <f aca="false">IF(OR('Raw Orders'!C626&lt;&gt;"Product",'Raw Orders'!K626="Cancelled"),0,'Raw Orders'!G626)</f>
        <v>28.8</v>
      </c>
      <c r="D629" s="31" t="n">
        <f aca="false">IF(AND('Raw Orders'!C626="Product",'Raw Orders'!K626="Fulfilled",COUNTIFS('Raw Orders'!$A$2:$A626,'Raw Orders'!A626,'Raw Orders'!$C$2:$C626,"Product",'Raw Orders'!$K$2:$K626,"Fulfilled")=1),1,0)</f>
        <v>0</v>
      </c>
      <c r="E629" s="31" t="n">
        <f aca="false">IF(AND('Raw Orders'!C626="Product",'Raw Orders'!K626="Fulfilled"),'Raw Orders'!E626,0)</f>
        <v>1</v>
      </c>
      <c r="F629" s="32" t="n">
        <f aca="false">IF('Raw Orders'!K626="Refunded",'Raw Orders'!G626,0)</f>
        <v>0</v>
      </c>
    </row>
    <row r="630" customFormat="false" ht="15" hidden="false" customHeight="false" outlineLevel="0" collapsed="false">
      <c r="A630" s="36" t="n">
        <f aca="false">IF('Raw Orders'!B627="","",IF(MID('Raw Orders'!B627,5,1)="-",DATE(VALUE(LEFT('Raw Orders'!B627,4)),VALUE(MID('Raw Orders'!B627,6,2)),VALUE(MID('Raw Orders'!B627,9,2))),DATE(VALUE(MID('Raw Orders'!B627,7,4)),VALUE(MID('Raw Orders'!B627,4,2)),VALUE(LEFT('Raw Orders'!B627,2)))))</f>
        <v>46180</v>
      </c>
      <c r="B630" s="36" t="n">
        <f aca="false">IF(A630="","",A630-WEEKDAY(A630,3))</f>
        <v>46174</v>
      </c>
      <c r="C630" s="32" t="n">
        <f aca="false">IF(OR('Raw Orders'!C627&lt;&gt;"Product",'Raw Orders'!K627="Cancelled"),0,'Raw Orders'!G627)</f>
        <v>0</v>
      </c>
      <c r="D630" s="31" t="n">
        <f aca="false">IF(AND('Raw Orders'!C627="Product",'Raw Orders'!K627="Fulfilled",COUNTIFS('Raw Orders'!$A$2:$A627,'Raw Orders'!A627,'Raw Orders'!$C$2:$C627,"Product",'Raw Orders'!$K$2:$K627,"Fulfilled")=1),1,0)</f>
        <v>0</v>
      </c>
      <c r="E630" s="31" t="n">
        <f aca="false">IF(AND('Raw Orders'!C627="Product",'Raw Orders'!K627="Fulfilled"),'Raw Orders'!E627,0)</f>
        <v>0</v>
      </c>
      <c r="F630" s="32" t="n">
        <f aca="false">IF('Raw Orders'!K627="Refunded",'Raw Orders'!G627,0)</f>
        <v>0</v>
      </c>
    </row>
    <row r="631" customFormat="false" ht="15" hidden="false" customHeight="false" outlineLevel="0" collapsed="false">
      <c r="A631" s="36" t="n">
        <f aca="false">IF('Raw Orders'!B628="","",IF(MID('Raw Orders'!B628,5,1)="-",DATE(VALUE(LEFT('Raw Orders'!B628,4)),VALUE(MID('Raw Orders'!B628,6,2)),VALUE(MID('Raw Orders'!B628,9,2))),DATE(VALUE(MID('Raw Orders'!B628,7,4)),VALUE(MID('Raw Orders'!B628,4,2)),VALUE(LEFT('Raw Orders'!B628,2)))))</f>
        <v>46180</v>
      </c>
      <c r="B631" s="36" t="n">
        <f aca="false">IF(A631="","",A631-WEEKDAY(A631,3))</f>
        <v>46174</v>
      </c>
      <c r="C631" s="32" t="n">
        <f aca="false">IF(OR('Raw Orders'!C628&lt;&gt;"Product",'Raw Orders'!K628="Cancelled"),0,'Raw Orders'!G628)</f>
        <v>22</v>
      </c>
      <c r="D631" s="31" t="n">
        <f aca="false">IF(AND('Raw Orders'!C628="Product",'Raw Orders'!K628="Fulfilled",COUNTIFS('Raw Orders'!$A$2:$A628,'Raw Orders'!A628,'Raw Orders'!$C$2:$C628,"Product",'Raw Orders'!$K$2:$K628,"Fulfilled")=1),1,0)</f>
        <v>1</v>
      </c>
      <c r="E631" s="31" t="n">
        <f aca="false">IF(AND('Raw Orders'!C628="Product",'Raw Orders'!K628="Fulfilled"),'Raw Orders'!E628,0)</f>
        <v>1</v>
      </c>
      <c r="F631" s="32" t="n">
        <f aca="false">IF('Raw Orders'!K628="Refunded",'Raw Orders'!G628,0)</f>
        <v>0</v>
      </c>
    </row>
    <row r="632" customFormat="false" ht="15" hidden="false" customHeight="false" outlineLevel="0" collapsed="false">
      <c r="A632" s="36" t="n">
        <f aca="false">IF('Raw Orders'!B629="","",IF(MID('Raw Orders'!B629,5,1)="-",DATE(VALUE(LEFT('Raw Orders'!B629,4)),VALUE(MID('Raw Orders'!B629,6,2)),VALUE(MID('Raw Orders'!B629,9,2))),DATE(VALUE(MID('Raw Orders'!B629,7,4)),VALUE(MID('Raw Orders'!B629,4,2)),VALUE(LEFT('Raw Orders'!B629,2)))))</f>
        <v>46180</v>
      </c>
      <c r="B632" s="36" t="n">
        <f aca="false">IF(A632="","",A632-WEEKDAY(A632,3))</f>
        <v>46174</v>
      </c>
      <c r="C632" s="32" t="n">
        <f aca="false">IF(OR('Raw Orders'!C629&lt;&gt;"Product",'Raw Orders'!K629="Cancelled"),0,'Raw Orders'!G629)</f>
        <v>52</v>
      </c>
      <c r="D632" s="31" t="n">
        <f aca="false">IF(AND('Raw Orders'!C629="Product",'Raw Orders'!K629="Fulfilled",COUNTIFS('Raw Orders'!$A$2:$A629,'Raw Orders'!A629,'Raw Orders'!$C$2:$C629,"Product",'Raw Orders'!$K$2:$K629,"Fulfilled")=1),1,0)</f>
        <v>0</v>
      </c>
      <c r="E632" s="31" t="n">
        <f aca="false">IF(AND('Raw Orders'!C629="Product",'Raw Orders'!K629="Fulfilled"),'Raw Orders'!E629,0)</f>
        <v>2</v>
      </c>
      <c r="F632" s="32" t="n">
        <f aca="false">IF('Raw Orders'!K629="Refunded",'Raw Orders'!G629,0)</f>
        <v>0</v>
      </c>
    </row>
    <row r="633" customFormat="false" ht="15" hidden="false" customHeight="false" outlineLevel="0" collapsed="false">
      <c r="A633" s="36" t="n">
        <f aca="false">IF('Raw Orders'!B630="","",IF(MID('Raw Orders'!B630,5,1)="-",DATE(VALUE(LEFT('Raw Orders'!B630,4)),VALUE(MID('Raw Orders'!B630,6,2)),VALUE(MID('Raw Orders'!B630,9,2))),DATE(VALUE(MID('Raw Orders'!B630,7,4)),VALUE(MID('Raw Orders'!B630,4,2)),VALUE(LEFT('Raw Orders'!B630,2)))))</f>
        <v>46180</v>
      </c>
      <c r="B633" s="36" t="n">
        <f aca="false">IF(A633="","",A633-WEEKDAY(A633,3))</f>
        <v>46174</v>
      </c>
      <c r="C633" s="32" t="n">
        <f aca="false">IF(OR('Raw Orders'!C630&lt;&gt;"Product",'Raw Orders'!K630="Cancelled"),0,'Raw Orders'!G630)</f>
        <v>39</v>
      </c>
      <c r="D633" s="31" t="n">
        <f aca="false">IF(AND('Raw Orders'!C630="Product",'Raw Orders'!K630="Fulfilled",COUNTIFS('Raw Orders'!$A$2:$A630,'Raw Orders'!A630,'Raw Orders'!$C$2:$C630,"Product",'Raw Orders'!$K$2:$K630,"Fulfilled")=1),1,0)</f>
        <v>0</v>
      </c>
      <c r="E633" s="31" t="n">
        <f aca="false">IF(AND('Raw Orders'!C630="Product",'Raw Orders'!K630="Fulfilled"),'Raw Orders'!E630,0)</f>
        <v>1</v>
      </c>
      <c r="F633" s="32" t="n">
        <f aca="false">IF('Raw Orders'!K630="Refunded",'Raw Orders'!G630,0)</f>
        <v>0</v>
      </c>
    </row>
    <row r="634" customFormat="false" ht="15" hidden="false" customHeight="false" outlineLevel="0" collapsed="false">
      <c r="A634" s="36" t="n">
        <f aca="false">IF('Raw Orders'!B631="","",IF(MID('Raw Orders'!B631,5,1)="-",DATE(VALUE(LEFT('Raw Orders'!B631,4)),VALUE(MID('Raw Orders'!B631,6,2)),VALUE(MID('Raw Orders'!B631,9,2))),DATE(VALUE(MID('Raw Orders'!B631,7,4)),VALUE(MID('Raw Orders'!B631,4,2)),VALUE(LEFT('Raw Orders'!B631,2)))))</f>
        <v>46180</v>
      </c>
      <c r="B634" s="36" t="n">
        <f aca="false">IF(A634="","",A634-WEEKDAY(A634,3))</f>
        <v>46174</v>
      </c>
      <c r="C634" s="32" t="n">
        <f aca="false">IF(OR('Raw Orders'!C631&lt;&gt;"Product",'Raw Orders'!K631="Cancelled"),0,'Raw Orders'!G631)</f>
        <v>-69</v>
      </c>
      <c r="D634" s="31" t="n">
        <f aca="false">IF(AND('Raw Orders'!C631="Product",'Raw Orders'!K631="Fulfilled",COUNTIFS('Raw Orders'!$A$2:$A631,'Raw Orders'!A631,'Raw Orders'!$C$2:$C631,"Product",'Raw Orders'!$K$2:$K631,"Fulfilled")=1),1,0)</f>
        <v>0</v>
      </c>
      <c r="E634" s="31" t="n">
        <f aca="false">IF(AND('Raw Orders'!C631="Product",'Raw Orders'!K631="Fulfilled"),'Raw Orders'!E631,0)</f>
        <v>0</v>
      </c>
      <c r="F634" s="32" t="n">
        <f aca="false">IF('Raw Orders'!K631="Refunded",'Raw Orders'!G631,0)</f>
        <v>-69</v>
      </c>
    </row>
    <row r="635" customFormat="false" ht="15" hidden="false" customHeight="false" outlineLevel="0" collapsed="false">
      <c r="A635" s="36" t="n">
        <f aca="false">IF('Raw Orders'!B632="","",IF(MID('Raw Orders'!B632,5,1)="-",DATE(VALUE(LEFT('Raw Orders'!B632,4)),VALUE(MID('Raw Orders'!B632,6,2)),VALUE(MID('Raw Orders'!B632,9,2))),DATE(VALUE(MID('Raw Orders'!B632,7,4)),VALUE(MID('Raw Orders'!B632,4,2)),VALUE(LEFT('Raw Orders'!B632,2)))))</f>
        <v>46181</v>
      </c>
      <c r="B635" s="36" t="n">
        <f aca="false">IF(A635="","",A635-WEEKDAY(A635,3))</f>
        <v>46181</v>
      </c>
      <c r="C635" s="32" t="n">
        <f aca="false">IF(OR('Raw Orders'!C632&lt;&gt;"Product",'Raw Orders'!K632="Cancelled"),0,'Raw Orders'!G632)</f>
        <v>75</v>
      </c>
      <c r="D635" s="31" t="n">
        <f aca="false">IF(AND('Raw Orders'!C632="Product",'Raw Orders'!K632="Fulfilled",COUNTIFS('Raw Orders'!$A$2:$A632,'Raw Orders'!A632,'Raw Orders'!$C$2:$C632,"Product",'Raw Orders'!$K$2:$K632,"Fulfilled")=1),1,0)</f>
        <v>1</v>
      </c>
      <c r="E635" s="31" t="n">
        <f aca="false">IF(AND('Raw Orders'!C632="Product",'Raw Orders'!K632="Fulfilled"),'Raw Orders'!E632,0)</f>
        <v>1</v>
      </c>
      <c r="F635" s="32" t="n">
        <f aca="false">IF('Raw Orders'!K632="Refunded",'Raw Orders'!G632,0)</f>
        <v>0</v>
      </c>
    </row>
    <row r="636" customFormat="false" ht="15" hidden="false" customHeight="false" outlineLevel="0" collapsed="false">
      <c r="A636" s="36" t="n">
        <f aca="false">IF('Raw Orders'!B633="","",IF(MID('Raw Orders'!B633,5,1)="-",DATE(VALUE(LEFT('Raw Orders'!B633,4)),VALUE(MID('Raw Orders'!B633,6,2)),VALUE(MID('Raw Orders'!B633,9,2))),DATE(VALUE(MID('Raw Orders'!B633,7,4)),VALUE(MID('Raw Orders'!B633,4,2)),VALUE(LEFT('Raw Orders'!B633,2)))))</f>
        <v>46181</v>
      </c>
      <c r="B636" s="36" t="n">
        <f aca="false">IF(A636="","",A636-WEEKDAY(A636,3))</f>
        <v>46181</v>
      </c>
      <c r="C636" s="32" t="n">
        <f aca="false">IF(OR('Raw Orders'!C633&lt;&gt;"Product",'Raw Orders'!K633="Cancelled"),0,'Raw Orders'!G633)</f>
        <v>29</v>
      </c>
      <c r="D636" s="31" t="n">
        <f aca="false">IF(AND('Raw Orders'!C633="Product",'Raw Orders'!K633="Fulfilled",COUNTIFS('Raw Orders'!$A$2:$A633,'Raw Orders'!A633,'Raw Orders'!$C$2:$C633,"Product",'Raw Orders'!$K$2:$K633,"Fulfilled")=1),1,0)</f>
        <v>1</v>
      </c>
      <c r="E636" s="31" t="n">
        <f aca="false">IF(AND('Raw Orders'!C633="Product",'Raw Orders'!K633="Fulfilled"),'Raw Orders'!E633,0)</f>
        <v>1</v>
      </c>
      <c r="F636" s="32" t="n">
        <f aca="false">IF('Raw Orders'!K633="Refunded",'Raw Orders'!G633,0)</f>
        <v>0</v>
      </c>
    </row>
    <row r="637" customFormat="false" ht="15" hidden="false" customHeight="false" outlineLevel="0" collapsed="false">
      <c r="A637" s="36" t="n">
        <f aca="false">IF('Raw Orders'!B634="","",IF(MID('Raw Orders'!B634,5,1)="-",DATE(VALUE(LEFT('Raw Orders'!B634,4)),VALUE(MID('Raw Orders'!B634,6,2)),VALUE(MID('Raw Orders'!B634,9,2))),DATE(VALUE(MID('Raw Orders'!B634,7,4)),VALUE(MID('Raw Orders'!B634,4,2)),VALUE(LEFT('Raw Orders'!B634,2)))))</f>
        <v>46181</v>
      </c>
      <c r="B637" s="36" t="n">
        <f aca="false">IF(A637="","",A637-WEEKDAY(A637,3))</f>
        <v>46181</v>
      </c>
      <c r="C637" s="32" t="n">
        <f aca="false">IF(OR('Raw Orders'!C634&lt;&gt;"Product",'Raw Orders'!K634="Cancelled"),0,'Raw Orders'!G634)</f>
        <v>14</v>
      </c>
      <c r="D637" s="31" t="n">
        <f aca="false">IF(AND('Raw Orders'!C634="Product",'Raw Orders'!K634="Fulfilled",COUNTIFS('Raw Orders'!$A$2:$A634,'Raw Orders'!A634,'Raw Orders'!$C$2:$C634,"Product",'Raw Orders'!$K$2:$K634,"Fulfilled")=1),1,0)</f>
        <v>0</v>
      </c>
      <c r="E637" s="31" t="n">
        <f aca="false">IF(AND('Raw Orders'!C634="Product",'Raw Orders'!K634="Fulfilled"),'Raw Orders'!E634,0)</f>
        <v>1</v>
      </c>
      <c r="F637" s="32" t="n">
        <f aca="false">IF('Raw Orders'!K634="Refunded",'Raw Orders'!G634,0)</f>
        <v>0</v>
      </c>
    </row>
    <row r="638" customFormat="false" ht="15" hidden="false" customHeight="false" outlineLevel="0" collapsed="false">
      <c r="A638" s="36" t="n">
        <f aca="false">IF('Raw Orders'!B635="","",IF(MID('Raw Orders'!B635,5,1)="-",DATE(VALUE(LEFT('Raw Orders'!B635,4)),VALUE(MID('Raw Orders'!B635,6,2)),VALUE(MID('Raw Orders'!B635,9,2))),DATE(VALUE(MID('Raw Orders'!B635,7,4)),VALUE(MID('Raw Orders'!B635,4,2)),VALUE(LEFT('Raw Orders'!B635,2)))))</f>
        <v>46181</v>
      </c>
      <c r="B638" s="36" t="n">
        <f aca="false">IF(A638="","",A638-WEEKDAY(A638,3))</f>
        <v>46181</v>
      </c>
      <c r="C638" s="32" t="n">
        <f aca="false">IF(OR('Raw Orders'!C635&lt;&gt;"Product",'Raw Orders'!K635="Cancelled"),0,'Raw Orders'!G635)</f>
        <v>75</v>
      </c>
      <c r="D638" s="31" t="n">
        <f aca="false">IF(AND('Raw Orders'!C635="Product",'Raw Orders'!K635="Fulfilled",COUNTIFS('Raw Orders'!$A$2:$A635,'Raw Orders'!A635,'Raw Orders'!$C$2:$C635,"Product",'Raw Orders'!$K$2:$K635,"Fulfilled")=1),1,0)</f>
        <v>0</v>
      </c>
      <c r="E638" s="31" t="n">
        <f aca="false">IF(AND('Raw Orders'!C635="Product",'Raw Orders'!K635="Fulfilled"),'Raw Orders'!E635,0)</f>
        <v>1</v>
      </c>
      <c r="F638" s="32" t="n">
        <f aca="false">IF('Raw Orders'!K635="Refunded",'Raw Orders'!G635,0)</f>
        <v>0</v>
      </c>
    </row>
    <row r="639" customFormat="false" ht="15" hidden="false" customHeight="false" outlineLevel="0" collapsed="false">
      <c r="A639" s="36" t="n">
        <f aca="false">IF('Raw Orders'!B636="","",IF(MID('Raw Orders'!B636,5,1)="-",DATE(VALUE(LEFT('Raw Orders'!B636,4)),VALUE(MID('Raw Orders'!B636,6,2)),VALUE(MID('Raw Orders'!B636,9,2))),DATE(VALUE(MID('Raw Orders'!B636,7,4)),VALUE(MID('Raw Orders'!B636,4,2)),VALUE(LEFT('Raw Orders'!B636,2)))))</f>
        <v>46181</v>
      </c>
      <c r="B639" s="36" t="n">
        <f aca="false">IF(A639="","",A639-WEEKDAY(A639,3))</f>
        <v>46181</v>
      </c>
      <c r="C639" s="32" t="n">
        <f aca="false">IF(OR('Raw Orders'!C636&lt;&gt;"Product",'Raw Orders'!K636="Cancelled"),0,'Raw Orders'!G636)</f>
        <v>0</v>
      </c>
      <c r="D639" s="31" t="n">
        <f aca="false">IF(AND('Raw Orders'!C636="Product",'Raw Orders'!K636="Fulfilled",COUNTIFS('Raw Orders'!$A$2:$A636,'Raw Orders'!A636,'Raw Orders'!$C$2:$C636,"Product",'Raw Orders'!$K$2:$K636,"Fulfilled")=1),1,0)</f>
        <v>0</v>
      </c>
      <c r="E639" s="31" t="n">
        <f aca="false">IF(AND('Raw Orders'!C636="Product",'Raw Orders'!K636="Fulfilled"),'Raw Orders'!E636,0)</f>
        <v>0</v>
      </c>
      <c r="F639" s="32" t="n">
        <f aca="false">IF('Raw Orders'!K636="Refunded",'Raw Orders'!G636,0)</f>
        <v>0</v>
      </c>
    </row>
    <row r="640" customFormat="false" ht="15" hidden="false" customHeight="false" outlineLevel="0" collapsed="false">
      <c r="A640" s="36" t="n">
        <f aca="false">IF('Raw Orders'!B637="","",IF(MID('Raw Orders'!B637,5,1)="-",DATE(VALUE(LEFT('Raw Orders'!B637,4)),VALUE(MID('Raw Orders'!B637,6,2)),VALUE(MID('Raw Orders'!B637,9,2))),DATE(VALUE(MID('Raw Orders'!B637,7,4)),VALUE(MID('Raw Orders'!B637,4,2)),VALUE(LEFT('Raw Orders'!B637,2)))))</f>
        <v>46181</v>
      </c>
      <c r="B640" s="36" t="n">
        <f aca="false">IF(A640="","",A640-WEEKDAY(A640,3))</f>
        <v>46181</v>
      </c>
      <c r="C640" s="32" t="n">
        <f aca="false">IF(OR('Raw Orders'!C637&lt;&gt;"Product",'Raw Orders'!K637="Cancelled"),0,'Raw Orders'!G637)</f>
        <v>29</v>
      </c>
      <c r="D640" s="31" t="n">
        <f aca="false">IF(AND('Raw Orders'!C637="Product",'Raw Orders'!K637="Fulfilled",COUNTIFS('Raw Orders'!$A$2:$A637,'Raw Orders'!A637,'Raw Orders'!$C$2:$C637,"Product",'Raw Orders'!$K$2:$K637,"Fulfilled")=1),1,0)</f>
        <v>1</v>
      </c>
      <c r="E640" s="31" t="n">
        <f aca="false">IF(AND('Raw Orders'!C637="Product",'Raw Orders'!K637="Fulfilled"),'Raw Orders'!E637,0)</f>
        <v>1</v>
      </c>
      <c r="F640" s="32" t="n">
        <f aca="false">IF('Raw Orders'!K637="Refunded",'Raw Orders'!G637,0)</f>
        <v>0</v>
      </c>
    </row>
    <row r="641" customFormat="false" ht="15" hidden="false" customHeight="false" outlineLevel="0" collapsed="false">
      <c r="A641" s="36" t="n">
        <f aca="false">IF('Raw Orders'!B638="","",IF(MID('Raw Orders'!B638,5,1)="-",DATE(VALUE(LEFT('Raw Orders'!B638,4)),VALUE(MID('Raw Orders'!B638,6,2)),VALUE(MID('Raw Orders'!B638,9,2))),DATE(VALUE(MID('Raw Orders'!B638,7,4)),VALUE(MID('Raw Orders'!B638,4,2)),VALUE(LEFT('Raw Orders'!B638,2)))))</f>
        <v>46181</v>
      </c>
      <c r="B641" s="36" t="n">
        <f aca="false">IF(A641="","",A641-WEEKDAY(A641,3))</f>
        <v>46181</v>
      </c>
      <c r="C641" s="32" t="n">
        <f aca="false">IF(OR('Raw Orders'!C638&lt;&gt;"Product",'Raw Orders'!K638="Cancelled"),0,'Raw Orders'!G638)</f>
        <v>70</v>
      </c>
      <c r="D641" s="31" t="n">
        <f aca="false">IF(AND('Raw Orders'!C638="Product",'Raw Orders'!K638="Fulfilled",COUNTIFS('Raw Orders'!$A$2:$A638,'Raw Orders'!A638,'Raw Orders'!$C$2:$C638,"Product",'Raw Orders'!$K$2:$K638,"Fulfilled")=1),1,0)</f>
        <v>1</v>
      </c>
      <c r="E641" s="31" t="n">
        <f aca="false">IF(AND('Raw Orders'!C638="Product",'Raw Orders'!K638="Fulfilled"),'Raw Orders'!E638,0)</f>
        <v>2</v>
      </c>
      <c r="F641" s="32" t="n">
        <f aca="false">IF('Raw Orders'!K638="Refunded",'Raw Orders'!G638,0)</f>
        <v>0</v>
      </c>
    </row>
    <row r="642" customFormat="false" ht="15" hidden="false" customHeight="false" outlineLevel="0" collapsed="false">
      <c r="A642" s="36" t="n">
        <f aca="false">IF('Raw Orders'!B639="","",IF(MID('Raw Orders'!B639,5,1)="-",DATE(VALUE(LEFT('Raw Orders'!B639,4)),VALUE(MID('Raw Orders'!B639,6,2)),VALUE(MID('Raw Orders'!B639,9,2))),DATE(VALUE(MID('Raw Orders'!B639,7,4)),VALUE(MID('Raw Orders'!B639,4,2)),VALUE(LEFT('Raw Orders'!B639,2)))))</f>
        <v>46181</v>
      </c>
      <c r="B642" s="36" t="n">
        <f aca="false">IF(A642="","",A642-WEEKDAY(A642,3))</f>
        <v>46181</v>
      </c>
      <c r="C642" s="32" t="n">
        <f aca="false">IF(OR('Raw Orders'!C639&lt;&gt;"Product",'Raw Orders'!K639="Cancelled"),0,'Raw Orders'!G639)</f>
        <v>0</v>
      </c>
      <c r="D642" s="31" t="n">
        <f aca="false">IF(AND('Raw Orders'!C639="Product",'Raw Orders'!K639="Fulfilled",COUNTIFS('Raw Orders'!$A$2:$A639,'Raw Orders'!A639,'Raw Orders'!$C$2:$C639,"Product",'Raw Orders'!$K$2:$K639,"Fulfilled")=1),1,0)</f>
        <v>0</v>
      </c>
      <c r="E642" s="31" t="n">
        <f aca="false">IF(AND('Raw Orders'!C639="Product",'Raw Orders'!K639="Fulfilled"),'Raw Orders'!E639,0)</f>
        <v>0</v>
      </c>
      <c r="F642" s="32" t="n">
        <f aca="false">IF('Raw Orders'!K639="Refunded",'Raw Orders'!G639,0)</f>
        <v>0</v>
      </c>
    </row>
    <row r="643" customFormat="false" ht="15" hidden="false" customHeight="false" outlineLevel="0" collapsed="false">
      <c r="A643" s="36" t="n">
        <f aca="false">IF('Raw Orders'!B640="","",IF(MID('Raw Orders'!B640,5,1)="-",DATE(VALUE(LEFT('Raw Orders'!B640,4)),VALUE(MID('Raw Orders'!B640,6,2)),VALUE(MID('Raw Orders'!B640,9,2))),DATE(VALUE(MID('Raw Orders'!B640,7,4)),VALUE(MID('Raw Orders'!B640,4,2)),VALUE(LEFT('Raw Orders'!B640,2)))))</f>
        <v>46181</v>
      </c>
      <c r="B643" s="36" t="n">
        <f aca="false">IF(A643="","",A643-WEEKDAY(A643,3))</f>
        <v>46181</v>
      </c>
      <c r="C643" s="32" t="n">
        <f aca="false">IF(OR('Raw Orders'!C640&lt;&gt;"Product",'Raw Orders'!K640="Cancelled"),0,'Raw Orders'!G640)</f>
        <v>26</v>
      </c>
      <c r="D643" s="31" t="n">
        <f aca="false">IF(AND('Raw Orders'!C640="Product",'Raw Orders'!K640="Fulfilled",COUNTIFS('Raw Orders'!$A$2:$A640,'Raw Orders'!A640,'Raw Orders'!$C$2:$C640,"Product",'Raw Orders'!$K$2:$K640,"Fulfilled")=1),1,0)</f>
        <v>1</v>
      </c>
      <c r="E643" s="31" t="n">
        <f aca="false">IF(AND('Raw Orders'!C640="Product",'Raw Orders'!K640="Fulfilled"),'Raw Orders'!E640,0)</f>
        <v>1</v>
      </c>
      <c r="F643" s="32" t="n">
        <f aca="false">IF('Raw Orders'!K640="Refunded",'Raw Orders'!G640,0)</f>
        <v>0</v>
      </c>
    </row>
    <row r="644" customFormat="false" ht="15" hidden="false" customHeight="false" outlineLevel="0" collapsed="false">
      <c r="A644" s="36" t="n">
        <f aca="false">IF('Raw Orders'!B641="","",IF(MID('Raw Orders'!B641,5,1)="-",DATE(VALUE(LEFT('Raw Orders'!B641,4)),VALUE(MID('Raw Orders'!B641,6,2)),VALUE(MID('Raw Orders'!B641,9,2))),DATE(VALUE(MID('Raw Orders'!B641,7,4)),VALUE(MID('Raw Orders'!B641,4,2)),VALUE(LEFT('Raw Orders'!B641,2)))))</f>
        <v>46181</v>
      </c>
      <c r="B644" s="36" t="n">
        <f aca="false">IF(A644="","",A644-WEEKDAY(A644,3))</f>
        <v>46181</v>
      </c>
      <c r="C644" s="32" t="n">
        <f aca="false">IF(OR('Raw Orders'!C641&lt;&gt;"Product",'Raw Orders'!K641="Cancelled"),0,'Raw Orders'!G641)</f>
        <v>0</v>
      </c>
      <c r="D644" s="31" t="n">
        <f aca="false">IF(AND('Raw Orders'!C641="Product",'Raw Orders'!K641="Fulfilled",COUNTIFS('Raw Orders'!$A$2:$A641,'Raw Orders'!A641,'Raw Orders'!$C$2:$C641,"Product",'Raw Orders'!$K$2:$K641,"Fulfilled")=1),1,0)</f>
        <v>0</v>
      </c>
      <c r="E644" s="31" t="n">
        <f aca="false">IF(AND('Raw Orders'!C641="Product",'Raw Orders'!K641="Fulfilled"),'Raw Orders'!E641,0)</f>
        <v>0</v>
      </c>
      <c r="F644" s="32" t="n">
        <f aca="false">IF('Raw Orders'!K641="Refunded",'Raw Orders'!G641,0)</f>
        <v>0</v>
      </c>
    </row>
    <row r="645" customFormat="false" ht="15" hidden="false" customHeight="false" outlineLevel="0" collapsed="false">
      <c r="A645" s="36" t="n">
        <f aca="false">IF('Raw Orders'!B642="","",IF(MID('Raw Orders'!B642,5,1)="-",DATE(VALUE(LEFT('Raw Orders'!B642,4)),VALUE(MID('Raw Orders'!B642,6,2)),VALUE(MID('Raw Orders'!B642,9,2))),DATE(VALUE(MID('Raw Orders'!B642,7,4)),VALUE(MID('Raw Orders'!B642,4,2)),VALUE(LEFT('Raw Orders'!B642,2)))))</f>
        <v>46181</v>
      </c>
      <c r="B645" s="36" t="n">
        <f aca="false">IF(A645="","",A645-WEEKDAY(A645,3))</f>
        <v>46181</v>
      </c>
      <c r="C645" s="32" t="n">
        <f aca="false">IF(OR('Raw Orders'!C642&lt;&gt;"Product",'Raw Orders'!K642="Cancelled"),0,'Raw Orders'!G642)</f>
        <v>178</v>
      </c>
      <c r="D645" s="31" t="n">
        <f aca="false">IF(AND('Raw Orders'!C642="Product",'Raw Orders'!K642="Fulfilled",COUNTIFS('Raw Orders'!$A$2:$A642,'Raw Orders'!A642,'Raw Orders'!$C$2:$C642,"Product",'Raw Orders'!$K$2:$K642,"Fulfilled")=1),1,0)</f>
        <v>0</v>
      </c>
      <c r="E645" s="31" t="n">
        <f aca="false">IF(AND('Raw Orders'!C642="Product",'Raw Orders'!K642="Fulfilled"),'Raw Orders'!E642,0)</f>
        <v>2</v>
      </c>
      <c r="F645" s="32" t="n">
        <f aca="false">IF('Raw Orders'!K642="Refunded",'Raw Orders'!G642,0)</f>
        <v>0</v>
      </c>
    </row>
    <row r="646" customFormat="false" ht="15" hidden="false" customHeight="false" outlineLevel="0" collapsed="false">
      <c r="A646" s="36" t="n">
        <f aca="false">IF('Raw Orders'!B643="","",IF(MID('Raw Orders'!B643,5,1)="-",DATE(VALUE(LEFT('Raw Orders'!B643,4)),VALUE(MID('Raw Orders'!B643,6,2)),VALUE(MID('Raw Orders'!B643,9,2))),DATE(VALUE(MID('Raw Orders'!B643,7,4)),VALUE(MID('Raw Orders'!B643,4,2)),VALUE(LEFT('Raw Orders'!B643,2)))))</f>
        <v>46181</v>
      </c>
      <c r="B646" s="36" t="n">
        <f aca="false">IF(A646="","",A646-WEEKDAY(A646,3))</f>
        <v>46181</v>
      </c>
      <c r="C646" s="32" t="n">
        <f aca="false">IF(OR('Raw Orders'!C643&lt;&gt;"Product",'Raw Orders'!K643="Cancelled"),0,'Raw Orders'!G643)</f>
        <v>-58</v>
      </c>
      <c r="D646" s="31" t="n">
        <f aca="false">IF(AND('Raw Orders'!C643="Product",'Raw Orders'!K643="Fulfilled",COUNTIFS('Raw Orders'!$A$2:$A643,'Raw Orders'!A643,'Raw Orders'!$C$2:$C643,"Product",'Raw Orders'!$K$2:$K643,"Fulfilled")=1),1,0)</f>
        <v>0</v>
      </c>
      <c r="E646" s="31" t="n">
        <f aca="false">IF(AND('Raw Orders'!C643="Product",'Raw Orders'!K643="Fulfilled"),'Raw Orders'!E643,0)</f>
        <v>0</v>
      </c>
      <c r="F646" s="32" t="n">
        <f aca="false">IF('Raw Orders'!K643="Refunded",'Raw Orders'!G643,0)</f>
        <v>-58</v>
      </c>
    </row>
    <row r="647" customFormat="false" ht="15" hidden="false" customHeight="false" outlineLevel="0" collapsed="false">
      <c r="A647" s="36" t="n">
        <f aca="false">IF('Raw Orders'!B644="","",IF(MID('Raw Orders'!B644,5,1)="-",DATE(VALUE(LEFT('Raw Orders'!B644,4)),VALUE(MID('Raw Orders'!B644,6,2)),VALUE(MID('Raw Orders'!B644,9,2))),DATE(VALUE(MID('Raw Orders'!B644,7,4)),VALUE(MID('Raw Orders'!B644,4,2)),VALUE(LEFT('Raw Orders'!B644,2)))))</f>
        <v>46181</v>
      </c>
      <c r="B647" s="36" t="n">
        <f aca="false">IF(A647="","",A647-WEEKDAY(A647,3))</f>
        <v>46181</v>
      </c>
      <c r="C647" s="32" t="n">
        <f aca="false">IF(OR('Raw Orders'!C644&lt;&gt;"Product",'Raw Orders'!K644="Cancelled"),0,'Raw Orders'!G644)</f>
        <v>-32</v>
      </c>
      <c r="D647" s="31" t="n">
        <f aca="false">IF(AND('Raw Orders'!C644="Product",'Raw Orders'!K644="Fulfilled",COUNTIFS('Raw Orders'!$A$2:$A644,'Raw Orders'!A644,'Raw Orders'!$C$2:$C644,"Product",'Raw Orders'!$K$2:$K644,"Fulfilled")=1),1,0)</f>
        <v>0</v>
      </c>
      <c r="E647" s="31" t="n">
        <f aca="false">IF(AND('Raw Orders'!C644="Product",'Raw Orders'!K644="Fulfilled"),'Raw Orders'!E644,0)</f>
        <v>0</v>
      </c>
      <c r="F647" s="32" t="n">
        <f aca="false">IF('Raw Orders'!K644="Refunded",'Raw Orders'!G644,0)</f>
        <v>-32</v>
      </c>
    </row>
    <row r="648" customFormat="false" ht="15" hidden="false" customHeight="false" outlineLevel="0" collapsed="false">
      <c r="A648" s="36" t="n">
        <f aca="false">IF('Raw Orders'!B645="","",IF(MID('Raw Orders'!B645,5,1)="-",DATE(VALUE(LEFT('Raw Orders'!B645,4)),VALUE(MID('Raw Orders'!B645,6,2)),VALUE(MID('Raw Orders'!B645,9,2))),DATE(VALUE(MID('Raw Orders'!B645,7,4)),VALUE(MID('Raw Orders'!B645,4,2)),VALUE(LEFT('Raw Orders'!B645,2)))))</f>
        <v>46181</v>
      </c>
      <c r="B648" s="36" t="n">
        <f aca="false">IF(A648="","",A648-WEEKDAY(A648,3))</f>
        <v>46181</v>
      </c>
      <c r="C648" s="32" t="n">
        <f aca="false">IF(OR('Raw Orders'!C645&lt;&gt;"Product",'Raw Orders'!K645="Cancelled"),0,'Raw Orders'!G645)</f>
        <v>0</v>
      </c>
      <c r="D648" s="31" t="n">
        <f aca="false">IF(AND('Raw Orders'!C645="Product",'Raw Orders'!K645="Fulfilled",COUNTIFS('Raw Orders'!$A$2:$A645,'Raw Orders'!A645,'Raw Orders'!$C$2:$C645,"Product",'Raw Orders'!$K$2:$K645,"Fulfilled")=1),1,0)</f>
        <v>0</v>
      </c>
      <c r="E648" s="31" t="n">
        <f aca="false">IF(AND('Raw Orders'!C645="Product",'Raw Orders'!K645="Fulfilled"),'Raw Orders'!E645,0)</f>
        <v>0</v>
      </c>
      <c r="F648" s="32" t="n">
        <f aca="false">IF('Raw Orders'!K645="Refunded",'Raw Orders'!G645,0)</f>
        <v>0</v>
      </c>
    </row>
    <row r="649" customFormat="false" ht="15" hidden="false" customHeight="false" outlineLevel="0" collapsed="false">
      <c r="A649" s="36" t="n">
        <f aca="false">IF('Raw Orders'!B646="","",IF(MID('Raw Orders'!B646,5,1)="-",DATE(VALUE(LEFT('Raw Orders'!B646,4)),VALUE(MID('Raw Orders'!B646,6,2)),VALUE(MID('Raw Orders'!B646,9,2))),DATE(VALUE(MID('Raw Orders'!B646,7,4)),VALUE(MID('Raw Orders'!B646,4,2)),VALUE(LEFT('Raw Orders'!B646,2)))))</f>
        <v>46181</v>
      </c>
      <c r="B649" s="36" t="n">
        <f aca="false">IF(A649="","",A649-WEEKDAY(A649,3))</f>
        <v>46181</v>
      </c>
      <c r="C649" s="32" t="n">
        <f aca="false">IF(OR('Raw Orders'!C646&lt;&gt;"Product",'Raw Orders'!K646="Cancelled"),0,'Raw Orders'!G646)</f>
        <v>0</v>
      </c>
      <c r="D649" s="31" t="n">
        <f aca="false">IF(AND('Raw Orders'!C646="Product",'Raw Orders'!K646="Fulfilled",COUNTIFS('Raw Orders'!$A$2:$A646,'Raw Orders'!A646,'Raw Orders'!$C$2:$C646,"Product",'Raw Orders'!$K$2:$K646,"Fulfilled")=1),1,0)</f>
        <v>0</v>
      </c>
      <c r="E649" s="31" t="n">
        <f aca="false">IF(AND('Raw Orders'!C646="Product",'Raw Orders'!K646="Fulfilled"),'Raw Orders'!E646,0)</f>
        <v>0</v>
      </c>
      <c r="F649" s="32" t="n">
        <f aca="false">IF('Raw Orders'!K646="Refunded",'Raw Orders'!G646,0)</f>
        <v>0</v>
      </c>
    </row>
    <row r="650" customFormat="false" ht="15" hidden="false" customHeight="false" outlineLevel="0" collapsed="false">
      <c r="A650" s="36" t="n">
        <f aca="false">IF('Raw Orders'!B647="","",IF(MID('Raw Orders'!B647,5,1)="-",DATE(VALUE(LEFT('Raw Orders'!B647,4)),VALUE(MID('Raw Orders'!B647,6,2)),VALUE(MID('Raw Orders'!B647,9,2))),DATE(VALUE(MID('Raw Orders'!B647,7,4)),VALUE(MID('Raw Orders'!B647,4,2)),VALUE(LEFT('Raw Orders'!B647,2)))))</f>
        <v>46181</v>
      </c>
      <c r="B650" s="36" t="n">
        <f aca="false">IF(A650="","",A650-WEEKDAY(A650,3))</f>
        <v>46181</v>
      </c>
      <c r="C650" s="32" t="n">
        <f aca="false">IF(OR('Raw Orders'!C647&lt;&gt;"Product",'Raw Orders'!K647="Cancelled"),0,'Raw Orders'!G647)</f>
        <v>69</v>
      </c>
      <c r="D650" s="31" t="n">
        <f aca="false">IF(AND('Raw Orders'!C647="Product",'Raw Orders'!K647="Fulfilled",COUNTIFS('Raw Orders'!$A$2:$A647,'Raw Orders'!A647,'Raw Orders'!$C$2:$C647,"Product",'Raw Orders'!$K$2:$K647,"Fulfilled")=1),1,0)</f>
        <v>1</v>
      </c>
      <c r="E650" s="31" t="n">
        <f aca="false">IF(AND('Raw Orders'!C647="Product",'Raw Orders'!K647="Fulfilled"),'Raw Orders'!E647,0)</f>
        <v>1</v>
      </c>
      <c r="F650" s="32" t="n">
        <f aca="false">IF('Raw Orders'!K647="Refunded",'Raw Orders'!G647,0)</f>
        <v>0</v>
      </c>
    </row>
    <row r="651" customFormat="false" ht="15" hidden="false" customHeight="false" outlineLevel="0" collapsed="false">
      <c r="A651" s="36" t="n">
        <f aca="false">IF('Raw Orders'!B648="","",IF(MID('Raw Orders'!B648,5,1)="-",DATE(VALUE(LEFT('Raw Orders'!B648,4)),VALUE(MID('Raw Orders'!B648,6,2)),VALUE(MID('Raw Orders'!B648,9,2))),DATE(VALUE(MID('Raw Orders'!B648,7,4)),VALUE(MID('Raw Orders'!B648,4,2)),VALUE(LEFT('Raw Orders'!B648,2)))))</f>
        <v>46181</v>
      </c>
      <c r="B651" s="36" t="n">
        <f aca="false">IF(A651="","",A651-WEEKDAY(A651,3))</f>
        <v>46181</v>
      </c>
      <c r="C651" s="32" t="n">
        <f aca="false">IF(OR('Raw Orders'!C648&lt;&gt;"Product",'Raw Orders'!K648="Cancelled"),0,'Raw Orders'!G648)</f>
        <v>63.75</v>
      </c>
      <c r="D651" s="31" t="n">
        <f aca="false">IF(AND('Raw Orders'!C648="Product",'Raw Orders'!K648="Fulfilled",COUNTIFS('Raw Orders'!$A$2:$A648,'Raw Orders'!A648,'Raw Orders'!$C$2:$C648,"Product",'Raw Orders'!$K$2:$K648,"Fulfilled")=1),1,0)</f>
        <v>1</v>
      </c>
      <c r="E651" s="31" t="n">
        <f aca="false">IF(AND('Raw Orders'!C648="Product",'Raw Orders'!K648="Fulfilled"),'Raw Orders'!E648,0)</f>
        <v>1</v>
      </c>
      <c r="F651" s="32" t="n">
        <f aca="false">IF('Raw Orders'!K648="Refunded",'Raw Orders'!G648,0)</f>
        <v>0</v>
      </c>
    </row>
    <row r="652" customFormat="false" ht="15" hidden="false" customHeight="false" outlineLevel="0" collapsed="false">
      <c r="A652" s="36" t="n">
        <f aca="false">IF('Raw Orders'!B649="","",IF(MID('Raw Orders'!B649,5,1)="-",DATE(VALUE(LEFT('Raw Orders'!B649,4)),VALUE(MID('Raw Orders'!B649,6,2)),VALUE(MID('Raw Orders'!B649,9,2))),DATE(VALUE(MID('Raw Orders'!B649,7,4)),VALUE(MID('Raw Orders'!B649,4,2)),VALUE(LEFT('Raw Orders'!B649,2)))))</f>
        <v>46181</v>
      </c>
      <c r="B652" s="36" t="n">
        <f aca="false">IF(A652="","",A652-WEEKDAY(A652,3))</f>
        <v>46181</v>
      </c>
      <c r="C652" s="32" t="n">
        <f aca="false">IF(OR('Raw Orders'!C649&lt;&gt;"Product",'Raw Orders'!K649="Cancelled"),0,'Raw Orders'!G649)</f>
        <v>0</v>
      </c>
      <c r="D652" s="31" t="n">
        <f aca="false">IF(AND('Raw Orders'!C649="Product",'Raw Orders'!K649="Fulfilled",COUNTIFS('Raw Orders'!$A$2:$A649,'Raw Orders'!A649,'Raw Orders'!$C$2:$C649,"Product",'Raw Orders'!$K$2:$K649,"Fulfilled")=1),1,0)</f>
        <v>0</v>
      </c>
      <c r="E652" s="31" t="n">
        <f aca="false">IF(AND('Raw Orders'!C649="Product",'Raw Orders'!K649="Fulfilled"),'Raw Orders'!E649,0)</f>
        <v>0</v>
      </c>
      <c r="F652" s="32" t="n">
        <f aca="false">IF('Raw Orders'!K649="Refunded",'Raw Orders'!G649,0)</f>
        <v>0</v>
      </c>
    </row>
    <row r="653" customFormat="false" ht="15" hidden="false" customHeight="false" outlineLevel="0" collapsed="false">
      <c r="A653" s="36" t="n">
        <f aca="false">IF('Raw Orders'!B650="","",IF(MID('Raw Orders'!B650,5,1)="-",DATE(VALUE(LEFT('Raw Orders'!B650,4)),VALUE(MID('Raw Orders'!B650,6,2)),VALUE(MID('Raw Orders'!B650,9,2))),DATE(VALUE(MID('Raw Orders'!B650,7,4)),VALUE(MID('Raw Orders'!B650,4,2)),VALUE(LEFT('Raw Orders'!B650,2)))))</f>
        <v>46181</v>
      </c>
      <c r="B653" s="36" t="n">
        <f aca="false">IF(A653="","",A653-WEEKDAY(A653,3))</f>
        <v>46181</v>
      </c>
      <c r="C653" s="32" t="n">
        <f aca="false">IF(OR('Raw Orders'!C650&lt;&gt;"Product",'Raw Orders'!K650="Cancelled"),0,'Raw Orders'!G650)</f>
        <v>39</v>
      </c>
      <c r="D653" s="31" t="n">
        <f aca="false">IF(AND('Raw Orders'!C650="Product",'Raw Orders'!K650="Fulfilled",COUNTIFS('Raw Orders'!$A$2:$A650,'Raw Orders'!A650,'Raw Orders'!$C$2:$C650,"Product",'Raw Orders'!$K$2:$K650,"Fulfilled")=1),1,0)</f>
        <v>1</v>
      </c>
      <c r="E653" s="31" t="n">
        <f aca="false">IF(AND('Raw Orders'!C650="Product",'Raw Orders'!K650="Fulfilled"),'Raw Orders'!E650,0)</f>
        <v>1</v>
      </c>
      <c r="F653" s="32" t="n">
        <f aca="false">IF('Raw Orders'!K650="Refunded",'Raw Orders'!G650,0)</f>
        <v>0</v>
      </c>
    </row>
    <row r="654" customFormat="false" ht="15" hidden="false" customHeight="false" outlineLevel="0" collapsed="false">
      <c r="A654" s="36" t="n">
        <f aca="false">IF('Raw Orders'!B651="","",IF(MID('Raw Orders'!B651,5,1)="-",DATE(VALUE(LEFT('Raw Orders'!B651,4)),VALUE(MID('Raw Orders'!B651,6,2)),VALUE(MID('Raw Orders'!B651,9,2))),DATE(VALUE(MID('Raw Orders'!B651,7,4)),VALUE(MID('Raw Orders'!B651,4,2)),VALUE(LEFT('Raw Orders'!B651,2)))))</f>
        <v>46182</v>
      </c>
      <c r="B654" s="36" t="n">
        <f aca="false">IF(A654="","",A654-WEEKDAY(A654,3))</f>
        <v>46181</v>
      </c>
      <c r="C654" s="32" t="n">
        <f aca="false">IF(OR('Raw Orders'!C651&lt;&gt;"Product",'Raw Orders'!K651="Cancelled"),0,'Raw Orders'!G651)</f>
        <v>0</v>
      </c>
      <c r="D654" s="31" t="n">
        <f aca="false">IF(AND('Raw Orders'!C651="Product",'Raw Orders'!K651="Fulfilled",COUNTIFS('Raw Orders'!$A$2:$A651,'Raw Orders'!A651,'Raw Orders'!$C$2:$C651,"Product",'Raw Orders'!$K$2:$K651,"Fulfilled")=1),1,0)</f>
        <v>0</v>
      </c>
      <c r="E654" s="31" t="n">
        <f aca="false">IF(AND('Raw Orders'!C651="Product",'Raw Orders'!K651="Fulfilled"),'Raw Orders'!E651,0)</f>
        <v>0</v>
      </c>
      <c r="F654" s="32" t="n">
        <f aca="false">IF('Raw Orders'!K651="Refunded",'Raw Orders'!G651,0)</f>
        <v>0</v>
      </c>
    </row>
    <row r="655" customFormat="false" ht="15" hidden="false" customHeight="false" outlineLevel="0" collapsed="false">
      <c r="A655" s="36" t="n">
        <f aca="false">IF('Raw Orders'!B652="","",IF(MID('Raw Orders'!B652,5,1)="-",DATE(VALUE(LEFT('Raw Orders'!B652,4)),VALUE(MID('Raw Orders'!B652,6,2)),VALUE(MID('Raw Orders'!B652,9,2))),DATE(VALUE(MID('Raw Orders'!B652,7,4)),VALUE(MID('Raw Orders'!B652,4,2)),VALUE(LEFT('Raw Orders'!B652,2)))))</f>
        <v>46182</v>
      </c>
      <c r="B655" s="36" t="n">
        <f aca="false">IF(A655="","",A655-WEEKDAY(A655,3))</f>
        <v>46181</v>
      </c>
      <c r="C655" s="32" t="n">
        <f aca="false">IF(OR('Raw Orders'!C652&lt;&gt;"Product",'Raw Orders'!K652="Cancelled"),0,'Raw Orders'!G652)</f>
        <v>75</v>
      </c>
      <c r="D655" s="31" t="n">
        <f aca="false">IF(AND('Raw Orders'!C652="Product",'Raw Orders'!K652="Fulfilled",COUNTIFS('Raw Orders'!$A$2:$A652,'Raw Orders'!A652,'Raw Orders'!$C$2:$C652,"Product",'Raw Orders'!$K$2:$K652,"Fulfilled")=1),1,0)</f>
        <v>1</v>
      </c>
      <c r="E655" s="31" t="n">
        <f aca="false">IF(AND('Raw Orders'!C652="Product",'Raw Orders'!K652="Fulfilled"),'Raw Orders'!E652,0)</f>
        <v>1</v>
      </c>
      <c r="F655" s="32" t="n">
        <f aca="false">IF('Raw Orders'!K652="Refunded",'Raw Orders'!G652,0)</f>
        <v>0</v>
      </c>
    </row>
    <row r="656" customFormat="false" ht="15" hidden="false" customHeight="false" outlineLevel="0" collapsed="false">
      <c r="A656" s="36" t="n">
        <f aca="false">IF('Raw Orders'!B653="","",IF(MID('Raw Orders'!B653,5,1)="-",DATE(VALUE(LEFT('Raw Orders'!B653,4)),VALUE(MID('Raw Orders'!B653,6,2)),VALUE(MID('Raw Orders'!B653,9,2))),DATE(VALUE(MID('Raw Orders'!B653,7,4)),VALUE(MID('Raw Orders'!B653,4,2)),VALUE(LEFT('Raw Orders'!B653,2)))))</f>
        <v>46182</v>
      </c>
      <c r="B656" s="36" t="n">
        <f aca="false">IF(A656="","",A656-WEEKDAY(A656,3))</f>
        <v>46181</v>
      </c>
      <c r="C656" s="32" t="n">
        <f aca="false">IF(OR('Raw Orders'!C653&lt;&gt;"Product",'Raw Orders'!K653="Cancelled"),0,'Raw Orders'!G653)</f>
        <v>0</v>
      </c>
      <c r="D656" s="31" t="n">
        <f aca="false">IF(AND('Raw Orders'!C653="Product",'Raw Orders'!K653="Fulfilled",COUNTIFS('Raw Orders'!$A$2:$A653,'Raw Orders'!A653,'Raw Orders'!$C$2:$C653,"Product",'Raw Orders'!$K$2:$K653,"Fulfilled")=1),1,0)</f>
        <v>0</v>
      </c>
      <c r="E656" s="31" t="n">
        <f aca="false">IF(AND('Raw Orders'!C653="Product",'Raw Orders'!K653="Fulfilled"),'Raw Orders'!E653,0)</f>
        <v>0</v>
      </c>
      <c r="F656" s="32" t="n">
        <f aca="false">IF('Raw Orders'!K653="Refunded",'Raw Orders'!G653,0)</f>
        <v>0</v>
      </c>
    </row>
    <row r="657" customFormat="false" ht="15" hidden="false" customHeight="false" outlineLevel="0" collapsed="false">
      <c r="A657" s="36" t="n">
        <f aca="false">IF('Raw Orders'!B654="","",IF(MID('Raw Orders'!B654,5,1)="-",DATE(VALUE(LEFT('Raw Orders'!B654,4)),VALUE(MID('Raw Orders'!B654,6,2)),VALUE(MID('Raw Orders'!B654,9,2))),DATE(VALUE(MID('Raw Orders'!B654,7,4)),VALUE(MID('Raw Orders'!B654,4,2)),VALUE(LEFT('Raw Orders'!B654,2)))))</f>
        <v>46182</v>
      </c>
      <c r="B657" s="36" t="n">
        <f aca="false">IF(A657="","",A657-WEEKDAY(A657,3))</f>
        <v>46181</v>
      </c>
      <c r="C657" s="32" t="n">
        <f aca="false">IF(OR('Raw Orders'!C654&lt;&gt;"Product",'Raw Orders'!K654="Cancelled"),0,'Raw Orders'!G654)</f>
        <v>80.1</v>
      </c>
      <c r="D657" s="31" t="n">
        <f aca="false">IF(AND('Raw Orders'!C654="Product",'Raw Orders'!K654="Fulfilled",COUNTIFS('Raw Orders'!$A$2:$A654,'Raw Orders'!A654,'Raw Orders'!$C$2:$C654,"Product",'Raw Orders'!$K$2:$K654,"Fulfilled")=1),1,0)</f>
        <v>1</v>
      </c>
      <c r="E657" s="31" t="n">
        <f aca="false">IF(AND('Raw Orders'!C654="Product",'Raw Orders'!K654="Fulfilled"),'Raw Orders'!E654,0)</f>
        <v>1</v>
      </c>
      <c r="F657" s="32" t="n">
        <f aca="false">IF('Raw Orders'!K654="Refunded",'Raw Orders'!G654,0)</f>
        <v>0</v>
      </c>
    </row>
    <row r="658" customFormat="false" ht="15" hidden="false" customHeight="false" outlineLevel="0" collapsed="false">
      <c r="A658" s="36" t="n">
        <f aca="false">IF('Raw Orders'!B655="","",IF(MID('Raw Orders'!B655,5,1)="-",DATE(VALUE(LEFT('Raw Orders'!B655,4)),VALUE(MID('Raw Orders'!B655,6,2)),VALUE(MID('Raw Orders'!B655,9,2))),DATE(VALUE(MID('Raw Orders'!B655,7,4)),VALUE(MID('Raw Orders'!B655,4,2)),VALUE(LEFT('Raw Orders'!B655,2)))))</f>
        <v>46182</v>
      </c>
      <c r="B658" s="36" t="n">
        <f aca="false">IF(A658="","",A658-WEEKDAY(A658,3))</f>
        <v>46181</v>
      </c>
      <c r="C658" s="32" t="n">
        <f aca="false">IF(OR('Raw Orders'!C655&lt;&gt;"Product",'Raw Orders'!K655="Cancelled"),0,'Raw Orders'!G655)</f>
        <v>0</v>
      </c>
      <c r="D658" s="31" t="n">
        <f aca="false">IF(AND('Raw Orders'!C655="Product",'Raw Orders'!K655="Fulfilled",COUNTIFS('Raw Orders'!$A$2:$A655,'Raw Orders'!A655,'Raw Orders'!$C$2:$C655,"Product",'Raw Orders'!$K$2:$K655,"Fulfilled")=1),1,0)</f>
        <v>0</v>
      </c>
      <c r="E658" s="31" t="n">
        <f aca="false">IF(AND('Raw Orders'!C655="Product",'Raw Orders'!K655="Fulfilled"),'Raw Orders'!E655,0)</f>
        <v>0</v>
      </c>
      <c r="F658" s="32" t="n">
        <f aca="false">IF('Raw Orders'!K655="Refunded",'Raw Orders'!G655,0)</f>
        <v>0</v>
      </c>
    </row>
    <row r="659" customFormat="false" ht="15" hidden="false" customHeight="false" outlineLevel="0" collapsed="false">
      <c r="A659" s="36" t="n">
        <f aca="false">IF('Raw Orders'!B656="","",IF(MID('Raw Orders'!B656,5,1)="-",DATE(VALUE(LEFT('Raw Orders'!B656,4)),VALUE(MID('Raw Orders'!B656,6,2)),VALUE(MID('Raw Orders'!B656,9,2))),DATE(VALUE(MID('Raw Orders'!B656,7,4)),VALUE(MID('Raw Orders'!B656,4,2)),VALUE(LEFT('Raw Orders'!B656,2)))))</f>
        <v>46182</v>
      </c>
      <c r="B659" s="36" t="n">
        <f aca="false">IF(A659="","",A659-WEEKDAY(A659,3))</f>
        <v>46181</v>
      </c>
      <c r="C659" s="32" t="n">
        <f aca="false">IF(OR('Raw Orders'!C656&lt;&gt;"Product",'Raw Orders'!K656="Cancelled"),0,'Raw Orders'!G656)</f>
        <v>26</v>
      </c>
      <c r="D659" s="31" t="n">
        <f aca="false">IF(AND('Raw Orders'!C656="Product",'Raw Orders'!K656="Fulfilled",COUNTIFS('Raw Orders'!$A$2:$A656,'Raw Orders'!A656,'Raw Orders'!$C$2:$C656,"Product",'Raw Orders'!$K$2:$K656,"Fulfilled")=1),1,0)</f>
        <v>1</v>
      </c>
      <c r="E659" s="31" t="n">
        <f aca="false">IF(AND('Raw Orders'!C656="Product",'Raw Orders'!K656="Fulfilled"),'Raw Orders'!E656,0)</f>
        <v>1</v>
      </c>
      <c r="F659" s="32" t="n">
        <f aca="false">IF('Raw Orders'!K656="Refunded",'Raw Orders'!G656,0)</f>
        <v>0</v>
      </c>
    </row>
    <row r="660" customFormat="false" ht="15" hidden="false" customHeight="false" outlineLevel="0" collapsed="false">
      <c r="A660" s="36" t="n">
        <f aca="false">IF('Raw Orders'!B657="","",IF(MID('Raw Orders'!B657,5,1)="-",DATE(VALUE(LEFT('Raw Orders'!B657,4)),VALUE(MID('Raw Orders'!B657,6,2)),VALUE(MID('Raw Orders'!B657,9,2))),DATE(VALUE(MID('Raw Orders'!B657,7,4)),VALUE(MID('Raw Orders'!B657,4,2)),VALUE(LEFT('Raw Orders'!B657,2)))))</f>
        <v>46182</v>
      </c>
      <c r="B660" s="36" t="n">
        <f aca="false">IF(A660="","",A660-WEEKDAY(A660,3))</f>
        <v>46181</v>
      </c>
      <c r="C660" s="32" t="n">
        <f aca="false">IF(OR('Raw Orders'!C657&lt;&gt;"Product",'Raw Orders'!K657="Cancelled"),0,'Raw Orders'!G657)</f>
        <v>22</v>
      </c>
      <c r="D660" s="31" t="n">
        <f aca="false">IF(AND('Raw Orders'!C657="Product",'Raw Orders'!K657="Fulfilled",COUNTIFS('Raw Orders'!$A$2:$A657,'Raw Orders'!A657,'Raw Orders'!$C$2:$C657,"Product",'Raw Orders'!$K$2:$K657,"Fulfilled")=1),1,0)</f>
        <v>0</v>
      </c>
      <c r="E660" s="31" t="n">
        <f aca="false">IF(AND('Raw Orders'!C657="Product",'Raw Orders'!K657="Fulfilled"),'Raw Orders'!E657,0)</f>
        <v>1</v>
      </c>
      <c r="F660" s="32" t="n">
        <f aca="false">IF('Raw Orders'!K657="Refunded",'Raw Orders'!G657,0)</f>
        <v>0</v>
      </c>
    </row>
    <row r="661" customFormat="false" ht="15" hidden="false" customHeight="false" outlineLevel="0" collapsed="false">
      <c r="A661" s="36" t="n">
        <f aca="false">IF('Raw Orders'!B658="","",IF(MID('Raw Orders'!B658,5,1)="-",DATE(VALUE(LEFT('Raw Orders'!B658,4)),VALUE(MID('Raw Orders'!B658,6,2)),VALUE(MID('Raw Orders'!B658,9,2))),DATE(VALUE(MID('Raw Orders'!B658,7,4)),VALUE(MID('Raw Orders'!B658,4,2)),VALUE(LEFT('Raw Orders'!B658,2)))))</f>
        <v>46182</v>
      </c>
      <c r="B661" s="36" t="n">
        <f aca="false">IF(A661="","",A661-WEEKDAY(A661,3))</f>
        <v>46181</v>
      </c>
      <c r="C661" s="32" t="n">
        <f aca="false">IF(OR('Raw Orders'!C658&lt;&gt;"Product",'Raw Orders'!K658="Cancelled"),0,'Raw Orders'!G658)</f>
        <v>0</v>
      </c>
      <c r="D661" s="31" t="n">
        <f aca="false">IF(AND('Raw Orders'!C658="Product",'Raw Orders'!K658="Fulfilled",COUNTIFS('Raw Orders'!$A$2:$A658,'Raw Orders'!A658,'Raw Orders'!$C$2:$C658,"Product",'Raw Orders'!$K$2:$K658,"Fulfilled")=1),1,0)</f>
        <v>0</v>
      </c>
      <c r="E661" s="31" t="n">
        <f aca="false">IF(AND('Raw Orders'!C658="Product",'Raw Orders'!K658="Fulfilled"),'Raw Orders'!E658,0)</f>
        <v>0</v>
      </c>
      <c r="F661" s="32" t="n">
        <f aca="false">IF('Raw Orders'!K658="Refunded",'Raw Orders'!G658,0)</f>
        <v>0</v>
      </c>
    </row>
    <row r="662" customFormat="false" ht="15" hidden="false" customHeight="false" outlineLevel="0" collapsed="false">
      <c r="A662" s="36" t="n">
        <f aca="false">IF('Raw Orders'!B659="","",IF(MID('Raw Orders'!B659,5,1)="-",DATE(VALUE(LEFT('Raw Orders'!B659,4)),VALUE(MID('Raw Orders'!B659,6,2)),VALUE(MID('Raw Orders'!B659,9,2))),DATE(VALUE(MID('Raw Orders'!B659,7,4)),VALUE(MID('Raw Orders'!B659,4,2)),VALUE(LEFT('Raw Orders'!B659,2)))))</f>
        <v>46182</v>
      </c>
      <c r="B662" s="36" t="n">
        <f aca="false">IF(A662="","",A662-WEEKDAY(A662,3))</f>
        <v>46181</v>
      </c>
      <c r="C662" s="32" t="n">
        <f aca="false">IF(OR('Raw Orders'!C659&lt;&gt;"Product",'Raw Orders'!K659="Cancelled"),0,'Raw Orders'!G659)</f>
        <v>14</v>
      </c>
      <c r="D662" s="31" t="n">
        <f aca="false">IF(AND('Raw Orders'!C659="Product",'Raw Orders'!K659="Fulfilled",COUNTIFS('Raw Orders'!$A$2:$A659,'Raw Orders'!A659,'Raw Orders'!$C$2:$C659,"Product",'Raw Orders'!$K$2:$K659,"Fulfilled")=1),1,0)</f>
        <v>1</v>
      </c>
      <c r="E662" s="31" t="n">
        <f aca="false">IF(AND('Raw Orders'!C659="Product",'Raw Orders'!K659="Fulfilled"),'Raw Orders'!E659,0)</f>
        <v>1</v>
      </c>
      <c r="F662" s="32" t="n">
        <f aca="false">IF('Raw Orders'!K659="Refunded",'Raw Orders'!G659,0)</f>
        <v>0</v>
      </c>
    </row>
    <row r="663" customFormat="false" ht="15" hidden="false" customHeight="false" outlineLevel="0" collapsed="false">
      <c r="A663" s="36" t="n">
        <f aca="false">IF('Raw Orders'!B660="","",IF(MID('Raw Orders'!B660,5,1)="-",DATE(VALUE(LEFT('Raw Orders'!B660,4)),VALUE(MID('Raw Orders'!B660,6,2)),VALUE(MID('Raw Orders'!B660,9,2))),DATE(VALUE(MID('Raw Orders'!B660,7,4)),VALUE(MID('Raw Orders'!B660,4,2)),VALUE(LEFT('Raw Orders'!B660,2)))))</f>
        <v>46182</v>
      </c>
      <c r="B663" s="36" t="n">
        <f aca="false">IF(A663="","",A663-WEEKDAY(A663,3))</f>
        <v>46181</v>
      </c>
      <c r="C663" s="32" t="n">
        <f aca="false">IF(OR('Raw Orders'!C660&lt;&gt;"Product",'Raw Orders'!K660="Cancelled"),0,'Raw Orders'!G660)</f>
        <v>0</v>
      </c>
      <c r="D663" s="31" t="n">
        <f aca="false">IF(AND('Raw Orders'!C660="Product",'Raw Orders'!K660="Fulfilled",COUNTIFS('Raw Orders'!$A$2:$A660,'Raw Orders'!A660,'Raw Orders'!$C$2:$C660,"Product",'Raw Orders'!$K$2:$K660,"Fulfilled")=1),1,0)</f>
        <v>0</v>
      </c>
      <c r="E663" s="31" t="n">
        <f aca="false">IF(AND('Raw Orders'!C660="Product",'Raw Orders'!K660="Fulfilled"),'Raw Orders'!E660,0)</f>
        <v>0</v>
      </c>
      <c r="F663" s="32" t="n">
        <f aca="false">IF('Raw Orders'!K660="Refunded",'Raw Orders'!G660,0)</f>
        <v>0</v>
      </c>
    </row>
    <row r="664" customFormat="false" ht="15" hidden="false" customHeight="false" outlineLevel="0" collapsed="false">
      <c r="A664" s="36" t="n">
        <f aca="false">IF('Raw Orders'!B661="","",IF(MID('Raw Orders'!B661,5,1)="-",DATE(VALUE(LEFT('Raw Orders'!B661,4)),VALUE(MID('Raw Orders'!B661,6,2)),VALUE(MID('Raw Orders'!B661,9,2))),DATE(VALUE(MID('Raw Orders'!B661,7,4)),VALUE(MID('Raw Orders'!B661,4,2)),VALUE(LEFT('Raw Orders'!B661,2)))))</f>
        <v>46182</v>
      </c>
      <c r="B664" s="36" t="n">
        <f aca="false">IF(A664="","",A664-WEEKDAY(A664,3))</f>
        <v>46181</v>
      </c>
      <c r="C664" s="32" t="n">
        <f aca="false">IF(OR('Raw Orders'!C661&lt;&gt;"Product",'Raw Orders'!K661="Cancelled"),0,'Raw Orders'!G661)</f>
        <v>0</v>
      </c>
      <c r="D664" s="31" t="n">
        <f aca="false">IF(AND('Raw Orders'!C661="Product",'Raw Orders'!K661="Fulfilled",COUNTIFS('Raw Orders'!$A$2:$A661,'Raw Orders'!A661,'Raw Orders'!$C$2:$C661,"Product",'Raw Orders'!$K$2:$K661,"Fulfilled")=1),1,0)</f>
        <v>0</v>
      </c>
      <c r="E664" s="31" t="n">
        <f aca="false">IF(AND('Raw Orders'!C661="Product",'Raw Orders'!K661="Fulfilled"),'Raw Orders'!E661,0)</f>
        <v>0</v>
      </c>
      <c r="F664" s="32" t="n">
        <f aca="false">IF('Raw Orders'!K661="Refunded",'Raw Orders'!G661,0)</f>
        <v>0</v>
      </c>
    </row>
    <row r="665" customFormat="false" ht="15" hidden="false" customHeight="false" outlineLevel="0" collapsed="false">
      <c r="A665" s="36" t="n">
        <f aca="false">IF('Raw Orders'!B662="","",IF(MID('Raw Orders'!B662,5,1)="-",DATE(VALUE(LEFT('Raw Orders'!B662,4)),VALUE(MID('Raw Orders'!B662,6,2)),VALUE(MID('Raw Orders'!B662,9,2))),DATE(VALUE(MID('Raw Orders'!B662,7,4)),VALUE(MID('Raw Orders'!B662,4,2)),VALUE(LEFT('Raw Orders'!B662,2)))))</f>
        <v>46182</v>
      </c>
      <c r="B665" s="36" t="n">
        <f aca="false">IF(A665="","",A665-WEEKDAY(A665,3))</f>
        <v>46181</v>
      </c>
      <c r="C665" s="32" t="n">
        <f aca="false">IF(OR('Raw Orders'!C662&lt;&gt;"Product",'Raw Orders'!K662="Cancelled"),0,'Raw Orders'!G662)</f>
        <v>89</v>
      </c>
      <c r="D665" s="31" t="n">
        <f aca="false">IF(AND('Raw Orders'!C662="Product",'Raw Orders'!K662="Fulfilled",COUNTIFS('Raw Orders'!$A$2:$A662,'Raw Orders'!A662,'Raw Orders'!$C$2:$C662,"Product",'Raw Orders'!$K$2:$K662,"Fulfilled")=1),1,0)</f>
        <v>1</v>
      </c>
      <c r="E665" s="31" t="n">
        <f aca="false">IF(AND('Raw Orders'!C662="Product",'Raw Orders'!K662="Fulfilled"),'Raw Orders'!E662,0)</f>
        <v>1</v>
      </c>
      <c r="F665" s="32" t="n">
        <f aca="false">IF('Raw Orders'!K662="Refunded",'Raw Orders'!G662,0)</f>
        <v>0</v>
      </c>
    </row>
    <row r="666" customFormat="false" ht="15" hidden="false" customHeight="false" outlineLevel="0" collapsed="false">
      <c r="A666" s="36" t="n">
        <f aca="false">IF('Raw Orders'!B663="","",IF(MID('Raw Orders'!B663,5,1)="-",DATE(VALUE(LEFT('Raw Orders'!B663,4)),VALUE(MID('Raw Orders'!B663,6,2)),VALUE(MID('Raw Orders'!B663,9,2))),DATE(VALUE(MID('Raw Orders'!B663,7,4)),VALUE(MID('Raw Orders'!B663,4,2)),VALUE(LEFT('Raw Orders'!B663,2)))))</f>
        <v>46182</v>
      </c>
      <c r="B666" s="36" t="n">
        <f aca="false">IF(A666="","",A666-WEEKDAY(A666,3))</f>
        <v>46181</v>
      </c>
      <c r="C666" s="32" t="n">
        <f aca="false">IF(OR('Raw Orders'!C663&lt;&gt;"Product",'Raw Orders'!K663="Cancelled"),0,'Raw Orders'!G663)</f>
        <v>45</v>
      </c>
      <c r="D666" s="31" t="n">
        <f aca="false">IF(AND('Raw Orders'!C663="Product",'Raw Orders'!K663="Fulfilled",COUNTIFS('Raw Orders'!$A$2:$A663,'Raw Orders'!A663,'Raw Orders'!$C$2:$C663,"Product",'Raw Orders'!$K$2:$K663,"Fulfilled")=1),1,0)</f>
        <v>0</v>
      </c>
      <c r="E666" s="31" t="n">
        <f aca="false">IF(AND('Raw Orders'!C663="Product",'Raw Orders'!K663="Fulfilled"),'Raw Orders'!E663,0)</f>
        <v>1</v>
      </c>
      <c r="F666" s="32" t="n">
        <f aca="false">IF('Raw Orders'!K663="Refunded",'Raw Orders'!G663,0)</f>
        <v>0</v>
      </c>
    </row>
    <row r="667" customFormat="false" ht="15" hidden="false" customHeight="false" outlineLevel="0" collapsed="false">
      <c r="A667" s="36" t="n">
        <f aca="false">IF('Raw Orders'!B664="","",IF(MID('Raw Orders'!B664,5,1)="-",DATE(VALUE(LEFT('Raw Orders'!B664,4)),VALUE(MID('Raw Orders'!B664,6,2)),VALUE(MID('Raw Orders'!B664,9,2))),DATE(VALUE(MID('Raw Orders'!B664,7,4)),VALUE(MID('Raw Orders'!B664,4,2)),VALUE(LEFT('Raw Orders'!B664,2)))))</f>
        <v>46182</v>
      </c>
      <c r="B667" s="36" t="n">
        <f aca="false">IF(A667="","",A667-WEEKDAY(A667,3))</f>
        <v>46181</v>
      </c>
      <c r="C667" s="32" t="n">
        <f aca="false">IF(OR('Raw Orders'!C664&lt;&gt;"Product",'Raw Orders'!K664="Cancelled"),0,'Raw Orders'!G664)</f>
        <v>0</v>
      </c>
      <c r="D667" s="31" t="n">
        <f aca="false">IF(AND('Raw Orders'!C664="Product",'Raw Orders'!K664="Fulfilled",COUNTIFS('Raw Orders'!$A$2:$A664,'Raw Orders'!A664,'Raw Orders'!$C$2:$C664,"Product",'Raw Orders'!$K$2:$K664,"Fulfilled")=1),1,0)</f>
        <v>0</v>
      </c>
      <c r="E667" s="31" t="n">
        <f aca="false">IF(AND('Raw Orders'!C664="Product",'Raw Orders'!K664="Fulfilled"),'Raw Orders'!E664,0)</f>
        <v>0</v>
      </c>
      <c r="F667" s="32" t="n">
        <f aca="false">IF('Raw Orders'!K664="Refunded",'Raw Orders'!G664,0)</f>
        <v>0</v>
      </c>
    </row>
    <row r="668" customFormat="false" ht="15" hidden="false" customHeight="false" outlineLevel="0" collapsed="false">
      <c r="A668" s="36" t="n">
        <f aca="false">IF('Raw Orders'!B665="","",IF(MID('Raw Orders'!B665,5,1)="-",DATE(VALUE(LEFT('Raw Orders'!B665,4)),VALUE(MID('Raw Orders'!B665,6,2)),VALUE(MID('Raw Orders'!B665,9,2))),DATE(VALUE(MID('Raw Orders'!B665,7,4)),VALUE(MID('Raw Orders'!B665,4,2)),VALUE(LEFT('Raw Orders'!B665,2)))))</f>
        <v>46182</v>
      </c>
      <c r="B668" s="36" t="n">
        <f aca="false">IF(A668="","",A668-WEEKDAY(A668,3))</f>
        <v>46181</v>
      </c>
      <c r="C668" s="32" t="n">
        <f aca="false">IF(OR('Raw Orders'!C665&lt;&gt;"Product",'Raw Orders'!K665="Cancelled"),0,'Raw Orders'!G665)</f>
        <v>28</v>
      </c>
      <c r="D668" s="31" t="n">
        <f aca="false">IF(AND('Raw Orders'!C665="Product",'Raw Orders'!K665="Fulfilled",COUNTIFS('Raw Orders'!$A$2:$A665,'Raw Orders'!A665,'Raw Orders'!$C$2:$C665,"Product",'Raw Orders'!$K$2:$K665,"Fulfilled")=1),1,0)</f>
        <v>1</v>
      </c>
      <c r="E668" s="31" t="n">
        <f aca="false">IF(AND('Raw Orders'!C665="Product",'Raw Orders'!K665="Fulfilled"),'Raw Orders'!E665,0)</f>
        <v>2</v>
      </c>
      <c r="F668" s="32" t="n">
        <f aca="false">IF('Raw Orders'!K665="Refunded",'Raw Orders'!G665,0)</f>
        <v>0</v>
      </c>
    </row>
    <row r="669" customFormat="false" ht="15" hidden="false" customHeight="false" outlineLevel="0" collapsed="false">
      <c r="A669" s="36" t="n">
        <f aca="false">IF('Raw Orders'!B666="","",IF(MID('Raw Orders'!B666,5,1)="-",DATE(VALUE(LEFT('Raw Orders'!B666,4)),VALUE(MID('Raw Orders'!B666,6,2)),VALUE(MID('Raw Orders'!B666,9,2))),DATE(VALUE(MID('Raw Orders'!B666,7,4)),VALUE(MID('Raw Orders'!B666,4,2)),VALUE(LEFT('Raw Orders'!B666,2)))))</f>
        <v>46182</v>
      </c>
      <c r="B669" s="36" t="n">
        <f aca="false">IF(A669="","",A669-WEEKDAY(A669,3))</f>
        <v>46181</v>
      </c>
      <c r="C669" s="32" t="n">
        <f aca="false">IF(OR('Raw Orders'!C666&lt;&gt;"Product",'Raw Orders'!K666="Cancelled"),0,'Raw Orders'!G666)</f>
        <v>0</v>
      </c>
      <c r="D669" s="31" t="n">
        <f aca="false">IF(AND('Raw Orders'!C666="Product",'Raw Orders'!K666="Fulfilled",COUNTIFS('Raw Orders'!$A$2:$A666,'Raw Orders'!A666,'Raw Orders'!$C$2:$C666,"Product",'Raw Orders'!$K$2:$K666,"Fulfilled")=1),1,0)</f>
        <v>0</v>
      </c>
      <c r="E669" s="31" t="n">
        <f aca="false">IF(AND('Raw Orders'!C666="Product",'Raw Orders'!K666="Fulfilled"),'Raw Orders'!E666,0)</f>
        <v>0</v>
      </c>
      <c r="F669" s="32" t="n">
        <f aca="false">IF('Raw Orders'!K666="Refunded",'Raw Orders'!G666,0)</f>
        <v>0</v>
      </c>
    </row>
    <row r="670" customFormat="false" ht="15" hidden="false" customHeight="false" outlineLevel="0" collapsed="false">
      <c r="A670" s="36" t="n">
        <f aca="false">IF('Raw Orders'!B667="","",IF(MID('Raw Orders'!B667,5,1)="-",DATE(VALUE(LEFT('Raw Orders'!B667,4)),VALUE(MID('Raw Orders'!B667,6,2)),VALUE(MID('Raw Orders'!B667,9,2))),DATE(VALUE(MID('Raw Orders'!B667,7,4)),VALUE(MID('Raw Orders'!B667,4,2)),VALUE(LEFT('Raw Orders'!B667,2)))))</f>
        <v>46182</v>
      </c>
      <c r="B670" s="36" t="n">
        <f aca="false">IF(A670="","",A670-WEEKDAY(A670,3))</f>
        <v>46181</v>
      </c>
      <c r="C670" s="32" t="n">
        <f aca="false">IF(OR('Raw Orders'!C667&lt;&gt;"Product",'Raw Orders'!K667="Cancelled"),0,'Raw Orders'!G667)</f>
        <v>0</v>
      </c>
      <c r="D670" s="31" t="n">
        <f aca="false">IF(AND('Raw Orders'!C667="Product",'Raw Orders'!K667="Fulfilled",COUNTIFS('Raw Orders'!$A$2:$A667,'Raw Orders'!A667,'Raw Orders'!$C$2:$C667,"Product",'Raw Orders'!$K$2:$K667,"Fulfilled")=1),1,0)</f>
        <v>0</v>
      </c>
      <c r="E670" s="31" t="n">
        <f aca="false">IF(AND('Raw Orders'!C667="Product",'Raw Orders'!K667="Fulfilled"),'Raw Orders'!E667,0)</f>
        <v>0</v>
      </c>
      <c r="F670" s="32" t="n">
        <f aca="false">IF('Raw Orders'!K667="Refunded",'Raw Orders'!G667,0)</f>
        <v>0</v>
      </c>
    </row>
    <row r="671" customFormat="false" ht="15" hidden="false" customHeight="false" outlineLevel="0" collapsed="false">
      <c r="A671" s="36" t="n">
        <f aca="false">IF('Raw Orders'!B668="","",IF(MID('Raw Orders'!B668,5,1)="-",DATE(VALUE(LEFT('Raw Orders'!B668,4)),VALUE(MID('Raw Orders'!B668,6,2)),VALUE(MID('Raw Orders'!B668,9,2))),DATE(VALUE(MID('Raw Orders'!B668,7,4)),VALUE(MID('Raw Orders'!B668,4,2)),VALUE(LEFT('Raw Orders'!B668,2)))))</f>
        <v>46182</v>
      </c>
      <c r="B671" s="36" t="n">
        <f aca="false">IF(A671="","",A671-WEEKDAY(A671,3))</f>
        <v>46181</v>
      </c>
      <c r="C671" s="32" t="n">
        <f aca="false">IF(OR('Raw Orders'!C668&lt;&gt;"Product",'Raw Orders'!K668="Cancelled"),0,'Raw Orders'!G668)</f>
        <v>29</v>
      </c>
      <c r="D671" s="31" t="n">
        <f aca="false">IF(AND('Raw Orders'!C668="Product",'Raw Orders'!K668="Fulfilled",COUNTIFS('Raw Orders'!$A$2:$A668,'Raw Orders'!A668,'Raw Orders'!$C$2:$C668,"Product",'Raw Orders'!$K$2:$K668,"Fulfilled")=1),1,0)</f>
        <v>1</v>
      </c>
      <c r="E671" s="31" t="n">
        <f aca="false">IF(AND('Raw Orders'!C668="Product",'Raw Orders'!K668="Fulfilled"),'Raw Orders'!E668,0)</f>
        <v>1</v>
      </c>
      <c r="F671" s="32" t="n">
        <f aca="false">IF('Raw Orders'!K668="Refunded",'Raw Orders'!G668,0)</f>
        <v>0</v>
      </c>
    </row>
    <row r="672" customFormat="false" ht="15" hidden="false" customHeight="false" outlineLevel="0" collapsed="false">
      <c r="A672" s="36" t="n">
        <f aca="false">IF('Raw Orders'!B669="","",IF(MID('Raw Orders'!B669,5,1)="-",DATE(VALUE(LEFT('Raw Orders'!B669,4)),VALUE(MID('Raw Orders'!B669,6,2)),VALUE(MID('Raw Orders'!B669,9,2))),DATE(VALUE(MID('Raw Orders'!B669,7,4)),VALUE(MID('Raw Orders'!B669,4,2)),VALUE(LEFT('Raw Orders'!B669,2)))))</f>
        <v>46182</v>
      </c>
      <c r="B672" s="36" t="n">
        <f aca="false">IF(A672="","",A672-WEEKDAY(A672,3))</f>
        <v>46181</v>
      </c>
      <c r="C672" s="32" t="n">
        <f aca="false">IF(OR('Raw Orders'!C669&lt;&gt;"Product",'Raw Orders'!K669="Cancelled"),0,'Raw Orders'!G669)</f>
        <v>70</v>
      </c>
      <c r="D672" s="31" t="n">
        <f aca="false">IF(AND('Raw Orders'!C669="Product",'Raw Orders'!K669="Fulfilled",COUNTIFS('Raw Orders'!$A$2:$A669,'Raw Orders'!A669,'Raw Orders'!$C$2:$C669,"Product",'Raw Orders'!$K$2:$K669,"Fulfilled")=1),1,0)</f>
        <v>1</v>
      </c>
      <c r="E672" s="31" t="n">
        <f aca="false">IF(AND('Raw Orders'!C669="Product",'Raw Orders'!K669="Fulfilled"),'Raw Orders'!E669,0)</f>
        <v>2</v>
      </c>
      <c r="F672" s="32" t="n">
        <f aca="false">IF('Raw Orders'!K669="Refunded",'Raw Orders'!G669,0)</f>
        <v>0</v>
      </c>
    </row>
    <row r="673" customFormat="false" ht="15" hidden="false" customHeight="false" outlineLevel="0" collapsed="false">
      <c r="A673" s="36" t="n">
        <f aca="false">IF('Raw Orders'!B670="","",IF(MID('Raw Orders'!B670,5,1)="-",DATE(VALUE(LEFT('Raw Orders'!B670,4)),VALUE(MID('Raw Orders'!B670,6,2)),VALUE(MID('Raw Orders'!B670,9,2))),DATE(VALUE(MID('Raw Orders'!B670,7,4)),VALUE(MID('Raw Orders'!B670,4,2)),VALUE(LEFT('Raw Orders'!B670,2)))))</f>
        <v>46182</v>
      </c>
      <c r="B673" s="36" t="n">
        <f aca="false">IF(A673="","",A673-WEEKDAY(A673,3))</f>
        <v>46181</v>
      </c>
      <c r="C673" s="32" t="n">
        <f aca="false">IF(OR('Raw Orders'!C670&lt;&gt;"Product",'Raw Orders'!K670="Cancelled"),0,'Raw Orders'!G670)</f>
        <v>0</v>
      </c>
      <c r="D673" s="31" t="n">
        <f aca="false">IF(AND('Raw Orders'!C670="Product",'Raw Orders'!K670="Fulfilled",COUNTIFS('Raw Orders'!$A$2:$A670,'Raw Orders'!A670,'Raw Orders'!$C$2:$C670,"Product",'Raw Orders'!$K$2:$K670,"Fulfilled")=1),1,0)</f>
        <v>0</v>
      </c>
      <c r="E673" s="31" t="n">
        <f aca="false">IF(AND('Raw Orders'!C670="Product",'Raw Orders'!K670="Fulfilled"),'Raw Orders'!E670,0)</f>
        <v>0</v>
      </c>
      <c r="F673" s="32" t="n">
        <f aca="false">IF('Raw Orders'!K670="Refunded",'Raw Orders'!G670,0)</f>
        <v>0</v>
      </c>
    </row>
    <row r="674" customFormat="false" ht="15" hidden="false" customHeight="false" outlineLevel="0" collapsed="false">
      <c r="A674" s="36" t="n">
        <f aca="false">IF('Raw Orders'!B671="","",IF(MID('Raw Orders'!B671,5,1)="-",DATE(VALUE(LEFT('Raw Orders'!B671,4)),VALUE(MID('Raw Orders'!B671,6,2)),VALUE(MID('Raw Orders'!B671,9,2))),DATE(VALUE(MID('Raw Orders'!B671,7,4)),VALUE(MID('Raw Orders'!B671,4,2)),VALUE(LEFT('Raw Orders'!B671,2)))))</f>
        <v>46182</v>
      </c>
      <c r="B674" s="36" t="n">
        <f aca="false">IF(A674="","",A674-WEEKDAY(A674,3))</f>
        <v>46181</v>
      </c>
      <c r="C674" s="32" t="n">
        <f aca="false">IF(OR('Raw Orders'!C671&lt;&gt;"Product",'Raw Orders'!K671="Cancelled"),0,'Raw Orders'!G671)</f>
        <v>39</v>
      </c>
      <c r="D674" s="31" t="n">
        <f aca="false">IF(AND('Raw Orders'!C671="Product",'Raw Orders'!K671="Fulfilled",COUNTIFS('Raw Orders'!$A$2:$A671,'Raw Orders'!A671,'Raw Orders'!$C$2:$C671,"Product",'Raw Orders'!$K$2:$K671,"Fulfilled")=1),1,0)</f>
        <v>0</v>
      </c>
      <c r="E674" s="31" t="n">
        <f aca="false">IF(AND('Raw Orders'!C671="Product",'Raw Orders'!K671="Fulfilled"),'Raw Orders'!E671,0)</f>
        <v>1</v>
      </c>
      <c r="F674" s="32" t="n">
        <f aca="false">IF('Raw Orders'!K671="Refunded",'Raw Orders'!G671,0)</f>
        <v>0</v>
      </c>
    </row>
    <row r="675" customFormat="false" ht="15" hidden="false" customHeight="false" outlineLevel="0" collapsed="false">
      <c r="A675" s="36" t="n">
        <f aca="false">IF('Raw Orders'!B672="","",IF(MID('Raw Orders'!B672,5,1)="-",DATE(VALUE(LEFT('Raw Orders'!B672,4)),VALUE(MID('Raw Orders'!B672,6,2)),VALUE(MID('Raw Orders'!B672,9,2))),DATE(VALUE(MID('Raw Orders'!B672,7,4)),VALUE(MID('Raw Orders'!B672,4,2)),VALUE(LEFT('Raw Orders'!B672,2)))))</f>
        <v>46182</v>
      </c>
      <c r="B675" s="36" t="n">
        <f aca="false">IF(A675="","",A675-WEEKDAY(A675,3))</f>
        <v>46181</v>
      </c>
      <c r="C675" s="32" t="n">
        <f aca="false">IF(OR('Raw Orders'!C672&lt;&gt;"Product",'Raw Orders'!K672="Cancelled"),0,'Raw Orders'!G672)</f>
        <v>0</v>
      </c>
      <c r="D675" s="31" t="n">
        <f aca="false">IF(AND('Raw Orders'!C672="Product",'Raw Orders'!K672="Fulfilled",COUNTIFS('Raw Orders'!$A$2:$A672,'Raw Orders'!A672,'Raw Orders'!$C$2:$C672,"Product",'Raw Orders'!$K$2:$K672,"Fulfilled")=1),1,0)</f>
        <v>0</v>
      </c>
      <c r="E675" s="31" t="n">
        <f aca="false">IF(AND('Raw Orders'!C672="Product",'Raw Orders'!K672="Fulfilled"),'Raw Orders'!E672,0)</f>
        <v>0</v>
      </c>
      <c r="F675" s="32" t="n">
        <f aca="false">IF('Raw Orders'!K672="Refunded",'Raw Orders'!G672,0)</f>
        <v>0</v>
      </c>
    </row>
    <row r="676" customFormat="false" ht="15" hidden="false" customHeight="false" outlineLevel="0" collapsed="false">
      <c r="A676" s="36" t="n">
        <f aca="false">IF('Raw Orders'!B673="","",IF(MID('Raw Orders'!B673,5,1)="-",DATE(VALUE(LEFT('Raw Orders'!B673,4)),VALUE(MID('Raw Orders'!B673,6,2)),VALUE(MID('Raw Orders'!B673,9,2))),DATE(VALUE(MID('Raw Orders'!B673,7,4)),VALUE(MID('Raw Orders'!B673,4,2)),VALUE(LEFT('Raw Orders'!B673,2)))))</f>
        <v>46182</v>
      </c>
      <c r="B676" s="36" t="n">
        <f aca="false">IF(A676="","",A676-WEEKDAY(A676,3))</f>
        <v>46181</v>
      </c>
      <c r="C676" s="32" t="n">
        <f aca="false">IF(OR('Raw Orders'!C673&lt;&gt;"Product",'Raw Orders'!K673="Cancelled"),0,'Raw Orders'!G673)</f>
        <v>89</v>
      </c>
      <c r="D676" s="31" t="n">
        <f aca="false">IF(AND('Raw Orders'!C673="Product",'Raw Orders'!K673="Fulfilled",COUNTIFS('Raw Orders'!$A$2:$A673,'Raw Orders'!A673,'Raw Orders'!$C$2:$C673,"Product",'Raw Orders'!$K$2:$K673,"Fulfilled")=1),1,0)</f>
        <v>1</v>
      </c>
      <c r="E676" s="31" t="n">
        <f aca="false">IF(AND('Raw Orders'!C673="Product",'Raw Orders'!K673="Fulfilled"),'Raw Orders'!E673,0)</f>
        <v>1</v>
      </c>
      <c r="F676" s="32" t="n">
        <f aca="false">IF('Raw Orders'!K673="Refunded",'Raw Orders'!G673,0)</f>
        <v>0</v>
      </c>
    </row>
    <row r="677" customFormat="false" ht="15" hidden="false" customHeight="false" outlineLevel="0" collapsed="false">
      <c r="A677" s="36" t="n">
        <f aca="false">IF('Raw Orders'!B674="","",IF(MID('Raw Orders'!B674,5,1)="-",DATE(VALUE(LEFT('Raw Orders'!B674,4)),VALUE(MID('Raw Orders'!B674,6,2)),VALUE(MID('Raw Orders'!B674,9,2))),DATE(VALUE(MID('Raw Orders'!B674,7,4)),VALUE(MID('Raw Orders'!B674,4,2)),VALUE(LEFT('Raw Orders'!B674,2)))))</f>
        <v>46182</v>
      </c>
      <c r="B677" s="36" t="n">
        <f aca="false">IF(A677="","",A677-WEEKDAY(A677,3))</f>
        <v>46181</v>
      </c>
      <c r="C677" s="32" t="n">
        <f aca="false">IF(OR('Raw Orders'!C674&lt;&gt;"Product",'Raw Orders'!K674="Cancelled"),0,'Raw Orders'!G674)</f>
        <v>52</v>
      </c>
      <c r="D677" s="31" t="n">
        <f aca="false">IF(AND('Raw Orders'!C674="Product",'Raw Orders'!K674="Fulfilled",COUNTIFS('Raw Orders'!$A$2:$A674,'Raw Orders'!A674,'Raw Orders'!$C$2:$C674,"Product",'Raw Orders'!$K$2:$K674,"Fulfilled")=1),1,0)</f>
        <v>1</v>
      </c>
      <c r="E677" s="31" t="n">
        <f aca="false">IF(AND('Raw Orders'!C674="Product",'Raw Orders'!K674="Fulfilled"),'Raw Orders'!E674,0)</f>
        <v>2</v>
      </c>
      <c r="F677" s="32" t="n">
        <f aca="false">IF('Raw Orders'!K674="Refunded",'Raw Orders'!G674,0)</f>
        <v>0</v>
      </c>
    </row>
    <row r="678" customFormat="false" ht="15" hidden="false" customHeight="false" outlineLevel="0" collapsed="false">
      <c r="A678" s="36" t="n">
        <f aca="false">IF('Raw Orders'!B675="","",IF(MID('Raw Orders'!B675,5,1)="-",DATE(VALUE(LEFT('Raw Orders'!B675,4)),VALUE(MID('Raw Orders'!B675,6,2)),VALUE(MID('Raw Orders'!B675,9,2))),DATE(VALUE(MID('Raw Orders'!B675,7,4)),VALUE(MID('Raw Orders'!B675,4,2)),VALUE(LEFT('Raw Orders'!B675,2)))))</f>
        <v>46182</v>
      </c>
      <c r="B678" s="36" t="n">
        <f aca="false">IF(A678="","",A678-WEEKDAY(A678,3))</f>
        <v>46181</v>
      </c>
      <c r="C678" s="32" t="n">
        <f aca="false">IF(OR('Raw Orders'!C675&lt;&gt;"Product",'Raw Orders'!K675="Cancelled"),0,'Raw Orders'!G675)</f>
        <v>32</v>
      </c>
      <c r="D678" s="31" t="n">
        <f aca="false">IF(AND('Raw Orders'!C675="Product",'Raw Orders'!K675="Fulfilled",COUNTIFS('Raw Orders'!$A$2:$A675,'Raw Orders'!A675,'Raw Orders'!$C$2:$C675,"Product",'Raw Orders'!$K$2:$K675,"Fulfilled")=1),1,0)</f>
        <v>1</v>
      </c>
      <c r="E678" s="31" t="n">
        <f aca="false">IF(AND('Raw Orders'!C675="Product",'Raw Orders'!K675="Fulfilled"),'Raw Orders'!E675,0)</f>
        <v>1</v>
      </c>
      <c r="F678" s="32" t="n">
        <f aca="false">IF('Raw Orders'!K675="Refunded",'Raw Orders'!G675,0)</f>
        <v>0</v>
      </c>
    </row>
    <row r="679" customFormat="false" ht="15" hidden="false" customHeight="false" outlineLevel="0" collapsed="false">
      <c r="A679" s="36" t="n">
        <f aca="false">IF('Raw Orders'!B676="","",IF(MID('Raw Orders'!B676,5,1)="-",DATE(VALUE(LEFT('Raw Orders'!B676,4)),VALUE(MID('Raw Orders'!B676,6,2)),VALUE(MID('Raw Orders'!B676,9,2))),DATE(VALUE(MID('Raw Orders'!B676,7,4)),VALUE(MID('Raw Orders'!B676,4,2)),VALUE(LEFT('Raw Orders'!B676,2)))))</f>
        <v>46182</v>
      </c>
      <c r="B679" s="36" t="n">
        <f aca="false">IF(A679="","",A679-WEEKDAY(A679,3))</f>
        <v>46181</v>
      </c>
      <c r="C679" s="32" t="n">
        <f aca="false">IF(OR('Raw Orders'!C676&lt;&gt;"Product",'Raw Orders'!K676="Cancelled"),0,'Raw Orders'!G676)</f>
        <v>0</v>
      </c>
      <c r="D679" s="31" t="n">
        <f aca="false">IF(AND('Raw Orders'!C676="Product",'Raw Orders'!K676="Fulfilled",COUNTIFS('Raw Orders'!$A$2:$A676,'Raw Orders'!A676,'Raw Orders'!$C$2:$C676,"Product",'Raw Orders'!$K$2:$K676,"Fulfilled")=1),1,0)</f>
        <v>0</v>
      </c>
      <c r="E679" s="31" t="n">
        <f aca="false">IF(AND('Raw Orders'!C676="Product",'Raw Orders'!K676="Fulfilled"),'Raw Orders'!E676,0)</f>
        <v>0</v>
      </c>
      <c r="F679" s="32" t="n">
        <f aca="false">IF('Raw Orders'!K676="Refunded",'Raw Orders'!G676,0)</f>
        <v>0</v>
      </c>
    </row>
    <row r="680" customFormat="false" ht="15" hidden="false" customHeight="false" outlineLevel="0" collapsed="false">
      <c r="A680" s="36" t="n">
        <f aca="false">IF('Raw Orders'!B677="","",IF(MID('Raw Orders'!B677,5,1)="-",DATE(VALUE(LEFT('Raw Orders'!B677,4)),VALUE(MID('Raw Orders'!B677,6,2)),VALUE(MID('Raw Orders'!B677,9,2))),DATE(VALUE(MID('Raw Orders'!B677,7,4)),VALUE(MID('Raw Orders'!B677,4,2)),VALUE(LEFT('Raw Orders'!B677,2)))))</f>
        <v>46182</v>
      </c>
      <c r="B680" s="36" t="n">
        <f aca="false">IF(A680="","",A680-WEEKDAY(A680,3))</f>
        <v>46181</v>
      </c>
      <c r="C680" s="32" t="n">
        <f aca="false">IF(OR('Raw Orders'!C677&lt;&gt;"Product",'Raw Orders'!K677="Cancelled"),0,'Raw Orders'!G677)</f>
        <v>23.2</v>
      </c>
      <c r="D680" s="31" t="n">
        <f aca="false">IF(AND('Raw Orders'!C677="Product",'Raw Orders'!K677="Fulfilled",COUNTIFS('Raw Orders'!$A$2:$A677,'Raw Orders'!A677,'Raw Orders'!$C$2:$C677,"Product",'Raw Orders'!$K$2:$K677,"Fulfilled")=1),1,0)</f>
        <v>0</v>
      </c>
      <c r="E680" s="31" t="n">
        <f aca="false">IF(AND('Raw Orders'!C677="Product",'Raw Orders'!K677="Fulfilled"),'Raw Orders'!E677,0)</f>
        <v>1</v>
      </c>
      <c r="F680" s="32" t="n">
        <f aca="false">IF('Raw Orders'!K677="Refunded",'Raw Orders'!G677,0)</f>
        <v>0</v>
      </c>
    </row>
    <row r="681" customFormat="false" ht="15" hidden="false" customHeight="false" outlineLevel="0" collapsed="false">
      <c r="A681" s="36" t="n">
        <f aca="false">IF('Raw Orders'!B678="","",IF(MID('Raw Orders'!B678,5,1)="-",DATE(VALUE(LEFT('Raw Orders'!B678,4)),VALUE(MID('Raw Orders'!B678,6,2)),VALUE(MID('Raw Orders'!B678,9,2))),DATE(VALUE(MID('Raw Orders'!B678,7,4)),VALUE(MID('Raw Orders'!B678,4,2)),VALUE(LEFT('Raw Orders'!B678,2)))))</f>
        <v>46182</v>
      </c>
      <c r="B681" s="36" t="n">
        <f aca="false">IF(A681="","",A681-WEEKDAY(A681,3))</f>
        <v>46181</v>
      </c>
      <c r="C681" s="32" t="n">
        <f aca="false">IF(OR('Raw Orders'!C678&lt;&gt;"Product",'Raw Orders'!K678="Cancelled"),0,'Raw Orders'!G678)</f>
        <v>45</v>
      </c>
      <c r="D681" s="31" t="n">
        <f aca="false">IF(AND('Raw Orders'!C678="Product",'Raw Orders'!K678="Fulfilled",COUNTIFS('Raw Orders'!$A$2:$A678,'Raw Orders'!A678,'Raw Orders'!$C$2:$C678,"Product",'Raw Orders'!$K$2:$K678,"Fulfilled")=1),1,0)</f>
        <v>1</v>
      </c>
      <c r="E681" s="31" t="n">
        <f aca="false">IF(AND('Raw Orders'!C678="Product",'Raw Orders'!K678="Fulfilled"),'Raw Orders'!E678,0)</f>
        <v>1</v>
      </c>
      <c r="F681" s="32" t="n">
        <f aca="false">IF('Raw Orders'!K678="Refunded",'Raw Orders'!G678,0)</f>
        <v>0</v>
      </c>
    </row>
    <row r="682" customFormat="false" ht="15" hidden="false" customHeight="false" outlineLevel="0" collapsed="false">
      <c r="A682" s="36" t="n">
        <f aca="false">IF('Raw Orders'!B679="","",IF(MID('Raw Orders'!B679,5,1)="-",DATE(VALUE(LEFT('Raw Orders'!B679,4)),VALUE(MID('Raw Orders'!B679,6,2)),VALUE(MID('Raw Orders'!B679,9,2))),DATE(VALUE(MID('Raw Orders'!B679,7,4)),VALUE(MID('Raw Orders'!B679,4,2)),VALUE(LEFT('Raw Orders'!B679,2)))))</f>
        <v>46182</v>
      </c>
      <c r="B682" s="36" t="n">
        <f aca="false">IF(A682="","",A682-WEEKDAY(A682,3))</f>
        <v>46181</v>
      </c>
      <c r="C682" s="32" t="n">
        <f aca="false">IF(OR('Raw Orders'!C679&lt;&gt;"Product",'Raw Orders'!K679="Cancelled"),0,'Raw Orders'!G679)</f>
        <v>58</v>
      </c>
      <c r="D682" s="31" t="n">
        <f aca="false">IF(AND('Raw Orders'!C679="Product",'Raw Orders'!K679="Fulfilled",COUNTIFS('Raw Orders'!$A$2:$A679,'Raw Orders'!A679,'Raw Orders'!$C$2:$C679,"Product",'Raw Orders'!$K$2:$K679,"Fulfilled")=1),1,0)</f>
        <v>0</v>
      </c>
      <c r="E682" s="31" t="n">
        <f aca="false">IF(AND('Raw Orders'!C679="Product",'Raw Orders'!K679="Fulfilled"),'Raw Orders'!E679,0)</f>
        <v>2</v>
      </c>
      <c r="F682" s="32" t="n">
        <f aca="false">IF('Raw Orders'!K679="Refunded",'Raw Orders'!G679,0)</f>
        <v>0</v>
      </c>
    </row>
    <row r="683" customFormat="false" ht="15" hidden="false" customHeight="false" outlineLevel="0" collapsed="false">
      <c r="A683" s="36" t="n">
        <f aca="false">IF('Raw Orders'!B680="","",IF(MID('Raw Orders'!B680,5,1)="-",DATE(VALUE(LEFT('Raw Orders'!B680,4)),VALUE(MID('Raw Orders'!B680,6,2)),VALUE(MID('Raw Orders'!B680,9,2))),DATE(VALUE(MID('Raw Orders'!B680,7,4)),VALUE(MID('Raw Orders'!B680,4,2)),VALUE(LEFT('Raw Orders'!B680,2)))))</f>
        <v>46182</v>
      </c>
      <c r="B683" s="36" t="n">
        <f aca="false">IF(A683="","",A683-WEEKDAY(A683,3))</f>
        <v>46181</v>
      </c>
      <c r="C683" s="32" t="n">
        <f aca="false">IF(OR('Raw Orders'!C680&lt;&gt;"Product",'Raw Orders'!K680="Cancelled"),0,'Raw Orders'!G680)</f>
        <v>0</v>
      </c>
      <c r="D683" s="31" t="n">
        <f aca="false">IF(AND('Raw Orders'!C680="Product",'Raw Orders'!K680="Fulfilled",COUNTIFS('Raw Orders'!$A$2:$A680,'Raw Orders'!A680,'Raw Orders'!$C$2:$C680,"Product",'Raw Orders'!$K$2:$K680,"Fulfilled")=1),1,0)</f>
        <v>0</v>
      </c>
      <c r="E683" s="31" t="n">
        <f aca="false">IF(AND('Raw Orders'!C680="Product",'Raw Orders'!K680="Fulfilled"),'Raw Orders'!E680,0)</f>
        <v>0</v>
      </c>
      <c r="F683" s="32" t="n">
        <f aca="false">IF('Raw Orders'!K680="Refunded",'Raw Orders'!G680,0)</f>
        <v>0</v>
      </c>
    </row>
    <row r="684" customFormat="false" ht="15" hidden="false" customHeight="false" outlineLevel="0" collapsed="false">
      <c r="A684" s="36" t="n">
        <f aca="false">IF('Raw Orders'!B681="","",IF(MID('Raw Orders'!B681,5,1)="-",DATE(VALUE(LEFT('Raw Orders'!B681,4)),VALUE(MID('Raw Orders'!B681,6,2)),VALUE(MID('Raw Orders'!B681,9,2))),DATE(VALUE(MID('Raw Orders'!B681,7,4)),VALUE(MID('Raw Orders'!B681,4,2)),VALUE(LEFT('Raw Orders'!B681,2)))))</f>
        <v>46182</v>
      </c>
      <c r="B684" s="36" t="n">
        <f aca="false">IF(A684="","",A684-WEEKDAY(A684,3))</f>
        <v>46181</v>
      </c>
      <c r="C684" s="32" t="n">
        <f aca="false">IF(OR('Raw Orders'!C681&lt;&gt;"Product",'Raw Orders'!K681="Cancelled"),0,'Raw Orders'!G681)</f>
        <v>90</v>
      </c>
      <c r="D684" s="31" t="n">
        <f aca="false">IF(AND('Raw Orders'!C681="Product",'Raw Orders'!K681="Fulfilled",COUNTIFS('Raw Orders'!$A$2:$A681,'Raw Orders'!A681,'Raw Orders'!$C$2:$C681,"Product",'Raw Orders'!$K$2:$K681,"Fulfilled")=1),1,0)</f>
        <v>1</v>
      </c>
      <c r="E684" s="31" t="n">
        <f aca="false">IF(AND('Raw Orders'!C681="Product",'Raw Orders'!K681="Fulfilled"),'Raw Orders'!E681,0)</f>
        <v>2</v>
      </c>
      <c r="F684" s="32" t="n">
        <f aca="false">IF('Raw Orders'!K681="Refunded",'Raw Orders'!G681,0)</f>
        <v>0</v>
      </c>
    </row>
    <row r="685" customFormat="false" ht="15" hidden="false" customHeight="false" outlineLevel="0" collapsed="false">
      <c r="A685" s="36" t="n">
        <f aca="false">IF('Raw Orders'!B682="","",IF(MID('Raw Orders'!B682,5,1)="-",DATE(VALUE(LEFT('Raw Orders'!B682,4)),VALUE(MID('Raw Orders'!B682,6,2)),VALUE(MID('Raw Orders'!B682,9,2))),DATE(VALUE(MID('Raw Orders'!B682,7,4)),VALUE(MID('Raw Orders'!B682,4,2)),VALUE(LEFT('Raw Orders'!B682,2)))))</f>
        <v>46182</v>
      </c>
      <c r="B685" s="36" t="n">
        <f aca="false">IF(A685="","",A685-WEEKDAY(A685,3))</f>
        <v>46181</v>
      </c>
      <c r="C685" s="32" t="n">
        <f aca="false">IF(OR('Raw Orders'!C682&lt;&gt;"Product",'Raw Orders'!K682="Cancelled"),0,'Raw Orders'!G682)</f>
        <v>0</v>
      </c>
      <c r="D685" s="31" t="n">
        <f aca="false">IF(AND('Raw Orders'!C682="Product",'Raw Orders'!K682="Fulfilled",COUNTIFS('Raw Orders'!$A$2:$A682,'Raw Orders'!A682,'Raw Orders'!$C$2:$C682,"Product",'Raw Orders'!$K$2:$K682,"Fulfilled")=1),1,0)</f>
        <v>0</v>
      </c>
      <c r="E685" s="31" t="n">
        <f aca="false">IF(AND('Raw Orders'!C682="Product",'Raw Orders'!K682="Fulfilled"),'Raw Orders'!E682,0)</f>
        <v>0</v>
      </c>
      <c r="F685" s="32" t="n">
        <f aca="false">IF('Raw Orders'!K682="Refunded",'Raw Orders'!G682,0)</f>
        <v>0</v>
      </c>
    </row>
    <row r="686" customFormat="false" ht="15" hidden="false" customHeight="false" outlineLevel="0" collapsed="false">
      <c r="A686" s="36" t="n">
        <f aca="false">IF('Raw Orders'!B683="","",IF(MID('Raw Orders'!B683,5,1)="-",DATE(VALUE(LEFT('Raw Orders'!B683,4)),VALUE(MID('Raw Orders'!B683,6,2)),VALUE(MID('Raw Orders'!B683,9,2))),DATE(VALUE(MID('Raw Orders'!B683,7,4)),VALUE(MID('Raw Orders'!B683,4,2)),VALUE(LEFT('Raw Orders'!B683,2)))))</f>
        <v>46182</v>
      </c>
      <c r="B686" s="36" t="n">
        <f aca="false">IF(A686="","",A686-WEEKDAY(A686,3))</f>
        <v>46181</v>
      </c>
      <c r="C686" s="32" t="n">
        <f aca="false">IF(OR('Raw Orders'!C683&lt;&gt;"Product",'Raw Orders'!K683="Cancelled"),0,'Raw Orders'!G683)</f>
        <v>0</v>
      </c>
      <c r="D686" s="31" t="n">
        <f aca="false">IF(AND('Raw Orders'!C683="Product",'Raw Orders'!K683="Fulfilled",COUNTIFS('Raw Orders'!$A$2:$A683,'Raw Orders'!A683,'Raw Orders'!$C$2:$C683,"Product",'Raw Orders'!$K$2:$K683,"Fulfilled")=1),1,0)</f>
        <v>0</v>
      </c>
      <c r="E686" s="31" t="n">
        <f aca="false">IF(AND('Raw Orders'!C683="Product",'Raw Orders'!K683="Fulfilled"),'Raw Orders'!E683,0)</f>
        <v>0</v>
      </c>
      <c r="F686" s="32" t="n">
        <f aca="false">IF('Raw Orders'!K683="Refunded",'Raw Orders'!G683,0)</f>
        <v>0</v>
      </c>
    </row>
    <row r="687" customFormat="false" ht="15" hidden="false" customHeight="false" outlineLevel="0" collapsed="false">
      <c r="A687" s="36" t="n">
        <f aca="false">IF('Raw Orders'!B684="","",IF(MID('Raw Orders'!B684,5,1)="-",DATE(VALUE(LEFT('Raw Orders'!B684,4)),VALUE(MID('Raw Orders'!B684,6,2)),VALUE(MID('Raw Orders'!B684,9,2))),DATE(VALUE(MID('Raw Orders'!B684,7,4)),VALUE(MID('Raw Orders'!B684,4,2)),VALUE(LEFT('Raw Orders'!B684,2)))))</f>
        <v>46182</v>
      </c>
      <c r="B687" s="36" t="n">
        <f aca="false">IF(A687="","",A687-WEEKDAY(A687,3))</f>
        <v>46181</v>
      </c>
      <c r="C687" s="32" t="n">
        <f aca="false">IF(OR('Raw Orders'!C684&lt;&gt;"Product",'Raw Orders'!K684="Cancelled"),0,'Raw Orders'!G684)</f>
        <v>69</v>
      </c>
      <c r="D687" s="31" t="n">
        <f aca="false">IF(AND('Raw Orders'!C684="Product",'Raw Orders'!K684="Fulfilled",COUNTIFS('Raw Orders'!$A$2:$A684,'Raw Orders'!A684,'Raw Orders'!$C$2:$C684,"Product",'Raw Orders'!$K$2:$K684,"Fulfilled")=1),1,0)</f>
        <v>0</v>
      </c>
      <c r="E687" s="31" t="n">
        <f aca="false">IF(AND('Raw Orders'!C684="Product",'Raw Orders'!K684="Fulfilled"),'Raw Orders'!E684,0)</f>
        <v>1</v>
      </c>
      <c r="F687" s="32" t="n">
        <f aca="false">IF('Raw Orders'!K684="Refunded",'Raw Orders'!G684,0)</f>
        <v>0</v>
      </c>
    </row>
    <row r="688" customFormat="false" ht="15" hidden="false" customHeight="false" outlineLevel="0" collapsed="false">
      <c r="A688" s="36" t="n">
        <f aca="false">IF('Raw Orders'!B685="","",IF(MID('Raw Orders'!B685,5,1)="-",DATE(VALUE(LEFT('Raw Orders'!B685,4)),VALUE(MID('Raw Orders'!B685,6,2)),VALUE(MID('Raw Orders'!B685,9,2))),DATE(VALUE(MID('Raw Orders'!B685,7,4)),VALUE(MID('Raw Orders'!B685,4,2)),VALUE(LEFT('Raw Orders'!B685,2)))))</f>
        <v>46183</v>
      </c>
      <c r="B688" s="36" t="n">
        <f aca="false">IF(A688="","",A688-WEEKDAY(A688,3))</f>
        <v>46181</v>
      </c>
      <c r="C688" s="32" t="n">
        <f aca="false">IF(OR('Raw Orders'!C685&lt;&gt;"Product",'Raw Orders'!K685="Cancelled"),0,'Raw Orders'!G685)</f>
        <v>22</v>
      </c>
      <c r="D688" s="31" t="n">
        <f aca="false">IF(AND('Raw Orders'!C685="Product",'Raw Orders'!K685="Fulfilled",COUNTIFS('Raw Orders'!$A$2:$A685,'Raw Orders'!A685,'Raw Orders'!$C$2:$C685,"Product",'Raw Orders'!$K$2:$K685,"Fulfilled")=1),1,0)</f>
        <v>1</v>
      </c>
      <c r="E688" s="31" t="n">
        <f aca="false">IF(AND('Raw Orders'!C685="Product",'Raw Orders'!K685="Fulfilled"),'Raw Orders'!E685,0)</f>
        <v>1</v>
      </c>
      <c r="F688" s="32" t="n">
        <f aca="false">IF('Raw Orders'!K685="Refunded",'Raw Orders'!G685,0)</f>
        <v>0</v>
      </c>
    </row>
    <row r="689" customFormat="false" ht="15" hidden="false" customHeight="false" outlineLevel="0" collapsed="false">
      <c r="A689" s="36" t="n">
        <f aca="false">IF('Raw Orders'!B686="","",IF(MID('Raw Orders'!B686,5,1)="-",DATE(VALUE(LEFT('Raw Orders'!B686,4)),VALUE(MID('Raw Orders'!B686,6,2)),VALUE(MID('Raw Orders'!B686,9,2))),DATE(VALUE(MID('Raw Orders'!B686,7,4)),VALUE(MID('Raw Orders'!B686,4,2)),VALUE(LEFT('Raw Orders'!B686,2)))))</f>
        <v>46183</v>
      </c>
      <c r="B689" s="36" t="n">
        <f aca="false">IF(A689="","",A689-WEEKDAY(A689,3))</f>
        <v>46181</v>
      </c>
      <c r="C689" s="32" t="n">
        <f aca="false">IF(OR('Raw Orders'!C686&lt;&gt;"Product",'Raw Orders'!K686="Cancelled"),0,'Raw Orders'!G686)</f>
        <v>0</v>
      </c>
      <c r="D689" s="31" t="n">
        <f aca="false">IF(AND('Raw Orders'!C686="Product",'Raw Orders'!K686="Fulfilled",COUNTIFS('Raw Orders'!$A$2:$A686,'Raw Orders'!A686,'Raw Orders'!$C$2:$C686,"Product",'Raw Orders'!$K$2:$K686,"Fulfilled")=1),1,0)</f>
        <v>0</v>
      </c>
      <c r="E689" s="31" t="n">
        <f aca="false">IF(AND('Raw Orders'!C686="Product",'Raw Orders'!K686="Fulfilled"),'Raw Orders'!E686,0)</f>
        <v>0</v>
      </c>
      <c r="F689" s="32" t="n">
        <f aca="false">IF('Raw Orders'!K686="Refunded",'Raw Orders'!G686,0)</f>
        <v>0</v>
      </c>
    </row>
    <row r="690" customFormat="false" ht="15" hidden="false" customHeight="false" outlineLevel="0" collapsed="false">
      <c r="A690" s="36" t="n">
        <f aca="false">IF('Raw Orders'!B687="","",IF(MID('Raw Orders'!B687,5,1)="-",DATE(VALUE(LEFT('Raw Orders'!B687,4)),VALUE(MID('Raw Orders'!B687,6,2)),VALUE(MID('Raw Orders'!B687,9,2))),DATE(VALUE(MID('Raw Orders'!B687,7,4)),VALUE(MID('Raw Orders'!B687,4,2)),VALUE(LEFT('Raw Orders'!B687,2)))))</f>
        <v>46183</v>
      </c>
      <c r="B690" s="36" t="n">
        <f aca="false">IF(A690="","",A690-WEEKDAY(A690,3))</f>
        <v>46181</v>
      </c>
      <c r="C690" s="32" t="n">
        <f aca="false">IF(OR('Raw Orders'!C687&lt;&gt;"Product",'Raw Orders'!K687="Cancelled"),0,'Raw Orders'!G687)</f>
        <v>35</v>
      </c>
      <c r="D690" s="31" t="n">
        <f aca="false">IF(AND('Raw Orders'!C687="Product",'Raw Orders'!K687="Fulfilled",COUNTIFS('Raw Orders'!$A$2:$A687,'Raw Orders'!A687,'Raw Orders'!$C$2:$C687,"Product",'Raw Orders'!$K$2:$K687,"Fulfilled")=1),1,0)</f>
        <v>1</v>
      </c>
      <c r="E690" s="31" t="n">
        <f aca="false">IF(AND('Raw Orders'!C687="Product",'Raw Orders'!K687="Fulfilled"),'Raw Orders'!E687,0)</f>
        <v>1</v>
      </c>
      <c r="F690" s="32" t="n">
        <f aca="false">IF('Raw Orders'!K687="Refunded",'Raw Orders'!G687,0)</f>
        <v>0</v>
      </c>
    </row>
    <row r="691" customFormat="false" ht="15" hidden="false" customHeight="false" outlineLevel="0" collapsed="false">
      <c r="A691" s="36" t="n">
        <f aca="false">IF('Raw Orders'!B688="","",IF(MID('Raw Orders'!B688,5,1)="-",DATE(VALUE(LEFT('Raw Orders'!B688,4)),VALUE(MID('Raw Orders'!B688,6,2)),VALUE(MID('Raw Orders'!B688,9,2))),DATE(VALUE(MID('Raw Orders'!B688,7,4)),VALUE(MID('Raw Orders'!B688,4,2)),VALUE(LEFT('Raw Orders'!B688,2)))))</f>
        <v>46183</v>
      </c>
      <c r="B691" s="36" t="n">
        <f aca="false">IF(A691="","",A691-WEEKDAY(A691,3))</f>
        <v>46181</v>
      </c>
      <c r="C691" s="32" t="n">
        <f aca="false">IF(OR('Raw Orders'!C688&lt;&gt;"Product",'Raw Orders'!K688="Cancelled"),0,'Raw Orders'!G688)</f>
        <v>14</v>
      </c>
      <c r="D691" s="31" t="n">
        <f aca="false">IF(AND('Raw Orders'!C688="Product",'Raw Orders'!K688="Fulfilled",COUNTIFS('Raw Orders'!$A$2:$A688,'Raw Orders'!A688,'Raw Orders'!$C$2:$C688,"Product",'Raw Orders'!$K$2:$K688,"Fulfilled")=1),1,0)</f>
        <v>0</v>
      </c>
      <c r="E691" s="31" t="n">
        <f aca="false">IF(AND('Raw Orders'!C688="Product",'Raw Orders'!K688="Fulfilled"),'Raw Orders'!E688,0)</f>
        <v>1</v>
      </c>
      <c r="F691" s="32" t="n">
        <f aca="false">IF('Raw Orders'!K688="Refunded",'Raw Orders'!G688,0)</f>
        <v>0</v>
      </c>
    </row>
    <row r="692" customFormat="false" ht="15" hidden="false" customHeight="false" outlineLevel="0" collapsed="false">
      <c r="A692" s="36" t="n">
        <f aca="false">IF('Raw Orders'!B689="","",IF(MID('Raw Orders'!B689,5,1)="-",DATE(VALUE(LEFT('Raw Orders'!B689,4)),VALUE(MID('Raw Orders'!B689,6,2)),VALUE(MID('Raw Orders'!B689,9,2))),DATE(VALUE(MID('Raw Orders'!B689,7,4)),VALUE(MID('Raw Orders'!B689,4,2)),VALUE(LEFT('Raw Orders'!B689,2)))))</f>
        <v>46183</v>
      </c>
      <c r="B692" s="36" t="n">
        <f aca="false">IF(A692="","",A692-WEEKDAY(A692,3))</f>
        <v>46181</v>
      </c>
      <c r="C692" s="32" t="n">
        <f aca="false">IF(OR('Raw Orders'!C689&lt;&gt;"Product",'Raw Orders'!K689="Cancelled"),0,'Raw Orders'!G689)</f>
        <v>45</v>
      </c>
      <c r="D692" s="31" t="n">
        <f aca="false">IF(AND('Raw Orders'!C689="Product",'Raw Orders'!K689="Fulfilled",COUNTIFS('Raw Orders'!$A$2:$A689,'Raw Orders'!A689,'Raw Orders'!$C$2:$C689,"Product",'Raw Orders'!$K$2:$K689,"Fulfilled")=1),1,0)</f>
        <v>0</v>
      </c>
      <c r="E692" s="31" t="n">
        <f aca="false">IF(AND('Raw Orders'!C689="Product",'Raw Orders'!K689="Fulfilled"),'Raw Orders'!E689,0)</f>
        <v>1</v>
      </c>
      <c r="F692" s="32" t="n">
        <f aca="false">IF('Raw Orders'!K689="Refunded",'Raw Orders'!G689,0)</f>
        <v>0</v>
      </c>
    </row>
    <row r="693" customFormat="false" ht="15" hidden="false" customHeight="false" outlineLevel="0" collapsed="false">
      <c r="A693" s="36" t="n">
        <f aca="false">IF('Raw Orders'!B690="","",IF(MID('Raw Orders'!B690,5,1)="-",DATE(VALUE(LEFT('Raw Orders'!B690,4)),VALUE(MID('Raw Orders'!B690,6,2)),VALUE(MID('Raw Orders'!B690,9,2))),DATE(VALUE(MID('Raw Orders'!B690,7,4)),VALUE(MID('Raw Orders'!B690,4,2)),VALUE(LEFT('Raw Orders'!B690,2)))))</f>
        <v>46183</v>
      </c>
      <c r="B693" s="36" t="n">
        <f aca="false">IF(A693="","",A693-WEEKDAY(A693,3))</f>
        <v>46181</v>
      </c>
      <c r="C693" s="32" t="n">
        <f aca="false">IF(OR('Raw Orders'!C690&lt;&gt;"Product",'Raw Orders'!K690="Cancelled"),0,'Raw Orders'!G690)</f>
        <v>0</v>
      </c>
      <c r="D693" s="31" t="n">
        <f aca="false">IF(AND('Raw Orders'!C690="Product",'Raw Orders'!K690="Fulfilled",COUNTIFS('Raw Orders'!$A$2:$A690,'Raw Orders'!A690,'Raw Orders'!$C$2:$C690,"Product",'Raw Orders'!$K$2:$K690,"Fulfilled")=1),1,0)</f>
        <v>0</v>
      </c>
      <c r="E693" s="31" t="n">
        <f aca="false">IF(AND('Raw Orders'!C690="Product",'Raw Orders'!K690="Fulfilled"),'Raw Orders'!E690,0)</f>
        <v>0</v>
      </c>
      <c r="F693" s="32" t="n">
        <f aca="false">IF('Raw Orders'!K690="Refunded",'Raw Orders'!G690,0)</f>
        <v>0</v>
      </c>
    </row>
    <row r="694" customFormat="false" ht="15" hidden="false" customHeight="false" outlineLevel="0" collapsed="false">
      <c r="A694" s="36" t="n">
        <f aca="false">IF('Raw Orders'!B691="","",IF(MID('Raw Orders'!B691,5,1)="-",DATE(VALUE(LEFT('Raw Orders'!B691,4)),VALUE(MID('Raw Orders'!B691,6,2)),VALUE(MID('Raw Orders'!B691,9,2))),DATE(VALUE(MID('Raw Orders'!B691,7,4)),VALUE(MID('Raw Orders'!B691,4,2)),VALUE(LEFT('Raw Orders'!B691,2)))))</f>
        <v>46183</v>
      </c>
      <c r="B694" s="36" t="n">
        <f aca="false">IF(A694="","",A694-WEEKDAY(A694,3))</f>
        <v>46181</v>
      </c>
      <c r="C694" s="32" t="n">
        <f aca="false">IF(OR('Raw Orders'!C691&lt;&gt;"Product",'Raw Orders'!K691="Cancelled"),0,'Raw Orders'!G691)</f>
        <v>69</v>
      </c>
      <c r="D694" s="31" t="n">
        <f aca="false">IF(AND('Raw Orders'!C691="Product",'Raw Orders'!K691="Fulfilled",COUNTIFS('Raw Orders'!$A$2:$A691,'Raw Orders'!A691,'Raw Orders'!$C$2:$C691,"Product",'Raw Orders'!$K$2:$K691,"Fulfilled")=1),1,0)</f>
        <v>1</v>
      </c>
      <c r="E694" s="31" t="n">
        <f aca="false">IF(AND('Raw Orders'!C691="Product",'Raw Orders'!K691="Fulfilled"),'Raw Orders'!E691,0)</f>
        <v>1</v>
      </c>
      <c r="F694" s="32" t="n">
        <f aca="false">IF('Raw Orders'!K691="Refunded",'Raw Orders'!G691,0)</f>
        <v>0</v>
      </c>
    </row>
    <row r="695" customFormat="false" ht="15" hidden="false" customHeight="false" outlineLevel="0" collapsed="false">
      <c r="A695" s="36" t="n">
        <f aca="false">IF('Raw Orders'!B692="","",IF(MID('Raw Orders'!B692,5,1)="-",DATE(VALUE(LEFT('Raw Orders'!B692,4)),VALUE(MID('Raw Orders'!B692,6,2)),VALUE(MID('Raw Orders'!B692,9,2))),DATE(VALUE(MID('Raw Orders'!B692,7,4)),VALUE(MID('Raw Orders'!B692,4,2)),VALUE(LEFT('Raw Orders'!B692,2)))))</f>
        <v>46183</v>
      </c>
      <c r="B695" s="36" t="n">
        <f aca="false">IF(A695="","",A695-WEEKDAY(A695,3))</f>
        <v>46181</v>
      </c>
      <c r="C695" s="32" t="n">
        <f aca="false">IF(OR('Raw Orders'!C692&lt;&gt;"Product",'Raw Orders'!K692="Cancelled"),0,'Raw Orders'!G692)</f>
        <v>58</v>
      </c>
      <c r="D695" s="31" t="n">
        <f aca="false">IF(AND('Raw Orders'!C692="Product",'Raw Orders'!K692="Fulfilled",COUNTIFS('Raw Orders'!$A$2:$A692,'Raw Orders'!A692,'Raw Orders'!$C$2:$C692,"Product",'Raw Orders'!$K$2:$K692,"Fulfilled")=1),1,0)</f>
        <v>0</v>
      </c>
      <c r="E695" s="31" t="n">
        <f aca="false">IF(AND('Raw Orders'!C692="Product",'Raw Orders'!K692="Fulfilled"),'Raw Orders'!E692,0)</f>
        <v>2</v>
      </c>
      <c r="F695" s="32" t="n">
        <f aca="false">IF('Raw Orders'!K692="Refunded",'Raw Orders'!G692,0)</f>
        <v>0</v>
      </c>
    </row>
    <row r="696" customFormat="false" ht="15" hidden="false" customHeight="false" outlineLevel="0" collapsed="false">
      <c r="A696" s="36" t="n">
        <f aca="false">IF('Raw Orders'!B693="","",IF(MID('Raw Orders'!B693,5,1)="-",DATE(VALUE(LEFT('Raw Orders'!B693,4)),VALUE(MID('Raw Orders'!B693,6,2)),VALUE(MID('Raw Orders'!B693,9,2))),DATE(VALUE(MID('Raw Orders'!B693,7,4)),VALUE(MID('Raw Orders'!B693,4,2)),VALUE(LEFT('Raw Orders'!B693,2)))))</f>
        <v>46183</v>
      </c>
      <c r="B696" s="36" t="n">
        <f aca="false">IF(A696="","",A696-WEEKDAY(A696,3))</f>
        <v>46181</v>
      </c>
      <c r="C696" s="32" t="n">
        <f aca="false">IF(OR('Raw Orders'!C693&lt;&gt;"Product",'Raw Orders'!K693="Cancelled"),0,'Raw Orders'!G693)</f>
        <v>69</v>
      </c>
      <c r="D696" s="31" t="n">
        <f aca="false">IF(AND('Raw Orders'!C693="Product",'Raw Orders'!K693="Fulfilled",COUNTIFS('Raw Orders'!$A$2:$A693,'Raw Orders'!A693,'Raw Orders'!$C$2:$C693,"Product",'Raw Orders'!$K$2:$K693,"Fulfilled")=1),1,0)</f>
        <v>0</v>
      </c>
      <c r="E696" s="31" t="n">
        <f aca="false">IF(AND('Raw Orders'!C693="Product",'Raw Orders'!K693="Fulfilled"),'Raw Orders'!E693,0)</f>
        <v>1</v>
      </c>
      <c r="F696" s="32" t="n">
        <f aca="false">IF('Raw Orders'!K693="Refunded",'Raw Orders'!G693,0)</f>
        <v>0</v>
      </c>
    </row>
    <row r="697" customFormat="false" ht="15" hidden="false" customHeight="false" outlineLevel="0" collapsed="false">
      <c r="A697" s="36" t="n">
        <f aca="false">IF('Raw Orders'!B694="","",IF(MID('Raw Orders'!B694,5,1)="-",DATE(VALUE(LEFT('Raw Orders'!B694,4)),VALUE(MID('Raw Orders'!B694,6,2)),VALUE(MID('Raw Orders'!B694,9,2))),DATE(VALUE(MID('Raw Orders'!B694,7,4)),VALUE(MID('Raw Orders'!B694,4,2)),VALUE(LEFT('Raw Orders'!B694,2)))))</f>
        <v>46183</v>
      </c>
      <c r="B697" s="36" t="n">
        <f aca="false">IF(A697="","",A697-WEEKDAY(A697,3))</f>
        <v>46181</v>
      </c>
      <c r="C697" s="32" t="n">
        <f aca="false">IF(OR('Raw Orders'!C694&lt;&gt;"Product",'Raw Orders'!K694="Cancelled"),0,'Raw Orders'!G694)</f>
        <v>0</v>
      </c>
      <c r="D697" s="31" t="n">
        <f aca="false">IF(AND('Raw Orders'!C694="Product",'Raw Orders'!K694="Fulfilled",COUNTIFS('Raw Orders'!$A$2:$A694,'Raw Orders'!A694,'Raw Orders'!$C$2:$C694,"Product",'Raw Orders'!$K$2:$K694,"Fulfilled")=1),1,0)</f>
        <v>0</v>
      </c>
      <c r="E697" s="31" t="n">
        <f aca="false">IF(AND('Raw Orders'!C694="Product",'Raw Orders'!K694="Fulfilled"),'Raw Orders'!E694,0)</f>
        <v>0</v>
      </c>
      <c r="F697" s="32" t="n">
        <f aca="false">IF('Raw Orders'!K694="Refunded",'Raw Orders'!G694,0)</f>
        <v>0</v>
      </c>
    </row>
    <row r="698" customFormat="false" ht="15" hidden="false" customHeight="false" outlineLevel="0" collapsed="false">
      <c r="A698" s="36" t="n">
        <f aca="false">IF('Raw Orders'!B695="","",IF(MID('Raw Orders'!B695,5,1)="-",DATE(VALUE(LEFT('Raw Orders'!B695,4)),VALUE(MID('Raw Orders'!B695,6,2)),VALUE(MID('Raw Orders'!B695,9,2))),DATE(VALUE(MID('Raw Orders'!B695,7,4)),VALUE(MID('Raw Orders'!B695,4,2)),VALUE(LEFT('Raw Orders'!B695,2)))))</f>
        <v>46183</v>
      </c>
      <c r="B698" s="36" t="n">
        <f aca="false">IF(A698="","",A698-WEEKDAY(A698,3))</f>
        <v>46181</v>
      </c>
      <c r="C698" s="32" t="n">
        <f aca="false">IF(OR('Raw Orders'!C695&lt;&gt;"Product",'Raw Orders'!K695="Cancelled"),0,'Raw Orders'!G695)</f>
        <v>22</v>
      </c>
      <c r="D698" s="31" t="n">
        <f aca="false">IF(AND('Raw Orders'!C695="Product",'Raw Orders'!K695="Fulfilled",COUNTIFS('Raw Orders'!$A$2:$A695,'Raw Orders'!A695,'Raw Orders'!$C$2:$C695,"Product",'Raw Orders'!$K$2:$K695,"Fulfilled")=1),1,0)</f>
        <v>1</v>
      </c>
      <c r="E698" s="31" t="n">
        <f aca="false">IF(AND('Raw Orders'!C695="Product",'Raw Orders'!K695="Fulfilled"),'Raw Orders'!E695,0)</f>
        <v>1</v>
      </c>
      <c r="F698" s="32" t="n">
        <f aca="false">IF('Raw Orders'!K695="Refunded",'Raw Orders'!G695,0)</f>
        <v>0</v>
      </c>
    </row>
    <row r="699" customFormat="false" ht="15" hidden="false" customHeight="false" outlineLevel="0" collapsed="false">
      <c r="A699" s="36" t="n">
        <f aca="false">IF('Raw Orders'!B696="","",IF(MID('Raw Orders'!B696,5,1)="-",DATE(VALUE(LEFT('Raw Orders'!B696,4)),VALUE(MID('Raw Orders'!B696,6,2)),VALUE(MID('Raw Orders'!B696,9,2))),DATE(VALUE(MID('Raw Orders'!B696,7,4)),VALUE(MID('Raw Orders'!B696,4,2)),VALUE(LEFT('Raw Orders'!B696,2)))))</f>
        <v>46183</v>
      </c>
      <c r="B699" s="36" t="n">
        <f aca="false">IF(A699="","",A699-WEEKDAY(A699,3))</f>
        <v>46181</v>
      </c>
      <c r="C699" s="32" t="n">
        <f aca="false">IF(OR('Raw Orders'!C696&lt;&gt;"Product",'Raw Orders'!K696="Cancelled"),0,'Raw Orders'!G696)</f>
        <v>0</v>
      </c>
      <c r="D699" s="31" t="n">
        <f aca="false">IF(AND('Raw Orders'!C696="Product",'Raw Orders'!K696="Fulfilled",COUNTIFS('Raw Orders'!$A$2:$A696,'Raw Orders'!A696,'Raw Orders'!$C$2:$C696,"Product",'Raw Orders'!$K$2:$K696,"Fulfilled")=1),1,0)</f>
        <v>0</v>
      </c>
      <c r="E699" s="31" t="n">
        <f aca="false">IF(AND('Raw Orders'!C696="Product",'Raw Orders'!K696="Fulfilled"),'Raw Orders'!E696,0)</f>
        <v>0</v>
      </c>
      <c r="F699" s="32" t="n">
        <f aca="false">IF('Raw Orders'!K696="Refunded",'Raw Orders'!G696,0)</f>
        <v>0</v>
      </c>
    </row>
    <row r="700" customFormat="false" ht="15" hidden="false" customHeight="false" outlineLevel="0" collapsed="false">
      <c r="A700" s="36" t="n">
        <f aca="false">IF('Raw Orders'!B697="","",IF(MID('Raw Orders'!B697,5,1)="-",DATE(VALUE(LEFT('Raw Orders'!B697,4)),VALUE(MID('Raw Orders'!B697,6,2)),VALUE(MID('Raw Orders'!B697,9,2))),DATE(VALUE(MID('Raw Orders'!B697,7,4)),VALUE(MID('Raw Orders'!B697,4,2)),VALUE(LEFT('Raw Orders'!B697,2)))))</f>
        <v>46183</v>
      </c>
      <c r="B700" s="36" t="n">
        <f aca="false">IF(A700="","",A700-WEEKDAY(A700,3))</f>
        <v>46181</v>
      </c>
      <c r="C700" s="32" t="n">
        <f aca="false">IF(OR('Raw Orders'!C697&lt;&gt;"Product",'Raw Orders'!K697="Cancelled"),0,'Raw Orders'!G697)</f>
        <v>89</v>
      </c>
      <c r="D700" s="31" t="n">
        <f aca="false">IF(AND('Raw Orders'!C697="Product",'Raw Orders'!K697="Fulfilled",COUNTIFS('Raw Orders'!$A$2:$A697,'Raw Orders'!A697,'Raw Orders'!$C$2:$C697,"Product",'Raw Orders'!$K$2:$K697,"Fulfilled")=1),1,0)</f>
        <v>1</v>
      </c>
      <c r="E700" s="31" t="n">
        <f aca="false">IF(AND('Raw Orders'!C697="Product",'Raw Orders'!K697="Fulfilled"),'Raw Orders'!E697,0)</f>
        <v>1</v>
      </c>
      <c r="F700" s="32" t="n">
        <f aca="false">IF('Raw Orders'!K697="Refunded",'Raw Orders'!G697,0)</f>
        <v>0</v>
      </c>
    </row>
    <row r="701" customFormat="false" ht="15" hidden="false" customHeight="false" outlineLevel="0" collapsed="false">
      <c r="A701" s="36" t="n">
        <f aca="false">IF('Raw Orders'!B698="","",IF(MID('Raw Orders'!B698,5,1)="-",DATE(VALUE(LEFT('Raw Orders'!B698,4)),VALUE(MID('Raw Orders'!B698,6,2)),VALUE(MID('Raw Orders'!B698,9,2))),DATE(VALUE(MID('Raw Orders'!B698,7,4)),VALUE(MID('Raw Orders'!B698,4,2)),VALUE(LEFT('Raw Orders'!B698,2)))))</f>
        <v>46183</v>
      </c>
      <c r="B701" s="36" t="n">
        <f aca="false">IF(A701="","",A701-WEEKDAY(A701,3))</f>
        <v>46181</v>
      </c>
      <c r="C701" s="32" t="n">
        <f aca="false">IF(OR('Raw Orders'!C698&lt;&gt;"Product",'Raw Orders'!K698="Cancelled"),0,'Raw Orders'!G698)</f>
        <v>78</v>
      </c>
      <c r="D701" s="31" t="n">
        <f aca="false">IF(AND('Raw Orders'!C698="Product",'Raw Orders'!K698="Fulfilled",COUNTIFS('Raw Orders'!$A$2:$A698,'Raw Orders'!A698,'Raw Orders'!$C$2:$C698,"Product",'Raw Orders'!$K$2:$K698,"Fulfilled")=1),1,0)</f>
        <v>1</v>
      </c>
      <c r="E701" s="31" t="n">
        <f aca="false">IF(AND('Raw Orders'!C698="Product",'Raw Orders'!K698="Fulfilled"),'Raw Orders'!E698,0)</f>
        <v>3</v>
      </c>
      <c r="F701" s="32" t="n">
        <f aca="false">IF('Raw Orders'!K698="Refunded",'Raw Orders'!G698,0)</f>
        <v>0</v>
      </c>
    </row>
    <row r="702" customFormat="false" ht="15" hidden="false" customHeight="false" outlineLevel="0" collapsed="false">
      <c r="A702" s="36" t="n">
        <f aca="false">IF('Raw Orders'!B699="","",IF(MID('Raw Orders'!B699,5,1)="-",DATE(VALUE(LEFT('Raw Orders'!B699,4)),VALUE(MID('Raw Orders'!B699,6,2)),VALUE(MID('Raw Orders'!B699,9,2))),DATE(VALUE(MID('Raw Orders'!B699,7,4)),VALUE(MID('Raw Orders'!B699,4,2)),VALUE(LEFT('Raw Orders'!B699,2)))))</f>
        <v>46184</v>
      </c>
      <c r="B702" s="36" t="n">
        <f aca="false">IF(A702="","",A702-WEEKDAY(A702,3))</f>
        <v>46181</v>
      </c>
      <c r="C702" s="32" t="n">
        <f aca="false">IF(OR('Raw Orders'!C699&lt;&gt;"Product",'Raw Orders'!K699="Cancelled"),0,'Raw Orders'!G699)</f>
        <v>0</v>
      </c>
      <c r="D702" s="31" t="n">
        <f aca="false">IF(AND('Raw Orders'!C699="Product",'Raw Orders'!K699="Fulfilled",COUNTIFS('Raw Orders'!$A$2:$A699,'Raw Orders'!A699,'Raw Orders'!$C$2:$C699,"Product",'Raw Orders'!$K$2:$K699,"Fulfilled")=1),1,0)</f>
        <v>0</v>
      </c>
      <c r="E702" s="31" t="n">
        <f aca="false">IF(AND('Raw Orders'!C699="Product",'Raw Orders'!K699="Fulfilled"),'Raw Orders'!E699,0)</f>
        <v>0</v>
      </c>
      <c r="F702" s="32" t="n">
        <f aca="false">IF('Raw Orders'!K699="Refunded",'Raw Orders'!G699,0)</f>
        <v>0</v>
      </c>
    </row>
    <row r="703" customFormat="false" ht="15" hidden="false" customHeight="false" outlineLevel="0" collapsed="false">
      <c r="A703" s="36" t="n">
        <f aca="false">IF('Raw Orders'!B700="","",IF(MID('Raw Orders'!B700,5,1)="-",DATE(VALUE(LEFT('Raw Orders'!B700,4)),VALUE(MID('Raw Orders'!B700,6,2)),VALUE(MID('Raw Orders'!B700,9,2))),DATE(VALUE(MID('Raw Orders'!B700,7,4)),VALUE(MID('Raw Orders'!B700,4,2)),VALUE(LEFT('Raw Orders'!B700,2)))))</f>
        <v>46184</v>
      </c>
      <c r="B703" s="36" t="n">
        <f aca="false">IF(A703="","",A703-WEEKDAY(A703,3))</f>
        <v>46181</v>
      </c>
      <c r="C703" s="32" t="n">
        <f aca="false">IF(OR('Raw Orders'!C700&lt;&gt;"Product",'Raw Orders'!K700="Cancelled"),0,'Raw Orders'!G700)</f>
        <v>14</v>
      </c>
      <c r="D703" s="31" t="n">
        <f aca="false">IF(AND('Raw Orders'!C700="Product",'Raw Orders'!K700="Fulfilled",COUNTIFS('Raw Orders'!$A$2:$A700,'Raw Orders'!A700,'Raw Orders'!$C$2:$C700,"Product",'Raw Orders'!$K$2:$K700,"Fulfilled")=1),1,0)</f>
        <v>1</v>
      </c>
      <c r="E703" s="31" t="n">
        <f aca="false">IF(AND('Raw Orders'!C700="Product",'Raw Orders'!K700="Fulfilled"),'Raw Orders'!E700,0)</f>
        <v>1</v>
      </c>
      <c r="F703" s="32" t="n">
        <f aca="false">IF('Raw Orders'!K700="Refunded",'Raw Orders'!G700,0)</f>
        <v>0</v>
      </c>
    </row>
    <row r="704" customFormat="false" ht="15" hidden="false" customHeight="false" outlineLevel="0" collapsed="false">
      <c r="A704" s="36" t="n">
        <f aca="false">IF('Raw Orders'!B701="","",IF(MID('Raw Orders'!B701,5,1)="-",DATE(VALUE(LEFT('Raw Orders'!B701,4)),VALUE(MID('Raw Orders'!B701,6,2)),VALUE(MID('Raw Orders'!B701,9,2))),DATE(VALUE(MID('Raw Orders'!B701,7,4)),VALUE(MID('Raw Orders'!B701,4,2)),VALUE(LEFT('Raw Orders'!B701,2)))))</f>
        <v>46184</v>
      </c>
      <c r="B704" s="36" t="n">
        <f aca="false">IF(A704="","",A704-WEEKDAY(A704,3))</f>
        <v>46181</v>
      </c>
      <c r="C704" s="32" t="n">
        <f aca="false">IF(OR('Raw Orders'!C701&lt;&gt;"Product",'Raw Orders'!K701="Cancelled"),0,'Raw Orders'!G701)</f>
        <v>69</v>
      </c>
      <c r="D704" s="31" t="n">
        <f aca="false">IF(AND('Raw Orders'!C701="Product",'Raw Orders'!K701="Fulfilled",COUNTIFS('Raw Orders'!$A$2:$A701,'Raw Orders'!A701,'Raw Orders'!$C$2:$C701,"Product",'Raw Orders'!$K$2:$K701,"Fulfilled")=1),1,0)</f>
        <v>0</v>
      </c>
      <c r="E704" s="31" t="n">
        <f aca="false">IF(AND('Raw Orders'!C701="Product",'Raw Orders'!K701="Fulfilled"),'Raw Orders'!E701,0)</f>
        <v>1</v>
      </c>
      <c r="F704" s="32" t="n">
        <f aca="false">IF('Raw Orders'!K701="Refunded",'Raw Orders'!G701,0)</f>
        <v>0</v>
      </c>
    </row>
    <row r="705" customFormat="false" ht="15" hidden="false" customHeight="false" outlineLevel="0" collapsed="false">
      <c r="A705" s="36" t="n">
        <f aca="false">IF('Raw Orders'!B702="","",IF(MID('Raw Orders'!B702,5,1)="-",DATE(VALUE(LEFT('Raw Orders'!B702,4)),VALUE(MID('Raw Orders'!B702,6,2)),VALUE(MID('Raw Orders'!B702,9,2))),DATE(VALUE(MID('Raw Orders'!B702,7,4)),VALUE(MID('Raw Orders'!B702,4,2)),VALUE(LEFT('Raw Orders'!B702,2)))))</f>
        <v>46184</v>
      </c>
      <c r="B705" s="36" t="n">
        <f aca="false">IF(A705="","",A705-WEEKDAY(A705,3))</f>
        <v>46181</v>
      </c>
      <c r="C705" s="32" t="n">
        <f aca="false">IF(OR('Raw Orders'!C702&lt;&gt;"Product",'Raw Orders'!K702="Cancelled"),0,'Raw Orders'!G702)</f>
        <v>39</v>
      </c>
      <c r="D705" s="31" t="n">
        <f aca="false">IF(AND('Raw Orders'!C702="Product",'Raw Orders'!K702="Fulfilled",COUNTIFS('Raw Orders'!$A$2:$A702,'Raw Orders'!A702,'Raw Orders'!$C$2:$C702,"Product",'Raw Orders'!$K$2:$K702,"Fulfilled")=1),1,0)</f>
        <v>1</v>
      </c>
      <c r="E705" s="31" t="n">
        <f aca="false">IF(AND('Raw Orders'!C702="Product",'Raw Orders'!K702="Fulfilled"),'Raw Orders'!E702,0)</f>
        <v>1</v>
      </c>
      <c r="F705" s="32" t="n">
        <f aca="false">IF('Raw Orders'!K702="Refunded",'Raw Orders'!G702,0)</f>
        <v>0</v>
      </c>
    </row>
    <row r="706" customFormat="false" ht="15" hidden="false" customHeight="false" outlineLevel="0" collapsed="false">
      <c r="A706" s="36" t="n">
        <f aca="false">IF('Raw Orders'!B703="","",IF(MID('Raw Orders'!B703,5,1)="-",DATE(VALUE(LEFT('Raw Orders'!B703,4)),VALUE(MID('Raw Orders'!B703,6,2)),VALUE(MID('Raw Orders'!B703,9,2))),DATE(VALUE(MID('Raw Orders'!B703,7,4)),VALUE(MID('Raw Orders'!B703,4,2)),VALUE(LEFT('Raw Orders'!B703,2)))))</f>
        <v>46184</v>
      </c>
      <c r="B706" s="36" t="n">
        <f aca="false">IF(A706="","",A706-WEEKDAY(A706,3))</f>
        <v>46181</v>
      </c>
      <c r="C706" s="32" t="n">
        <f aca="false">IF(OR('Raw Orders'!C703&lt;&gt;"Product",'Raw Orders'!K703="Cancelled"),0,'Raw Orders'!G703)</f>
        <v>0</v>
      </c>
      <c r="D706" s="31" t="n">
        <f aca="false">IF(AND('Raw Orders'!C703="Product",'Raw Orders'!K703="Fulfilled",COUNTIFS('Raw Orders'!$A$2:$A703,'Raw Orders'!A703,'Raw Orders'!$C$2:$C703,"Product",'Raw Orders'!$K$2:$K703,"Fulfilled")=1),1,0)</f>
        <v>0</v>
      </c>
      <c r="E706" s="31" t="n">
        <f aca="false">IF(AND('Raw Orders'!C703="Product",'Raw Orders'!K703="Fulfilled"),'Raw Orders'!E703,0)</f>
        <v>0</v>
      </c>
      <c r="F706" s="32" t="n">
        <f aca="false">IF('Raw Orders'!K703="Refunded",'Raw Orders'!G703,0)</f>
        <v>0</v>
      </c>
    </row>
    <row r="707" customFormat="false" ht="15" hidden="false" customHeight="false" outlineLevel="0" collapsed="false">
      <c r="A707" s="36" t="n">
        <f aca="false">IF('Raw Orders'!B704="","",IF(MID('Raw Orders'!B704,5,1)="-",DATE(VALUE(LEFT('Raw Orders'!B704,4)),VALUE(MID('Raw Orders'!B704,6,2)),VALUE(MID('Raw Orders'!B704,9,2))),DATE(VALUE(MID('Raw Orders'!B704,7,4)),VALUE(MID('Raw Orders'!B704,4,2)),VALUE(LEFT('Raw Orders'!B704,2)))))</f>
        <v>46184</v>
      </c>
      <c r="B707" s="36" t="n">
        <f aca="false">IF(A707="","",A707-WEEKDAY(A707,3))</f>
        <v>46181</v>
      </c>
      <c r="C707" s="32" t="n">
        <f aca="false">IF(OR('Raw Orders'!C704&lt;&gt;"Product",'Raw Orders'!K704="Cancelled"),0,'Raw Orders'!G704)</f>
        <v>0</v>
      </c>
      <c r="D707" s="31" t="n">
        <f aca="false">IF(AND('Raw Orders'!C704="Product",'Raw Orders'!K704="Fulfilled",COUNTIFS('Raw Orders'!$A$2:$A704,'Raw Orders'!A704,'Raw Orders'!$C$2:$C704,"Product",'Raw Orders'!$K$2:$K704,"Fulfilled")=1),1,0)</f>
        <v>0</v>
      </c>
      <c r="E707" s="31" t="n">
        <f aca="false">IF(AND('Raw Orders'!C704="Product",'Raw Orders'!K704="Fulfilled"),'Raw Orders'!E704,0)</f>
        <v>0</v>
      </c>
      <c r="F707" s="32" t="n">
        <f aca="false">IF('Raw Orders'!K704="Refunded",'Raw Orders'!G704,0)</f>
        <v>0</v>
      </c>
    </row>
    <row r="708" customFormat="false" ht="15" hidden="false" customHeight="false" outlineLevel="0" collapsed="false">
      <c r="A708" s="36" t="n">
        <f aca="false">IF('Raw Orders'!B705="","",IF(MID('Raw Orders'!B705,5,1)="-",DATE(VALUE(LEFT('Raw Orders'!B705,4)),VALUE(MID('Raw Orders'!B705,6,2)),VALUE(MID('Raw Orders'!B705,9,2))),DATE(VALUE(MID('Raw Orders'!B705,7,4)),VALUE(MID('Raw Orders'!B705,4,2)),VALUE(LEFT('Raw Orders'!B705,2)))))</f>
        <v>46184</v>
      </c>
      <c r="B708" s="36" t="n">
        <f aca="false">IF(A708="","",A708-WEEKDAY(A708,3))</f>
        <v>46181</v>
      </c>
      <c r="C708" s="32" t="n">
        <f aca="false">IF(OR('Raw Orders'!C705&lt;&gt;"Product",'Raw Orders'!K705="Cancelled"),0,'Raw Orders'!G705)</f>
        <v>150</v>
      </c>
      <c r="D708" s="31" t="n">
        <f aca="false">IF(AND('Raw Orders'!C705="Product",'Raw Orders'!K705="Fulfilled",COUNTIFS('Raw Orders'!$A$2:$A705,'Raw Orders'!A705,'Raw Orders'!$C$2:$C705,"Product",'Raw Orders'!$K$2:$K705,"Fulfilled")=1),1,0)</f>
        <v>1</v>
      </c>
      <c r="E708" s="31" t="n">
        <f aca="false">IF(AND('Raw Orders'!C705="Product",'Raw Orders'!K705="Fulfilled"),'Raw Orders'!E705,0)</f>
        <v>2</v>
      </c>
      <c r="F708" s="32" t="n">
        <f aca="false">IF('Raw Orders'!K705="Refunded",'Raw Orders'!G705,0)</f>
        <v>0</v>
      </c>
    </row>
    <row r="709" customFormat="false" ht="15" hidden="false" customHeight="false" outlineLevel="0" collapsed="false">
      <c r="A709" s="36" t="n">
        <f aca="false">IF('Raw Orders'!B706="","",IF(MID('Raw Orders'!B706,5,1)="-",DATE(VALUE(LEFT('Raw Orders'!B706,4)),VALUE(MID('Raw Orders'!B706,6,2)),VALUE(MID('Raw Orders'!B706,9,2))),DATE(VALUE(MID('Raw Orders'!B706,7,4)),VALUE(MID('Raw Orders'!B706,4,2)),VALUE(LEFT('Raw Orders'!B706,2)))))</f>
        <v>46184</v>
      </c>
      <c r="B709" s="36" t="n">
        <f aca="false">IF(A709="","",A709-WEEKDAY(A709,3))</f>
        <v>46181</v>
      </c>
      <c r="C709" s="32" t="n">
        <f aca="false">IF(OR('Raw Orders'!C706&lt;&gt;"Product",'Raw Orders'!K706="Cancelled"),0,'Raw Orders'!G706)</f>
        <v>178</v>
      </c>
      <c r="D709" s="31" t="n">
        <f aca="false">IF(AND('Raw Orders'!C706="Product",'Raw Orders'!K706="Fulfilled",COUNTIFS('Raw Orders'!$A$2:$A706,'Raw Orders'!A706,'Raw Orders'!$C$2:$C706,"Product",'Raw Orders'!$K$2:$K706,"Fulfilled")=1),1,0)</f>
        <v>0</v>
      </c>
      <c r="E709" s="31" t="n">
        <f aca="false">IF(AND('Raw Orders'!C706="Product",'Raw Orders'!K706="Fulfilled"),'Raw Orders'!E706,0)</f>
        <v>2</v>
      </c>
      <c r="F709" s="32" t="n">
        <f aca="false">IF('Raw Orders'!K706="Refunded",'Raw Orders'!G706,0)</f>
        <v>0</v>
      </c>
    </row>
    <row r="710" customFormat="false" ht="15" hidden="false" customHeight="false" outlineLevel="0" collapsed="false">
      <c r="A710" s="36" t="n">
        <f aca="false">IF('Raw Orders'!B707="","",IF(MID('Raw Orders'!B707,5,1)="-",DATE(VALUE(LEFT('Raw Orders'!B707,4)),VALUE(MID('Raw Orders'!B707,6,2)),VALUE(MID('Raw Orders'!B707,9,2))),DATE(VALUE(MID('Raw Orders'!B707,7,4)),VALUE(MID('Raw Orders'!B707,4,2)),VALUE(LEFT('Raw Orders'!B707,2)))))</f>
        <v>46184</v>
      </c>
      <c r="B710" s="36" t="n">
        <f aca="false">IF(A710="","",A710-WEEKDAY(A710,3))</f>
        <v>46181</v>
      </c>
      <c r="C710" s="32" t="n">
        <f aca="false">IF(OR('Raw Orders'!C707&lt;&gt;"Product",'Raw Orders'!K707="Cancelled"),0,'Raw Orders'!G707)</f>
        <v>0</v>
      </c>
      <c r="D710" s="31" t="n">
        <f aca="false">IF(AND('Raw Orders'!C707="Product",'Raw Orders'!K707="Fulfilled",COUNTIFS('Raw Orders'!$A$2:$A707,'Raw Orders'!A707,'Raw Orders'!$C$2:$C707,"Product",'Raw Orders'!$K$2:$K707,"Fulfilled")=1),1,0)</f>
        <v>0</v>
      </c>
      <c r="E710" s="31" t="n">
        <f aca="false">IF(AND('Raw Orders'!C707="Product",'Raw Orders'!K707="Fulfilled"),'Raw Orders'!E707,0)</f>
        <v>0</v>
      </c>
      <c r="F710" s="32" t="n">
        <f aca="false">IF('Raw Orders'!K707="Refunded",'Raw Orders'!G707,0)</f>
        <v>0</v>
      </c>
    </row>
    <row r="711" customFormat="false" ht="15" hidden="false" customHeight="false" outlineLevel="0" collapsed="false">
      <c r="A711" s="36" t="n">
        <f aca="false">IF('Raw Orders'!B708="","",IF(MID('Raw Orders'!B708,5,1)="-",DATE(VALUE(LEFT('Raw Orders'!B708,4)),VALUE(MID('Raw Orders'!B708,6,2)),VALUE(MID('Raw Orders'!B708,9,2))),DATE(VALUE(MID('Raw Orders'!B708,7,4)),VALUE(MID('Raw Orders'!B708,4,2)),VALUE(LEFT('Raw Orders'!B708,2)))))</f>
        <v>46184</v>
      </c>
      <c r="B711" s="36" t="n">
        <f aca="false">IF(A711="","",A711-WEEKDAY(A711,3))</f>
        <v>46181</v>
      </c>
      <c r="C711" s="32" t="n">
        <f aca="false">IF(OR('Raw Orders'!C708&lt;&gt;"Product",'Raw Orders'!K708="Cancelled"),0,'Raw Orders'!G708)</f>
        <v>69</v>
      </c>
      <c r="D711" s="31" t="n">
        <f aca="false">IF(AND('Raw Orders'!C708="Product",'Raw Orders'!K708="Fulfilled",COUNTIFS('Raw Orders'!$A$2:$A708,'Raw Orders'!A708,'Raw Orders'!$C$2:$C708,"Product",'Raw Orders'!$K$2:$K708,"Fulfilled")=1),1,0)</f>
        <v>1</v>
      </c>
      <c r="E711" s="31" t="n">
        <f aca="false">IF(AND('Raw Orders'!C708="Product",'Raw Orders'!K708="Fulfilled"),'Raw Orders'!E708,0)</f>
        <v>1</v>
      </c>
      <c r="F711" s="32" t="n">
        <f aca="false">IF('Raw Orders'!K708="Refunded",'Raw Orders'!G708,0)</f>
        <v>0</v>
      </c>
    </row>
    <row r="712" customFormat="false" ht="15" hidden="false" customHeight="false" outlineLevel="0" collapsed="false">
      <c r="A712" s="36" t="n">
        <f aca="false">IF('Raw Orders'!B709="","",IF(MID('Raw Orders'!B709,5,1)="-",DATE(VALUE(LEFT('Raw Orders'!B709,4)),VALUE(MID('Raw Orders'!B709,6,2)),VALUE(MID('Raw Orders'!B709,9,2))),DATE(VALUE(MID('Raw Orders'!B709,7,4)),VALUE(MID('Raw Orders'!B709,4,2)),VALUE(LEFT('Raw Orders'!B709,2)))))</f>
        <v>46184</v>
      </c>
      <c r="B712" s="36" t="n">
        <f aca="false">IF(A712="","",A712-WEEKDAY(A712,3))</f>
        <v>46181</v>
      </c>
      <c r="C712" s="32" t="n">
        <f aca="false">IF(OR('Raw Orders'!C709&lt;&gt;"Product",'Raw Orders'!K709="Cancelled"),0,'Raw Orders'!G709)</f>
        <v>0</v>
      </c>
      <c r="D712" s="31" t="n">
        <f aca="false">IF(AND('Raw Orders'!C709="Product",'Raw Orders'!K709="Fulfilled",COUNTIFS('Raw Orders'!$A$2:$A709,'Raw Orders'!A709,'Raw Orders'!$C$2:$C709,"Product",'Raw Orders'!$K$2:$K709,"Fulfilled")=1),1,0)</f>
        <v>0</v>
      </c>
      <c r="E712" s="31" t="n">
        <f aca="false">IF(AND('Raw Orders'!C709="Product",'Raw Orders'!K709="Fulfilled"),'Raw Orders'!E709,0)</f>
        <v>0</v>
      </c>
      <c r="F712" s="32" t="n">
        <f aca="false">IF('Raw Orders'!K709="Refunded",'Raw Orders'!G709,0)</f>
        <v>0</v>
      </c>
    </row>
    <row r="713" customFormat="false" ht="15" hidden="false" customHeight="false" outlineLevel="0" collapsed="false">
      <c r="A713" s="36" t="n">
        <f aca="false">IF('Raw Orders'!B710="","",IF(MID('Raw Orders'!B710,5,1)="-",DATE(VALUE(LEFT('Raw Orders'!B710,4)),VALUE(MID('Raw Orders'!B710,6,2)),VALUE(MID('Raw Orders'!B710,9,2))),DATE(VALUE(MID('Raw Orders'!B710,7,4)),VALUE(MID('Raw Orders'!B710,4,2)),VALUE(LEFT('Raw Orders'!B710,2)))))</f>
        <v>46184</v>
      </c>
      <c r="B713" s="36" t="n">
        <f aca="false">IF(A713="","",A713-WEEKDAY(A713,3))</f>
        <v>46181</v>
      </c>
      <c r="C713" s="32" t="n">
        <f aca="false">IF(OR('Raw Orders'!C710&lt;&gt;"Product",'Raw Orders'!K710="Cancelled"),0,'Raw Orders'!G710)</f>
        <v>39</v>
      </c>
      <c r="D713" s="31" t="n">
        <f aca="false">IF(AND('Raw Orders'!C710="Product",'Raw Orders'!K710="Fulfilled",COUNTIFS('Raw Orders'!$A$2:$A710,'Raw Orders'!A710,'Raw Orders'!$C$2:$C710,"Product",'Raw Orders'!$K$2:$K710,"Fulfilled")=1),1,0)</f>
        <v>1</v>
      </c>
      <c r="E713" s="31" t="n">
        <f aca="false">IF(AND('Raw Orders'!C710="Product",'Raw Orders'!K710="Fulfilled"),'Raw Orders'!E710,0)</f>
        <v>1</v>
      </c>
      <c r="F713" s="32" t="n">
        <f aca="false">IF('Raw Orders'!K710="Refunded",'Raw Orders'!G710,0)</f>
        <v>0</v>
      </c>
    </row>
    <row r="714" customFormat="false" ht="15" hidden="false" customHeight="false" outlineLevel="0" collapsed="false">
      <c r="A714" s="36" t="n">
        <f aca="false">IF('Raw Orders'!B711="","",IF(MID('Raw Orders'!B711,5,1)="-",DATE(VALUE(LEFT('Raw Orders'!B711,4)),VALUE(MID('Raw Orders'!B711,6,2)),VALUE(MID('Raw Orders'!B711,9,2))),DATE(VALUE(MID('Raw Orders'!B711,7,4)),VALUE(MID('Raw Orders'!B711,4,2)),VALUE(LEFT('Raw Orders'!B711,2)))))</f>
        <v>46184</v>
      </c>
      <c r="B714" s="36" t="n">
        <f aca="false">IF(A714="","",A714-WEEKDAY(A714,3))</f>
        <v>46181</v>
      </c>
      <c r="C714" s="32" t="n">
        <f aca="false">IF(OR('Raw Orders'!C711&lt;&gt;"Product",'Raw Orders'!K711="Cancelled"),0,'Raw Orders'!G711)</f>
        <v>0</v>
      </c>
      <c r="D714" s="31" t="n">
        <f aca="false">IF(AND('Raw Orders'!C711="Product",'Raw Orders'!K711="Fulfilled",COUNTIFS('Raw Orders'!$A$2:$A711,'Raw Orders'!A711,'Raw Orders'!$C$2:$C711,"Product",'Raw Orders'!$K$2:$K711,"Fulfilled")=1),1,0)</f>
        <v>0</v>
      </c>
      <c r="E714" s="31" t="n">
        <f aca="false">IF(AND('Raw Orders'!C711="Product",'Raw Orders'!K711="Fulfilled"),'Raw Orders'!E711,0)</f>
        <v>0</v>
      </c>
      <c r="F714" s="32" t="n">
        <f aca="false">IF('Raw Orders'!K711="Refunded",'Raw Orders'!G711,0)</f>
        <v>0</v>
      </c>
    </row>
    <row r="715" customFormat="false" ht="15" hidden="false" customHeight="false" outlineLevel="0" collapsed="false">
      <c r="A715" s="36" t="n">
        <f aca="false">IF('Raw Orders'!B712="","",IF(MID('Raw Orders'!B712,5,1)="-",DATE(VALUE(LEFT('Raw Orders'!B712,4)),VALUE(MID('Raw Orders'!B712,6,2)),VALUE(MID('Raw Orders'!B712,9,2))),DATE(VALUE(MID('Raw Orders'!B712,7,4)),VALUE(MID('Raw Orders'!B712,4,2)),VALUE(LEFT('Raw Orders'!B712,2)))))</f>
        <v>46184</v>
      </c>
      <c r="B715" s="36" t="n">
        <f aca="false">IF(A715="","",A715-WEEKDAY(A715,3))</f>
        <v>46181</v>
      </c>
      <c r="C715" s="32" t="n">
        <f aca="false">IF(OR('Raw Orders'!C712&lt;&gt;"Product",'Raw Orders'!K712="Cancelled"),0,'Raw Orders'!G712)</f>
        <v>35</v>
      </c>
      <c r="D715" s="31" t="n">
        <f aca="false">IF(AND('Raw Orders'!C712="Product",'Raw Orders'!K712="Fulfilled",COUNTIFS('Raw Orders'!$A$2:$A712,'Raw Orders'!A712,'Raw Orders'!$C$2:$C712,"Product",'Raw Orders'!$K$2:$K712,"Fulfilled")=1),1,0)</f>
        <v>1</v>
      </c>
      <c r="E715" s="31" t="n">
        <f aca="false">IF(AND('Raw Orders'!C712="Product",'Raw Orders'!K712="Fulfilled"),'Raw Orders'!E712,0)</f>
        <v>1</v>
      </c>
      <c r="F715" s="32" t="n">
        <f aca="false">IF('Raw Orders'!K712="Refunded",'Raw Orders'!G712,0)</f>
        <v>0</v>
      </c>
    </row>
    <row r="716" customFormat="false" ht="15" hidden="false" customHeight="false" outlineLevel="0" collapsed="false">
      <c r="A716" s="36" t="n">
        <f aca="false">IF('Raw Orders'!B713="","",IF(MID('Raw Orders'!B713,5,1)="-",DATE(VALUE(LEFT('Raw Orders'!B713,4)),VALUE(MID('Raw Orders'!B713,6,2)),VALUE(MID('Raw Orders'!B713,9,2))),DATE(VALUE(MID('Raw Orders'!B713,7,4)),VALUE(MID('Raw Orders'!B713,4,2)),VALUE(LEFT('Raw Orders'!B713,2)))))</f>
        <v>46184</v>
      </c>
      <c r="B716" s="36" t="n">
        <f aca="false">IF(A716="","",A716-WEEKDAY(A716,3))</f>
        <v>46181</v>
      </c>
      <c r="C716" s="32" t="n">
        <f aca="false">IF(OR('Raw Orders'!C713&lt;&gt;"Product",'Raw Orders'!K713="Cancelled"),0,'Raw Orders'!G713)</f>
        <v>69</v>
      </c>
      <c r="D716" s="31" t="n">
        <f aca="false">IF(AND('Raw Orders'!C713="Product",'Raw Orders'!K713="Fulfilled",COUNTIFS('Raw Orders'!$A$2:$A713,'Raw Orders'!A713,'Raw Orders'!$C$2:$C713,"Product",'Raw Orders'!$K$2:$K713,"Fulfilled")=1),1,0)</f>
        <v>0</v>
      </c>
      <c r="E716" s="31" t="n">
        <f aca="false">IF(AND('Raw Orders'!C713="Product",'Raw Orders'!K713="Fulfilled"),'Raw Orders'!E713,0)</f>
        <v>1</v>
      </c>
      <c r="F716" s="32" t="n">
        <f aca="false">IF('Raw Orders'!K713="Refunded",'Raw Orders'!G713,0)</f>
        <v>0</v>
      </c>
    </row>
    <row r="717" customFormat="false" ht="15" hidden="false" customHeight="false" outlineLevel="0" collapsed="false">
      <c r="A717" s="36" t="n">
        <f aca="false">IF('Raw Orders'!B714="","",IF(MID('Raw Orders'!B714,5,1)="-",DATE(VALUE(LEFT('Raw Orders'!B714,4)),VALUE(MID('Raw Orders'!B714,6,2)),VALUE(MID('Raw Orders'!B714,9,2))),DATE(VALUE(MID('Raw Orders'!B714,7,4)),VALUE(MID('Raw Orders'!B714,4,2)),VALUE(LEFT('Raw Orders'!B714,2)))))</f>
        <v>46184</v>
      </c>
      <c r="B717" s="36" t="n">
        <f aca="false">IF(A717="","",A717-WEEKDAY(A717,3))</f>
        <v>46181</v>
      </c>
      <c r="C717" s="32" t="n">
        <f aca="false">IF(OR('Raw Orders'!C714&lt;&gt;"Product",'Raw Orders'!K714="Cancelled"),0,'Raw Orders'!G714)</f>
        <v>178</v>
      </c>
      <c r="D717" s="31" t="n">
        <f aca="false">IF(AND('Raw Orders'!C714="Product",'Raw Orders'!K714="Fulfilled",COUNTIFS('Raw Orders'!$A$2:$A714,'Raw Orders'!A714,'Raw Orders'!$C$2:$C714,"Product",'Raw Orders'!$K$2:$K714,"Fulfilled")=1),1,0)</f>
        <v>0</v>
      </c>
      <c r="E717" s="31" t="n">
        <f aca="false">IF(AND('Raw Orders'!C714="Product",'Raw Orders'!K714="Fulfilled"),'Raw Orders'!E714,0)</f>
        <v>2</v>
      </c>
      <c r="F717" s="32" t="n">
        <f aca="false">IF('Raw Orders'!K714="Refunded",'Raw Orders'!G714,0)</f>
        <v>0</v>
      </c>
    </row>
    <row r="718" customFormat="false" ht="15" hidden="false" customHeight="false" outlineLevel="0" collapsed="false">
      <c r="A718" s="36" t="n">
        <f aca="false">IF('Raw Orders'!B715="","",IF(MID('Raw Orders'!B715,5,1)="-",DATE(VALUE(LEFT('Raw Orders'!B715,4)),VALUE(MID('Raw Orders'!B715,6,2)),VALUE(MID('Raw Orders'!B715,9,2))),DATE(VALUE(MID('Raw Orders'!B715,7,4)),VALUE(MID('Raw Orders'!B715,4,2)),VALUE(LEFT('Raw Orders'!B715,2)))))</f>
        <v>46184</v>
      </c>
      <c r="B718" s="36" t="n">
        <f aca="false">IF(A718="","",A718-WEEKDAY(A718,3))</f>
        <v>46181</v>
      </c>
      <c r="C718" s="32" t="n">
        <f aca="false">IF(OR('Raw Orders'!C715&lt;&gt;"Product",'Raw Orders'!K715="Cancelled"),0,'Raw Orders'!G715)</f>
        <v>78</v>
      </c>
      <c r="D718" s="31" t="n">
        <f aca="false">IF(AND('Raw Orders'!C715="Product",'Raw Orders'!K715="Fulfilled",COUNTIFS('Raw Orders'!$A$2:$A715,'Raw Orders'!A715,'Raw Orders'!$C$2:$C715,"Product",'Raw Orders'!$K$2:$K715,"Fulfilled")=1),1,0)</f>
        <v>1</v>
      </c>
      <c r="E718" s="31" t="n">
        <f aca="false">IF(AND('Raw Orders'!C715="Product",'Raw Orders'!K715="Fulfilled"),'Raw Orders'!E715,0)</f>
        <v>2</v>
      </c>
      <c r="F718" s="32" t="n">
        <f aca="false">IF('Raw Orders'!K715="Refunded",'Raw Orders'!G715,0)</f>
        <v>0</v>
      </c>
    </row>
    <row r="719" customFormat="false" ht="15" hidden="false" customHeight="false" outlineLevel="0" collapsed="false">
      <c r="A719" s="36" t="n">
        <f aca="false">IF('Raw Orders'!B716="","",IF(MID('Raw Orders'!B716,5,1)="-",DATE(VALUE(LEFT('Raw Orders'!B716,4)),VALUE(MID('Raw Orders'!B716,6,2)),VALUE(MID('Raw Orders'!B716,9,2))),DATE(VALUE(MID('Raw Orders'!B716,7,4)),VALUE(MID('Raw Orders'!B716,4,2)),VALUE(LEFT('Raw Orders'!B716,2)))))</f>
        <v>46184</v>
      </c>
      <c r="B719" s="36" t="n">
        <f aca="false">IF(A719="","",A719-WEEKDAY(A719,3))</f>
        <v>46181</v>
      </c>
      <c r="C719" s="32" t="n">
        <f aca="false">IF(OR('Raw Orders'!C716&lt;&gt;"Product",'Raw Orders'!K716="Cancelled"),0,'Raw Orders'!G716)</f>
        <v>45</v>
      </c>
      <c r="D719" s="31" t="n">
        <f aca="false">IF(AND('Raw Orders'!C716="Product",'Raw Orders'!K716="Fulfilled",COUNTIFS('Raw Orders'!$A$2:$A716,'Raw Orders'!A716,'Raw Orders'!$C$2:$C716,"Product",'Raw Orders'!$K$2:$K716,"Fulfilled")=1),1,0)</f>
        <v>0</v>
      </c>
      <c r="E719" s="31" t="n">
        <f aca="false">IF(AND('Raw Orders'!C716="Product",'Raw Orders'!K716="Fulfilled"),'Raw Orders'!E716,0)</f>
        <v>1</v>
      </c>
      <c r="F719" s="32" t="n">
        <f aca="false">IF('Raw Orders'!K716="Refunded",'Raw Orders'!G716,0)</f>
        <v>0</v>
      </c>
    </row>
    <row r="720" customFormat="false" ht="15" hidden="false" customHeight="false" outlineLevel="0" collapsed="false">
      <c r="A720" s="36" t="n">
        <f aca="false">IF('Raw Orders'!B717="","",IF(MID('Raw Orders'!B717,5,1)="-",DATE(VALUE(LEFT('Raw Orders'!B717,4)),VALUE(MID('Raw Orders'!B717,6,2)),VALUE(MID('Raw Orders'!B717,9,2))),DATE(VALUE(MID('Raw Orders'!B717,7,4)),VALUE(MID('Raw Orders'!B717,4,2)),VALUE(LEFT('Raw Orders'!B717,2)))))</f>
        <v>46184</v>
      </c>
      <c r="B720" s="36" t="n">
        <f aca="false">IF(A720="","",A720-WEEKDAY(A720,3))</f>
        <v>46181</v>
      </c>
      <c r="C720" s="32" t="n">
        <f aca="false">IF(OR('Raw Orders'!C717&lt;&gt;"Product",'Raw Orders'!K717="Cancelled"),0,'Raw Orders'!G717)</f>
        <v>39</v>
      </c>
      <c r="D720" s="31" t="n">
        <f aca="false">IF(AND('Raw Orders'!C717="Product",'Raw Orders'!K717="Fulfilled",COUNTIFS('Raw Orders'!$A$2:$A717,'Raw Orders'!A717,'Raw Orders'!$C$2:$C717,"Product",'Raw Orders'!$K$2:$K717,"Fulfilled")=1),1,0)</f>
        <v>1</v>
      </c>
      <c r="E720" s="31" t="n">
        <f aca="false">IF(AND('Raw Orders'!C717="Product",'Raw Orders'!K717="Fulfilled"),'Raw Orders'!E717,0)</f>
        <v>1</v>
      </c>
      <c r="F720" s="32" t="n">
        <f aca="false">IF('Raw Orders'!K717="Refunded",'Raw Orders'!G717,0)</f>
        <v>0</v>
      </c>
    </row>
    <row r="721" customFormat="false" ht="15" hidden="false" customHeight="false" outlineLevel="0" collapsed="false">
      <c r="A721" s="36" t="n">
        <f aca="false">IF('Raw Orders'!B718="","",IF(MID('Raw Orders'!B718,5,1)="-",DATE(VALUE(LEFT('Raw Orders'!B718,4)),VALUE(MID('Raw Orders'!B718,6,2)),VALUE(MID('Raw Orders'!B718,9,2))),DATE(VALUE(MID('Raw Orders'!B718,7,4)),VALUE(MID('Raw Orders'!B718,4,2)),VALUE(LEFT('Raw Orders'!B718,2)))))</f>
        <v>46184</v>
      </c>
      <c r="B721" s="36" t="n">
        <f aca="false">IF(A721="","",A721-WEEKDAY(A721,3))</f>
        <v>46181</v>
      </c>
      <c r="C721" s="32" t="n">
        <f aca="false">IF(OR('Raw Orders'!C718&lt;&gt;"Product",'Raw Orders'!K718="Cancelled"),0,'Raw Orders'!G718)</f>
        <v>28</v>
      </c>
      <c r="D721" s="31" t="n">
        <f aca="false">IF(AND('Raw Orders'!C718="Product",'Raw Orders'!K718="Fulfilled",COUNTIFS('Raw Orders'!$A$2:$A718,'Raw Orders'!A718,'Raw Orders'!$C$2:$C718,"Product",'Raw Orders'!$K$2:$K718,"Fulfilled")=1),1,0)</f>
        <v>1</v>
      </c>
      <c r="E721" s="31" t="n">
        <f aca="false">IF(AND('Raw Orders'!C718="Product",'Raw Orders'!K718="Fulfilled"),'Raw Orders'!E718,0)</f>
        <v>2</v>
      </c>
      <c r="F721" s="32" t="n">
        <f aca="false">IF('Raw Orders'!K718="Refunded",'Raw Orders'!G718,0)</f>
        <v>0</v>
      </c>
    </row>
    <row r="722" customFormat="false" ht="15" hidden="false" customHeight="false" outlineLevel="0" collapsed="false">
      <c r="A722" s="36" t="n">
        <f aca="false">IF('Raw Orders'!B719="","",IF(MID('Raw Orders'!B719,5,1)="-",DATE(VALUE(LEFT('Raw Orders'!B719,4)),VALUE(MID('Raw Orders'!B719,6,2)),VALUE(MID('Raw Orders'!B719,9,2))),DATE(VALUE(MID('Raw Orders'!B719,7,4)),VALUE(MID('Raw Orders'!B719,4,2)),VALUE(LEFT('Raw Orders'!B719,2)))))</f>
        <v>46184</v>
      </c>
      <c r="B722" s="36" t="n">
        <f aca="false">IF(A722="","",A722-WEEKDAY(A722,3))</f>
        <v>46181</v>
      </c>
      <c r="C722" s="32" t="n">
        <f aca="false">IF(OR('Raw Orders'!C719&lt;&gt;"Product",'Raw Orders'!K719="Cancelled"),0,'Raw Orders'!G719)</f>
        <v>0</v>
      </c>
      <c r="D722" s="31" t="n">
        <f aca="false">IF(AND('Raw Orders'!C719="Product",'Raw Orders'!K719="Fulfilled",COUNTIFS('Raw Orders'!$A$2:$A719,'Raw Orders'!A719,'Raw Orders'!$C$2:$C719,"Product",'Raw Orders'!$K$2:$K719,"Fulfilled")=1),1,0)</f>
        <v>0</v>
      </c>
      <c r="E722" s="31" t="n">
        <f aca="false">IF(AND('Raw Orders'!C719="Product",'Raw Orders'!K719="Fulfilled"),'Raw Orders'!E719,0)</f>
        <v>0</v>
      </c>
      <c r="F722" s="32" t="n">
        <f aca="false">IF('Raw Orders'!K719="Refunded",'Raw Orders'!G719,0)</f>
        <v>0</v>
      </c>
    </row>
    <row r="723" customFormat="false" ht="15" hidden="false" customHeight="false" outlineLevel="0" collapsed="false">
      <c r="A723" s="36" t="n">
        <f aca="false">IF('Raw Orders'!B720="","",IF(MID('Raw Orders'!B720,5,1)="-",DATE(VALUE(LEFT('Raw Orders'!B720,4)),VALUE(MID('Raw Orders'!B720,6,2)),VALUE(MID('Raw Orders'!B720,9,2))),DATE(VALUE(MID('Raw Orders'!B720,7,4)),VALUE(MID('Raw Orders'!B720,4,2)),VALUE(LEFT('Raw Orders'!B720,2)))))</f>
        <v>46184</v>
      </c>
      <c r="B723" s="36" t="n">
        <f aca="false">IF(A723="","",A723-WEEKDAY(A723,3))</f>
        <v>46181</v>
      </c>
      <c r="C723" s="32" t="n">
        <f aca="false">IF(OR('Raw Orders'!C720&lt;&gt;"Product",'Raw Orders'!K720="Cancelled"),0,'Raw Orders'!G720)</f>
        <v>0</v>
      </c>
      <c r="D723" s="31" t="n">
        <f aca="false">IF(AND('Raw Orders'!C720="Product",'Raw Orders'!K720="Fulfilled",COUNTIFS('Raw Orders'!$A$2:$A720,'Raw Orders'!A720,'Raw Orders'!$C$2:$C720,"Product",'Raw Orders'!$K$2:$K720,"Fulfilled")=1),1,0)</f>
        <v>0</v>
      </c>
      <c r="E723" s="31" t="n">
        <f aca="false">IF(AND('Raw Orders'!C720="Product",'Raw Orders'!K720="Fulfilled"),'Raw Orders'!E720,0)</f>
        <v>0</v>
      </c>
      <c r="F723" s="32" t="n">
        <f aca="false">IF('Raw Orders'!K720="Refunded",'Raw Orders'!G720,0)</f>
        <v>0</v>
      </c>
    </row>
    <row r="724" customFormat="false" ht="15" hidden="false" customHeight="false" outlineLevel="0" collapsed="false">
      <c r="A724" s="36" t="n">
        <f aca="false">IF('Raw Orders'!B721="","",IF(MID('Raw Orders'!B721,5,1)="-",DATE(VALUE(LEFT('Raw Orders'!B721,4)),VALUE(MID('Raw Orders'!B721,6,2)),VALUE(MID('Raw Orders'!B721,9,2))),DATE(VALUE(MID('Raw Orders'!B721,7,4)),VALUE(MID('Raw Orders'!B721,4,2)),VALUE(LEFT('Raw Orders'!B721,2)))))</f>
        <v>46184</v>
      </c>
      <c r="B724" s="36" t="n">
        <f aca="false">IF(A724="","",A724-WEEKDAY(A724,3))</f>
        <v>46181</v>
      </c>
      <c r="C724" s="32" t="n">
        <f aca="false">IF(OR('Raw Orders'!C721&lt;&gt;"Product",'Raw Orders'!K721="Cancelled"),0,'Raw Orders'!G721)</f>
        <v>28</v>
      </c>
      <c r="D724" s="31" t="n">
        <f aca="false">IF(AND('Raw Orders'!C721="Product",'Raw Orders'!K721="Fulfilled",COUNTIFS('Raw Orders'!$A$2:$A721,'Raw Orders'!A721,'Raw Orders'!$C$2:$C721,"Product",'Raw Orders'!$K$2:$K721,"Fulfilled")=1),1,0)</f>
        <v>1</v>
      </c>
      <c r="E724" s="31" t="n">
        <f aca="false">IF(AND('Raw Orders'!C721="Product",'Raw Orders'!K721="Fulfilled"),'Raw Orders'!E721,0)</f>
        <v>1</v>
      </c>
      <c r="F724" s="32" t="n">
        <f aca="false">IF('Raw Orders'!K721="Refunded",'Raw Orders'!G721,0)</f>
        <v>0</v>
      </c>
    </row>
    <row r="725" customFormat="false" ht="15" hidden="false" customHeight="false" outlineLevel="0" collapsed="false">
      <c r="A725" s="36" t="n">
        <f aca="false">IF('Raw Orders'!B722="","",IF(MID('Raw Orders'!B722,5,1)="-",DATE(VALUE(LEFT('Raw Orders'!B722,4)),VALUE(MID('Raw Orders'!B722,6,2)),VALUE(MID('Raw Orders'!B722,9,2))),DATE(VALUE(MID('Raw Orders'!B722,7,4)),VALUE(MID('Raw Orders'!B722,4,2)),VALUE(LEFT('Raw Orders'!B722,2)))))</f>
        <v>46184</v>
      </c>
      <c r="B725" s="36" t="n">
        <f aca="false">IF(A725="","",A725-WEEKDAY(A725,3))</f>
        <v>46181</v>
      </c>
      <c r="C725" s="32" t="n">
        <f aca="false">IF(OR('Raw Orders'!C722&lt;&gt;"Product",'Raw Orders'!K722="Cancelled"),0,'Raw Orders'!G722)</f>
        <v>45</v>
      </c>
      <c r="D725" s="31" t="n">
        <f aca="false">IF(AND('Raw Orders'!C722="Product",'Raw Orders'!K722="Fulfilled",COUNTIFS('Raw Orders'!$A$2:$A722,'Raw Orders'!A722,'Raw Orders'!$C$2:$C722,"Product",'Raw Orders'!$K$2:$K722,"Fulfilled")=1),1,0)</f>
        <v>0</v>
      </c>
      <c r="E725" s="31" t="n">
        <f aca="false">IF(AND('Raw Orders'!C722="Product",'Raw Orders'!K722="Fulfilled"),'Raw Orders'!E722,0)</f>
        <v>1</v>
      </c>
      <c r="F725" s="32" t="n">
        <f aca="false">IF('Raw Orders'!K722="Refunded",'Raw Orders'!G722,0)</f>
        <v>0</v>
      </c>
    </row>
    <row r="726" customFormat="false" ht="15" hidden="false" customHeight="false" outlineLevel="0" collapsed="false">
      <c r="A726" s="36" t="n">
        <f aca="false">IF('Raw Orders'!B723="","",IF(MID('Raw Orders'!B723,5,1)="-",DATE(VALUE(LEFT('Raw Orders'!B723,4)),VALUE(MID('Raw Orders'!B723,6,2)),VALUE(MID('Raw Orders'!B723,9,2))),DATE(VALUE(MID('Raw Orders'!B723,7,4)),VALUE(MID('Raw Orders'!B723,4,2)),VALUE(LEFT('Raw Orders'!B723,2)))))</f>
        <v>46185</v>
      </c>
      <c r="B726" s="36" t="n">
        <f aca="false">IF(A726="","",A726-WEEKDAY(A726,3))</f>
        <v>46181</v>
      </c>
      <c r="C726" s="32" t="n">
        <f aca="false">IF(OR('Raw Orders'!C723&lt;&gt;"Product",'Raw Orders'!K723="Cancelled"),0,'Raw Orders'!G723)</f>
        <v>45</v>
      </c>
      <c r="D726" s="31" t="n">
        <f aca="false">IF(AND('Raw Orders'!C723="Product",'Raw Orders'!K723="Fulfilled",COUNTIFS('Raw Orders'!$A$2:$A723,'Raw Orders'!A723,'Raw Orders'!$C$2:$C723,"Product",'Raw Orders'!$K$2:$K723,"Fulfilled")=1),1,0)</f>
        <v>1</v>
      </c>
      <c r="E726" s="31" t="n">
        <f aca="false">IF(AND('Raw Orders'!C723="Product",'Raw Orders'!K723="Fulfilled"),'Raw Orders'!E723,0)</f>
        <v>1</v>
      </c>
      <c r="F726" s="32" t="n">
        <f aca="false">IF('Raw Orders'!K723="Refunded",'Raw Orders'!G723,0)</f>
        <v>0</v>
      </c>
    </row>
    <row r="727" customFormat="false" ht="15" hidden="false" customHeight="false" outlineLevel="0" collapsed="false">
      <c r="A727" s="36" t="n">
        <f aca="false">IF('Raw Orders'!B724="","",IF(MID('Raw Orders'!B724,5,1)="-",DATE(VALUE(LEFT('Raw Orders'!B724,4)),VALUE(MID('Raw Orders'!B724,6,2)),VALUE(MID('Raw Orders'!B724,9,2))),DATE(VALUE(MID('Raw Orders'!B724,7,4)),VALUE(MID('Raw Orders'!B724,4,2)),VALUE(LEFT('Raw Orders'!B724,2)))))</f>
        <v>46185</v>
      </c>
      <c r="B727" s="36" t="n">
        <f aca="false">IF(A727="","",A727-WEEKDAY(A727,3))</f>
        <v>46181</v>
      </c>
      <c r="C727" s="32" t="n">
        <f aca="false">IF(OR('Raw Orders'!C724&lt;&gt;"Product",'Raw Orders'!K724="Cancelled"),0,'Raw Orders'!G724)</f>
        <v>0</v>
      </c>
      <c r="D727" s="31" t="n">
        <f aca="false">IF(AND('Raw Orders'!C724="Product",'Raw Orders'!K724="Fulfilled",COUNTIFS('Raw Orders'!$A$2:$A724,'Raw Orders'!A724,'Raw Orders'!$C$2:$C724,"Product",'Raw Orders'!$K$2:$K724,"Fulfilled")=1),1,0)</f>
        <v>0</v>
      </c>
      <c r="E727" s="31" t="n">
        <f aca="false">IF(AND('Raw Orders'!C724="Product",'Raw Orders'!K724="Fulfilled"),'Raw Orders'!E724,0)</f>
        <v>0</v>
      </c>
      <c r="F727" s="32" t="n">
        <f aca="false">IF('Raw Orders'!K724="Refunded",'Raw Orders'!G724,0)</f>
        <v>0</v>
      </c>
    </row>
    <row r="728" customFormat="false" ht="15" hidden="false" customHeight="false" outlineLevel="0" collapsed="false">
      <c r="A728" s="36" t="n">
        <f aca="false">IF('Raw Orders'!B725="","",IF(MID('Raw Orders'!B725,5,1)="-",DATE(VALUE(LEFT('Raw Orders'!B725,4)),VALUE(MID('Raw Orders'!B725,6,2)),VALUE(MID('Raw Orders'!B725,9,2))),DATE(VALUE(MID('Raw Orders'!B725,7,4)),VALUE(MID('Raw Orders'!B725,4,2)),VALUE(LEFT('Raw Orders'!B725,2)))))</f>
        <v>46185</v>
      </c>
      <c r="B728" s="36" t="n">
        <f aca="false">IF(A728="","",A728-WEEKDAY(A728,3))</f>
        <v>46181</v>
      </c>
      <c r="C728" s="32" t="n">
        <f aca="false">IF(OR('Raw Orders'!C725&lt;&gt;"Product",'Raw Orders'!K725="Cancelled"),0,'Raw Orders'!G725)</f>
        <v>0</v>
      </c>
      <c r="D728" s="31" t="n">
        <f aca="false">IF(AND('Raw Orders'!C725="Product",'Raw Orders'!K725="Fulfilled",COUNTIFS('Raw Orders'!$A$2:$A725,'Raw Orders'!A725,'Raw Orders'!$C$2:$C725,"Product",'Raw Orders'!$K$2:$K725,"Fulfilled")=1),1,0)</f>
        <v>0</v>
      </c>
      <c r="E728" s="31" t="n">
        <f aca="false">IF(AND('Raw Orders'!C725="Product",'Raw Orders'!K725="Fulfilled"),'Raw Orders'!E725,0)</f>
        <v>0</v>
      </c>
      <c r="F728" s="32" t="n">
        <f aca="false">IF('Raw Orders'!K725="Refunded",'Raw Orders'!G725,0)</f>
        <v>0</v>
      </c>
    </row>
    <row r="729" customFormat="false" ht="15" hidden="false" customHeight="false" outlineLevel="0" collapsed="false">
      <c r="A729" s="36" t="n">
        <f aca="false">IF('Raw Orders'!B726="","",IF(MID('Raw Orders'!B726,5,1)="-",DATE(VALUE(LEFT('Raw Orders'!B726,4)),VALUE(MID('Raw Orders'!B726,6,2)),VALUE(MID('Raw Orders'!B726,9,2))),DATE(VALUE(MID('Raw Orders'!B726,7,4)),VALUE(MID('Raw Orders'!B726,4,2)),VALUE(LEFT('Raw Orders'!B726,2)))))</f>
        <v>46185</v>
      </c>
      <c r="B729" s="36" t="n">
        <f aca="false">IF(A729="","",A729-WEEKDAY(A729,3))</f>
        <v>46181</v>
      </c>
      <c r="C729" s="32" t="n">
        <f aca="false">IF(OR('Raw Orders'!C726&lt;&gt;"Product",'Raw Orders'!K726="Cancelled"),0,'Raw Orders'!G726)</f>
        <v>75</v>
      </c>
      <c r="D729" s="31" t="n">
        <f aca="false">IF(AND('Raw Orders'!C726="Product",'Raw Orders'!K726="Fulfilled",COUNTIFS('Raw Orders'!$A$2:$A726,'Raw Orders'!A726,'Raw Orders'!$C$2:$C726,"Product",'Raw Orders'!$K$2:$K726,"Fulfilled")=1),1,0)</f>
        <v>1</v>
      </c>
      <c r="E729" s="31" t="n">
        <f aca="false">IF(AND('Raw Orders'!C726="Product",'Raw Orders'!K726="Fulfilled"),'Raw Orders'!E726,0)</f>
        <v>1</v>
      </c>
      <c r="F729" s="32" t="n">
        <f aca="false">IF('Raw Orders'!K726="Refunded",'Raw Orders'!G726,0)</f>
        <v>0</v>
      </c>
    </row>
    <row r="730" customFormat="false" ht="15" hidden="false" customHeight="false" outlineLevel="0" collapsed="false">
      <c r="A730" s="36" t="n">
        <f aca="false">IF('Raw Orders'!B727="","",IF(MID('Raw Orders'!B727,5,1)="-",DATE(VALUE(LEFT('Raw Orders'!B727,4)),VALUE(MID('Raw Orders'!B727,6,2)),VALUE(MID('Raw Orders'!B727,9,2))),DATE(VALUE(MID('Raw Orders'!B727,7,4)),VALUE(MID('Raw Orders'!B727,4,2)),VALUE(LEFT('Raw Orders'!B727,2)))))</f>
        <v>46185</v>
      </c>
      <c r="B730" s="36" t="n">
        <f aca="false">IF(A730="","",A730-WEEKDAY(A730,3))</f>
        <v>46181</v>
      </c>
      <c r="C730" s="32" t="n">
        <f aca="false">IF(OR('Raw Orders'!C727&lt;&gt;"Product",'Raw Orders'!K727="Cancelled"),0,'Raw Orders'!G727)</f>
        <v>39</v>
      </c>
      <c r="D730" s="31" t="n">
        <f aca="false">IF(AND('Raw Orders'!C727="Product",'Raw Orders'!K727="Fulfilled",COUNTIFS('Raw Orders'!$A$2:$A727,'Raw Orders'!A727,'Raw Orders'!$C$2:$C727,"Product",'Raw Orders'!$K$2:$K727,"Fulfilled")=1),1,0)</f>
        <v>1</v>
      </c>
      <c r="E730" s="31" t="n">
        <f aca="false">IF(AND('Raw Orders'!C727="Product",'Raw Orders'!K727="Fulfilled"),'Raw Orders'!E727,0)</f>
        <v>1</v>
      </c>
      <c r="F730" s="32" t="n">
        <f aca="false">IF('Raw Orders'!K727="Refunded",'Raw Orders'!G727,0)</f>
        <v>0</v>
      </c>
    </row>
    <row r="731" customFormat="false" ht="15" hidden="false" customHeight="false" outlineLevel="0" collapsed="false">
      <c r="A731" s="36" t="n">
        <f aca="false">IF('Raw Orders'!B728="","",IF(MID('Raw Orders'!B728,5,1)="-",DATE(VALUE(LEFT('Raw Orders'!B728,4)),VALUE(MID('Raw Orders'!B728,6,2)),VALUE(MID('Raw Orders'!B728,9,2))),DATE(VALUE(MID('Raw Orders'!B728,7,4)),VALUE(MID('Raw Orders'!B728,4,2)),VALUE(LEFT('Raw Orders'!B728,2)))))</f>
        <v>46185</v>
      </c>
      <c r="B731" s="36" t="n">
        <f aca="false">IF(A731="","",A731-WEEKDAY(A731,3))</f>
        <v>46181</v>
      </c>
      <c r="C731" s="32" t="n">
        <f aca="false">IF(OR('Raw Orders'!C728&lt;&gt;"Product",'Raw Orders'!K728="Cancelled"),0,'Raw Orders'!G728)</f>
        <v>0</v>
      </c>
      <c r="D731" s="31" t="n">
        <f aca="false">IF(AND('Raw Orders'!C728="Product",'Raw Orders'!K728="Fulfilled",COUNTIFS('Raw Orders'!$A$2:$A728,'Raw Orders'!A728,'Raw Orders'!$C$2:$C728,"Product",'Raw Orders'!$K$2:$K728,"Fulfilled")=1),1,0)</f>
        <v>0</v>
      </c>
      <c r="E731" s="31" t="n">
        <f aca="false">IF(AND('Raw Orders'!C728="Product",'Raw Orders'!K728="Fulfilled"),'Raw Orders'!E728,0)</f>
        <v>0</v>
      </c>
      <c r="F731" s="32" t="n">
        <f aca="false">IF('Raw Orders'!K728="Refunded",'Raw Orders'!G728,0)</f>
        <v>0</v>
      </c>
    </row>
    <row r="732" customFormat="false" ht="15" hidden="false" customHeight="false" outlineLevel="0" collapsed="false">
      <c r="A732" s="36" t="n">
        <f aca="false">IF('Raw Orders'!B729="","",IF(MID('Raw Orders'!B729,5,1)="-",DATE(VALUE(LEFT('Raw Orders'!B729,4)),VALUE(MID('Raw Orders'!B729,6,2)),VALUE(MID('Raw Orders'!B729,9,2))),DATE(VALUE(MID('Raw Orders'!B729,7,4)),VALUE(MID('Raw Orders'!B729,4,2)),VALUE(LEFT('Raw Orders'!B729,2)))))</f>
        <v>46185</v>
      </c>
      <c r="B732" s="36" t="n">
        <f aca="false">IF(A732="","",A732-WEEKDAY(A732,3))</f>
        <v>46181</v>
      </c>
      <c r="C732" s="32" t="n">
        <f aca="false">IF(OR('Raw Orders'!C729&lt;&gt;"Product",'Raw Orders'!K729="Cancelled"),0,'Raw Orders'!G729)</f>
        <v>0</v>
      </c>
      <c r="D732" s="31" t="n">
        <f aca="false">IF(AND('Raw Orders'!C729="Product",'Raw Orders'!K729="Fulfilled",COUNTIFS('Raw Orders'!$A$2:$A729,'Raw Orders'!A729,'Raw Orders'!$C$2:$C729,"Product",'Raw Orders'!$K$2:$K729,"Fulfilled")=1),1,0)</f>
        <v>0</v>
      </c>
      <c r="E732" s="31" t="n">
        <f aca="false">IF(AND('Raw Orders'!C729="Product",'Raw Orders'!K729="Fulfilled"),'Raw Orders'!E729,0)</f>
        <v>0</v>
      </c>
      <c r="F732" s="32" t="n">
        <f aca="false">IF('Raw Orders'!K729="Refunded",'Raw Orders'!G729,0)</f>
        <v>0</v>
      </c>
    </row>
    <row r="733" customFormat="false" ht="15" hidden="false" customHeight="false" outlineLevel="0" collapsed="false">
      <c r="A733" s="36" t="n">
        <f aca="false">IF('Raw Orders'!B730="","",IF(MID('Raw Orders'!B730,5,1)="-",DATE(VALUE(LEFT('Raw Orders'!B730,4)),VALUE(MID('Raw Orders'!B730,6,2)),VALUE(MID('Raw Orders'!B730,9,2))),DATE(VALUE(MID('Raw Orders'!B730,7,4)),VALUE(MID('Raw Orders'!B730,4,2)),VALUE(LEFT('Raw Orders'!B730,2)))))</f>
        <v>46185</v>
      </c>
      <c r="B733" s="36" t="n">
        <f aca="false">IF(A733="","",A733-WEEKDAY(A733,3))</f>
        <v>46181</v>
      </c>
      <c r="C733" s="32" t="n">
        <f aca="false">IF(OR('Raw Orders'!C730&lt;&gt;"Product",'Raw Orders'!K730="Cancelled"),0,'Raw Orders'!G730)</f>
        <v>32</v>
      </c>
      <c r="D733" s="31" t="n">
        <f aca="false">IF(AND('Raw Orders'!C730="Product",'Raw Orders'!K730="Fulfilled",COUNTIFS('Raw Orders'!$A$2:$A730,'Raw Orders'!A730,'Raw Orders'!$C$2:$C730,"Product",'Raw Orders'!$K$2:$K730,"Fulfilled")=1),1,0)</f>
        <v>1</v>
      </c>
      <c r="E733" s="31" t="n">
        <f aca="false">IF(AND('Raw Orders'!C730="Product",'Raw Orders'!K730="Fulfilled"),'Raw Orders'!E730,0)</f>
        <v>1</v>
      </c>
      <c r="F733" s="32" t="n">
        <f aca="false">IF('Raw Orders'!K730="Refunded",'Raw Orders'!G730,0)</f>
        <v>0</v>
      </c>
    </row>
    <row r="734" customFormat="false" ht="15" hidden="false" customHeight="false" outlineLevel="0" collapsed="false">
      <c r="A734" s="36" t="n">
        <f aca="false">IF('Raw Orders'!B731="","",IF(MID('Raw Orders'!B731,5,1)="-",DATE(VALUE(LEFT('Raw Orders'!B731,4)),VALUE(MID('Raw Orders'!B731,6,2)),VALUE(MID('Raw Orders'!B731,9,2))),DATE(VALUE(MID('Raw Orders'!B731,7,4)),VALUE(MID('Raw Orders'!B731,4,2)),VALUE(LEFT('Raw Orders'!B731,2)))))</f>
        <v>46185</v>
      </c>
      <c r="B734" s="36" t="n">
        <f aca="false">IF(A734="","",A734-WEEKDAY(A734,3))</f>
        <v>46181</v>
      </c>
      <c r="C734" s="32" t="n">
        <f aca="false">IF(OR('Raw Orders'!C731&lt;&gt;"Product",'Raw Orders'!K731="Cancelled"),0,'Raw Orders'!G731)</f>
        <v>0</v>
      </c>
      <c r="D734" s="31" t="n">
        <f aca="false">IF(AND('Raw Orders'!C731="Product",'Raw Orders'!K731="Fulfilled",COUNTIFS('Raw Orders'!$A$2:$A731,'Raw Orders'!A731,'Raw Orders'!$C$2:$C731,"Product",'Raw Orders'!$K$2:$K731,"Fulfilled")=1),1,0)</f>
        <v>0</v>
      </c>
      <c r="E734" s="31" t="n">
        <f aca="false">IF(AND('Raw Orders'!C731="Product",'Raw Orders'!K731="Fulfilled"),'Raw Orders'!E731,0)</f>
        <v>0</v>
      </c>
      <c r="F734" s="32" t="n">
        <f aca="false">IF('Raw Orders'!K731="Refunded",'Raw Orders'!G731,0)</f>
        <v>0</v>
      </c>
    </row>
    <row r="735" customFormat="false" ht="15" hidden="false" customHeight="false" outlineLevel="0" collapsed="false">
      <c r="A735" s="36" t="n">
        <f aca="false">IF('Raw Orders'!B732="","",IF(MID('Raw Orders'!B732,5,1)="-",DATE(VALUE(LEFT('Raw Orders'!B732,4)),VALUE(MID('Raw Orders'!B732,6,2)),VALUE(MID('Raw Orders'!B732,9,2))),DATE(VALUE(MID('Raw Orders'!B732,7,4)),VALUE(MID('Raw Orders'!B732,4,2)),VALUE(LEFT('Raw Orders'!B732,2)))))</f>
        <v>46185</v>
      </c>
      <c r="B735" s="36" t="n">
        <f aca="false">IF(A735="","",A735-WEEKDAY(A735,3))</f>
        <v>46181</v>
      </c>
      <c r="C735" s="32" t="n">
        <f aca="false">IF(OR('Raw Orders'!C732&lt;&gt;"Product",'Raw Orders'!K732="Cancelled"),0,'Raw Orders'!G732)</f>
        <v>52</v>
      </c>
      <c r="D735" s="31" t="n">
        <f aca="false">IF(AND('Raw Orders'!C732="Product",'Raw Orders'!K732="Fulfilled",COUNTIFS('Raw Orders'!$A$2:$A732,'Raw Orders'!A732,'Raw Orders'!$C$2:$C732,"Product",'Raw Orders'!$K$2:$K732,"Fulfilled")=1),1,0)</f>
        <v>1</v>
      </c>
      <c r="E735" s="31" t="n">
        <f aca="false">IF(AND('Raw Orders'!C732="Product",'Raw Orders'!K732="Fulfilled"),'Raw Orders'!E732,0)</f>
        <v>2</v>
      </c>
      <c r="F735" s="32" t="n">
        <f aca="false">IF('Raw Orders'!K732="Refunded",'Raw Orders'!G732,0)</f>
        <v>0</v>
      </c>
    </row>
    <row r="736" customFormat="false" ht="15" hidden="false" customHeight="false" outlineLevel="0" collapsed="false">
      <c r="A736" s="36" t="n">
        <f aca="false">IF('Raw Orders'!B733="","",IF(MID('Raw Orders'!B733,5,1)="-",DATE(VALUE(LEFT('Raw Orders'!B733,4)),VALUE(MID('Raw Orders'!B733,6,2)),VALUE(MID('Raw Orders'!B733,9,2))),DATE(VALUE(MID('Raw Orders'!B733,7,4)),VALUE(MID('Raw Orders'!B733,4,2)),VALUE(LEFT('Raw Orders'!B733,2)))))</f>
        <v>46185</v>
      </c>
      <c r="B736" s="36" t="n">
        <f aca="false">IF(A736="","",A736-WEEKDAY(A736,3))</f>
        <v>46181</v>
      </c>
      <c r="C736" s="32" t="n">
        <f aca="false">IF(OR('Raw Orders'!C733&lt;&gt;"Product",'Raw Orders'!K733="Cancelled"),0,'Raw Orders'!G733)</f>
        <v>22</v>
      </c>
      <c r="D736" s="31" t="n">
        <f aca="false">IF(AND('Raw Orders'!C733="Product",'Raw Orders'!K733="Fulfilled",COUNTIFS('Raw Orders'!$A$2:$A733,'Raw Orders'!A733,'Raw Orders'!$C$2:$C733,"Product",'Raw Orders'!$K$2:$K733,"Fulfilled")=1),1,0)</f>
        <v>0</v>
      </c>
      <c r="E736" s="31" t="n">
        <f aca="false">IF(AND('Raw Orders'!C733="Product",'Raw Orders'!K733="Fulfilled"),'Raw Orders'!E733,0)</f>
        <v>1</v>
      </c>
      <c r="F736" s="32" t="n">
        <f aca="false">IF('Raw Orders'!K733="Refunded",'Raw Orders'!G733,0)</f>
        <v>0</v>
      </c>
    </row>
    <row r="737" customFormat="false" ht="15" hidden="false" customHeight="false" outlineLevel="0" collapsed="false">
      <c r="A737" s="36" t="n">
        <f aca="false">IF('Raw Orders'!B734="","",IF(MID('Raw Orders'!B734,5,1)="-",DATE(VALUE(LEFT('Raw Orders'!B734,4)),VALUE(MID('Raw Orders'!B734,6,2)),VALUE(MID('Raw Orders'!B734,9,2))),DATE(VALUE(MID('Raw Orders'!B734,7,4)),VALUE(MID('Raw Orders'!B734,4,2)),VALUE(LEFT('Raw Orders'!B734,2)))))</f>
        <v>46185</v>
      </c>
      <c r="B737" s="36" t="n">
        <f aca="false">IF(A737="","",A737-WEEKDAY(A737,3))</f>
        <v>46181</v>
      </c>
      <c r="C737" s="32" t="n">
        <f aca="false">IF(OR('Raw Orders'!C734&lt;&gt;"Product",'Raw Orders'!K734="Cancelled"),0,'Raw Orders'!G734)</f>
        <v>0</v>
      </c>
      <c r="D737" s="31" t="n">
        <f aca="false">IF(AND('Raw Orders'!C734="Product",'Raw Orders'!K734="Fulfilled",COUNTIFS('Raw Orders'!$A$2:$A734,'Raw Orders'!A734,'Raw Orders'!$C$2:$C734,"Product",'Raw Orders'!$K$2:$K734,"Fulfilled")=1),1,0)</f>
        <v>0</v>
      </c>
      <c r="E737" s="31" t="n">
        <f aca="false">IF(AND('Raw Orders'!C734="Product",'Raw Orders'!K734="Fulfilled"),'Raw Orders'!E734,0)</f>
        <v>0</v>
      </c>
      <c r="F737" s="32" t="n">
        <f aca="false">IF('Raw Orders'!K734="Refunded",'Raw Orders'!G734,0)</f>
        <v>0</v>
      </c>
    </row>
    <row r="738" customFormat="false" ht="15" hidden="false" customHeight="false" outlineLevel="0" collapsed="false">
      <c r="A738" s="36" t="n">
        <f aca="false">IF('Raw Orders'!B735="","",IF(MID('Raw Orders'!B735,5,1)="-",DATE(VALUE(LEFT('Raw Orders'!B735,4)),VALUE(MID('Raw Orders'!B735,6,2)),VALUE(MID('Raw Orders'!B735,9,2))),DATE(VALUE(MID('Raw Orders'!B735,7,4)),VALUE(MID('Raw Orders'!B735,4,2)),VALUE(LEFT('Raw Orders'!B735,2)))))</f>
        <v>46185</v>
      </c>
      <c r="B738" s="36" t="n">
        <f aca="false">IF(A738="","",A738-WEEKDAY(A738,3))</f>
        <v>46181</v>
      </c>
      <c r="C738" s="32" t="n">
        <f aca="false">IF(OR('Raw Orders'!C735&lt;&gt;"Product",'Raw Orders'!K735="Cancelled"),0,'Raw Orders'!G735)</f>
        <v>90</v>
      </c>
      <c r="D738" s="31" t="n">
        <f aca="false">IF(AND('Raw Orders'!C735="Product",'Raw Orders'!K735="Fulfilled",COUNTIFS('Raw Orders'!$A$2:$A735,'Raw Orders'!A735,'Raw Orders'!$C$2:$C735,"Product",'Raw Orders'!$K$2:$K735,"Fulfilled")=1),1,0)</f>
        <v>1</v>
      </c>
      <c r="E738" s="31" t="n">
        <f aca="false">IF(AND('Raw Orders'!C735="Product",'Raw Orders'!K735="Fulfilled"),'Raw Orders'!E735,0)</f>
        <v>2</v>
      </c>
      <c r="F738" s="32" t="n">
        <f aca="false">IF('Raw Orders'!K735="Refunded",'Raw Orders'!G735,0)</f>
        <v>0</v>
      </c>
    </row>
    <row r="739" customFormat="false" ht="15" hidden="false" customHeight="false" outlineLevel="0" collapsed="false">
      <c r="A739" s="36" t="n">
        <f aca="false">IF('Raw Orders'!B736="","",IF(MID('Raw Orders'!B736,5,1)="-",DATE(VALUE(LEFT('Raw Orders'!B736,4)),VALUE(MID('Raw Orders'!B736,6,2)),VALUE(MID('Raw Orders'!B736,9,2))),DATE(VALUE(MID('Raw Orders'!B736,7,4)),VALUE(MID('Raw Orders'!B736,4,2)),VALUE(LEFT('Raw Orders'!B736,2)))))</f>
        <v>46185</v>
      </c>
      <c r="B739" s="36" t="n">
        <f aca="false">IF(A739="","",A739-WEEKDAY(A739,3))</f>
        <v>46181</v>
      </c>
      <c r="C739" s="32" t="n">
        <f aca="false">IF(OR('Raw Orders'!C736&lt;&gt;"Product",'Raw Orders'!K736="Cancelled"),0,'Raw Orders'!G736)</f>
        <v>0</v>
      </c>
      <c r="D739" s="31" t="n">
        <f aca="false">IF(AND('Raw Orders'!C736="Product",'Raw Orders'!K736="Fulfilled",COUNTIFS('Raw Orders'!$A$2:$A736,'Raw Orders'!A736,'Raw Orders'!$C$2:$C736,"Product",'Raw Orders'!$K$2:$K736,"Fulfilled")=1),1,0)</f>
        <v>0</v>
      </c>
      <c r="E739" s="31" t="n">
        <f aca="false">IF(AND('Raw Orders'!C736="Product",'Raw Orders'!K736="Fulfilled"),'Raw Orders'!E736,0)</f>
        <v>0</v>
      </c>
      <c r="F739" s="32" t="n">
        <f aca="false">IF('Raw Orders'!K736="Refunded",'Raw Orders'!G736,0)</f>
        <v>0</v>
      </c>
    </row>
    <row r="740" customFormat="false" ht="15" hidden="false" customHeight="false" outlineLevel="0" collapsed="false">
      <c r="A740" s="36" t="n">
        <f aca="false">IF('Raw Orders'!B737="","",IF(MID('Raw Orders'!B737,5,1)="-",DATE(VALUE(LEFT('Raw Orders'!B737,4)),VALUE(MID('Raw Orders'!B737,6,2)),VALUE(MID('Raw Orders'!B737,9,2))),DATE(VALUE(MID('Raw Orders'!B737,7,4)),VALUE(MID('Raw Orders'!B737,4,2)),VALUE(LEFT('Raw Orders'!B737,2)))))</f>
        <v>46185</v>
      </c>
      <c r="B740" s="36" t="n">
        <f aca="false">IF(A740="","",A740-WEEKDAY(A740,3))</f>
        <v>46181</v>
      </c>
      <c r="C740" s="32" t="n">
        <f aca="false">IF(OR('Raw Orders'!C737&lt;&gt;"Product",'Raw Orders'!K737="Cancelled"),0,'Raw Orders'!G737)</f>
        <v>138</v>
      </c>
      <c r="D740" s="31" t="n">
        <f aca="false">IF(AND('Raw Orders'!C737="Product",'Raw Orders'!K737="Fulfilled",COUNTIFS('Raw Orders'!$A$2:$A737,'Raw Orders'!A737,'Raw Orders'!$C$2:$C737,"Product",'Raw Orders'!$K$2:$K737,"Fulfilled")=1),1,0)</f>
        <v>0</v>
      </c>
      <c r="E740" s="31" t="n">
        <f aca="false">IF(AND('Raw Orders'!C737="Product",'Raw Orders'!K737="Fulfilled"),'Raw Orders'!E737,0)</f>
        <v>2</v>
      </c>
      <c r="F740" s="32" t="n">
        <f aca="false">IF('Raw Orders'!K737="Refunded",'Raw Orders'!G737,0)</f>
        <v>0</v>
      </c>
    </row>
    <row r="741" customFormat="false" ht="15" hidden="false" customHeight="false" outlineLevel="0" collapsed="false">
      <c r="A741" s="36" t="n">
        <f aca="false">IF('Raw Orders'!B738="","",IF(MID('Raw Orders'!B738,5,1)="-",DATE(VALUE(LEFT('Raw Orders'!B738,4)),VALUE(MID('Raw Orders'!B738,6,2)),VALUE(MID('Raw Orders'!B738,9,2))),DATE(VALUE(MID('Raw Orders'!B738,7,4)),VALUE(MID('Raw Orders'!B738,4,2)),VALUE(LEFT('Raw Orders'!B738,2)))))</f>
        <v>46185</v>
      </c>
      <c r="B741" s="36" t="n">
        <f aca="false">IF(A741="","",A741-WEEKDAY(A741,3))</f>
        <v>46181</v>
      </c>
      <c r="C741" s="32" t="n">
        <f aca="false">IF(OR('Raw Orders'!C738&lt;&gt;"Product",'Raw Orders'!K738="Cancelled"),0,'Raw Orders'!G738)</f>
        <v>0</v>
      </c>
      <c r="D741" s="31" t="n">
        <f aca="false">IF(AND('Raw Orders'!C738="Product",'Raw Orders'!K738="Fulfilled",COUNTIFS('Raw Orders'!$A$2:$A738,'Raw Orders'!A738,'Raw Orders'!$C$2:$C738,"Product",'Raw Orders'!$K$2:$K738,"Fulfilled")=1),1,0)</f>
        <v>0</v>
      </c>
      <c r="E741" s="31" t="n">
        <f aca="false">IF(AND('Raw Orders'!C738="Product",'Raw Orders'!K738="Fulfilled"),'Raw Orders'!E738,0)</f>
        <v>0</v>
      </c>
      <c r="F741" s="32" t="n">
        <f aca="false">IF('Raw Orders'!K738="Refunded",'Raw Orders'!G738,0)</f>
        <v>0</v>
      </c>
    </row>
    <row r="742" customFormat="false" ht="15" hidden="false" customHeight="false" outlineLevel="0" collapsed="false">
      <c r="A742" s="36" t="n">
        <f aca="false">IF('Raw Orders'!B739="","",IF(MID('Raw Orders'!B739,5,1)="-",DATE(VALUE(LEFT('Raw Orders'!B739,4)),VALUE(MID('Raw Orders'!B739,6,2)),VALUE(MID('Raw Orders'!B739,9,2))),DATE(VALUE(MID('Raw Orders'!B739,7,4)),VALUE(MID('Raw Orders'!B739,4,2)),VALUE(LEFT('Raw Orders'!B739,2)))))</f>
        <v>46185</v>
      </c>
      <c r="B742" s="36" t="n">
        <f aca="false">IF(A742="","",A742-WEEKDAY(A742,3))</f>
        <v>46181</v>
      </c>
      <c r="C742" s="32" t="n">
        <f aca="false">IF(OR('Raw Orders'!C739&lt;&gt;"Product",'Raw Orders'!K739="Cancelled"),0,'Raw Orders'!G739)</f>
        <v>70</v>
      </c>
      <c r="D742" s="31" t="n">
        <f aca="false">IF(AND('Raw Orders'!C739="Product",'Raw Orders'!K739="Fulfilled",COUNTIFS('Raw Orders'!$A$2:$A739,'Raw Orders'!A739,'Raw Orders'!$C$2:$C739,"Product",'Raw Orders'!$K$2:$K739,"Fulfilled")=1),1,0)</f>
        <v>1</v>
      </c>
      <c r="E742" s="31" t="n">
        <f aca="false">IF(AND('Raw Orders'!C739="Product",'Raw Orders'!K739="Fulfilled"),'Raw Orders'!E739,0)</f>
        <v>2</v>
      </c>
      <c r="F742" s="32" t="n">
        <f aca="false">IF('Raw Orders'!K739="Refunded",'Raw Orders'!G739,0)</f>
        <v>0</v>
      </c>
    </row>
    <row r="743" customFormat="false" ht="15" hidden="false" customHeight="false" outlineLevel="0" collapsed="false">
      <c r="A743" s="36" t="n">
        <f aca="false">IF('Raw Orders'!B740="","",IF(MID('Raw Orders'!B740,5,1)="-",DATE(VALUE(LEFT('Raw Orders'!B740,4)),VALUE(MID('Raw Orders'!B740,6,2)),VALUE(MID('Raw Orders'!B740,9,2))),DATE(VALUE(MID('Raw Orders'!B740,7,4)),VALUE(MID('Raw Orders'!B740,4,2)),VALUE(LEFT('Raw Orders'!B740,2)))))</f>
        <v>46185</v>
      </c>
      <c r="B743" s="36" t="n">
        <f aca="false">IF(A743="","",A743-WEEKDAY(A743,3))</f>
        <v>46181</v>
      </c>
      <c r="C743" s="32" t="n">
        <f aca="false">IF(OR('Raw Orders'!C740&lt;&gt;"Product",'Raw Orders'!K740="Cancelled"),0,'Raw Orders'!G740)</f>
        <v>69</v>
      </c>
      <c r="D743" s="31" t="n">
        <f aca="false">IF(AND('Raw Orders'!C740="Product",'Raw Orders'!K740="Fulfilled",COUNTIFS('Raw Orders'!$A$2:$A740,'Raw Orders'!A740,'Raw Orders'!$C$2:$C740,"Product",'Raw Orders'!$K$2:$K740,"Fulfilled")=1),1,0)</f>
        <v>0</v>
      </c>
      <c r="E743" s="31" t="n">
        <f aca="false">IF(AND('Raw Orders'!C740="Product",'Raw Orders'!K740="Fulfilled"),'Raw Orders'!E740,0)</f>
        <v>1</v>
      </c>
      <c r="F743" s="32" t="n">
        <f aca="false">IF('Raw Orders'!K740="Refunded",'Raw Orders'!G740,0)</f>
        <v>0</v>
      </c>
    </row>
    <row r="744" customFormat="false" ht="15" hidden="false" customHeight="false" outlineLevel="0" collapsed="false">
      <c r="A744" s="36" t="n">
        <f aca="false">IF('Raw Orders'!B741="","",IF(MID('Raw Orders'!B741,5,1)="-",DATE(VALUE(LEFT('Raw Orders'!B741,4)),VALUE(MID('Raw Orders'!B741,6,2)),VALUE(MID('Raw Orders'!B741,9,2))),DATE(VALUE(MID('Raw Orders'!B741,7,4)),VALUE(MID('Raw Orders'!B741,4,2)),VALUE(LEFT('Raw Orders'!B741,2)))))</f>
        <v>46186</v>
      </c>
      <c r="B744" s="36" t="n">
        <f aca="false">IF(A744="","",A744-WEEKDAY(A744,3))</f>
        <v>46181</v>
      </c>
      <c r="C744" s="32" t="n">
        <f aca="false">IF(OR('Raw Orders'!C741&lt;&gt;"Product",'Raw Orders'!K741="Cancelled"),0,'Raw Orders'!G741)</f>
        <v>22</v>
      </c>
      <c r="D744" s="31" t="n">
        <f aca="false">IF(AND('Raw Orders'!C741="Product",'Raw Orders'!K741="Fulfilled",COUNTIFS('Raw Orders'!$A$2:$A741,'Raw Orders'!A741,'Raw Orders'!$C$2:$C741,"Product",'Raw Orders'!$K$2:$K741,"Fulfilled")=1),1,0)</f>
        <v>1</v>
      </c>
      <c r="E744" s="31" t="n">
        <f aca="false">IF(AND('Raw Orders'!C741="Product",'Raw Orders'!K741="Fulfilled"),'Raw Orders'!E741,0)</f>
        <v>1</v>
      </c>
      <c r="F744" s="32" t="n">
        <f aca="false">IF('Raw Orders'!K741="Refunded",'Raw Orders'!G741,0)</f>
        <v>0</v>
      </c>
    </row>
    <row r="745" customFormat="false" ht="15" hidden="false" customHeight="false" outlineLevel="0" collapsed="false">
      <c r="A745" s="36" t="n">
        <f aca="false">IF('Raw Orders'!B742="","",IF(MID('Raw Orders'!B742,5,1)="-",DATE(VALUE(LEFT('Raw Orders'!B742,4)),VALUE(MID('Raw Orders'!B742,6,2)),VALUE(MID('Raw Orders'!B742,9,2))),DATE(VALUE(MID('Raw Orders'!B742,7,4)),VALUE(MID('Raw Orders'!B742,4,2)),VALUE(LEFT('Raw Orders'!B742,2)))))</f>
        <v>46186</v>
      </c>
      <c r="B745" s="36" t="n">
        <f aca="false">IF(A745="","",A745-WEEKDAY(A745,3))</f>
        <v>46181</v>
      </c>
      <c r="C745" s="32" t="n">
        <f aca="false">IF(OR('Raw Orders'!C742&lt;&gt;"Product",'Raw Orders'!K742="Cancelled"),0,'Raw Orders'!G742)</f>
        <v>26</v>
      </c>
      <c r="D745" s="31" t="n">
        <f aca="false">IF(AND('Raw Orders'!C742="Product",'Raw Orders'!K742="Fulfilled",COUNTIFS('Raw Orders'!$A$2:$A742,'Raw Orders'!A742,'Raw Orders'!$C$2:$C742,"Product",'Raw Orders'!$K$2:$K742,"Fulfilled")=1),1,0)</f>
        <v>0</v>
      </c>
      <c r="E745" s="31" t="n">
        <f aca="false">IF(AND('Raw Orders'!C742="Product",'Raw Orders'!K742="Fulfilled"),'Raw Orders'!E742,0)</f>
        <v>1</v>
      </c>
      <c r="F745" s="32" t="n">
        <f aca="false">IF('Raw Orders'!K742="Refunded",'Raw Orders'!G742,0)</f>
        <v>0</v>
      </c>
    </row>
    <row r="746" customFormat="false" ht="15" hidden="false" customHeight="false" outlineLevel="0" collapsed="false">
      <c r="A746" s="36" t="n">
        <f aca="false">IF('Raw Orders'!B743="","",IF(MID('Raw Orders'!B743,5,1)="-",DATE(VALUE(LEFT('Raw Orders'!B743,4)),VALUE(MID('Raw Orders'!B743,6,2)),VALUE(MID('Raw Orders'!B743,9,2))),DATE(VALUE(MID('Raw Orders'!B743,7,4)),VALUE(MID('Raw Orders'!B743,4,2)),VALUE(LEFT('Raw Orders'!B743,2)))))</f>
        <v>46186</v>
      </c>
      <c r="B746" s="36" t="n">
        <f aca="false">IF(A746="","",A746-WEEKDAY(A746,3))</f>
        <v>46181</v>
      </c>
      <c r="C746" s="32" t="n">
        <f aca="false">IF(OR('Raw Orders'!C743&lt;&gt;"Product",'Raw Orders'!K743="Cancelled"),0,'Raw Orders'!G743)</f>
        <v>22</v>
      </c>
      <c r="D746" s="31" t="n">
        <f aca="false">IF(AND('Raw Orders'!C743="Product",'Raw Orders'!K743="Fulfilled",COUNTIFS('Raw Orders'!$A$2:$A743,'Raw Orders'!A743,'Raw Orders'!$C$2:$C743,"Product",'Raw Orders'!$K$2:$K743,"Fulfilled")=1),1,0)</f>
        <v>0</v>
      </c>
      <c r="E746" s="31" t="n">
        <f aca="false">IF(AND('Raw Orders'!C743="Product",'Raw Orders'!K743="Fulfilled"),'Raw Orders'!E743,0)</f>
        <v>1</v>
      </c>
      <c r="F746" s="32" t="n">
        <f aca="false">IF('Raw Orders'!K743="Refunded",'Raw Orders'!G743,0)</f>
        <v>0</v>
      </c>
    </row>
    <row r="747" customFormat="false" ht="15" hidden="false" customHeight="false" outlineLevel="0" collapsed="false">
      <c r="A747" s="36" t="n">
        <f aca="false">IF('Raw Orders'!B744="","",IF(MID('Raw Orders'!B744,5,1)="-",DATE(VALUE(LEFT('Raw Orders'!B744,4)),VALUE(MID('Raw Orders'!B744,6,2)),VALUE(MID('Raw Orders'!B744,9,2))),DATE(VALUE(MID('Raw Orders'!B744,7,4)),VALUE(MID('Raw Orders'!B744,4,2)),VALUE(LEFT('Raw Orders'!B744,2)))))</f>
        <v>46186</v>
      </c>
      <c r="B747" s="36" t="n">
        <f aca="false">IF(A747="","",A747-WEEKDAY(A747,3))</f>
        <v>46181</v>
      </c>
      <c r="C747" s="32" t="n">
        <f aca="false">IF(OR('Raw Orders'!C744&lt;&gt;"Product",'Raw Orders'!K744="Cancelled"),0,'Raw Orders'!G744)</f>
        <v>-22</v>
      </c>
      <c r="D747" s="31" t="n">
        <f aca="false">IF(AND('Raw Orders'!C744="Product",'Raw Orders'!K744="Fulfilled",COUNTIFS('Raw Orders'!$A$2:$A744,'Raw Orders'!A744,'Raw Orders'!$C$2:$C744,"Product",'Raw Orders'!$K$2:$K744,"Fulfilled")=1),1,0)</f>
        <v>0</v>
      </c>
      <c r="E747" s="31" t="n">
        <f aca="false">IF(AND('Raw Orders'!C744="Product",'Raw Orders'!K744="Fulfilled"),'Raw Orders'!E744,0)</f>
        <v>0</v>
      </c>
      <c r="F747" s="32" t="n">
        <f aca="false">IF('Raw Orders'!K744="Refunded",'Raw Orders'!G744,0)</f>
        <v>-22</v>
      </c>
    </row>
    <row r="748" customFormat="false" ht="15" hidden="false" customHeight="false" outlineLevel="0" collapsed="false">
      <c r="A748" s="36" t="n">
        <f aca="false">IF('Raw Orders'!B745="","",IF(MID('Raw Orders'!B745,5,1)="-",DATE(VALUE(LEFT('Raw Orders'!B745,4)),VALUE(MID('Raw Orders'!B745,6,2)),VALUE(MID('Raw Orders'!B745,9,2))),DATE(VALUE(MID('Raw Orders'!B745,7,4)),VALUE(MID('Raw Orders'!B745,4,2)),VALUE(LEFT('Raw Orders'!B745,2)))))</f>
        <v>46186</v>
      </c>
      <c r="B748" s="36" t="n">
        <f aca="false">IF(A748="","",A748-WEEKDAY(A748,3))</f>
        <v>46181</v>
      </c>
      <c r="C748" s="32" t="n">
        <f aca="false">IF(OR('Raw Orders'!C745&lt;&gt;"Product",'Raw Orders'!K745="Cancelled"),0,'Raw Orders'!G745)</f>
        <v>70</v>
      </c>
      <c r="D748" s="31" t="n">
        <f aca="false">IF(AND('Raw Orders'!C745="Product",'Raw Orders'!K745="Fulfilled",COUNTIFS('Raw Orders'!$A$2:$A745,'Raw Orders'!A745,'Raw Orders'!$C$2:$C745,"Product",'Raw Orders'!$K$2:$K745,"Fulfilled")=1),1,0)</f>
        <v>1</v>
      </c>
      <c r="E748" s="31" t="n">
        <f aca="false">IF(AND('Raw Orders'!C745="Product",'Raw Orders'!K745="Fulfilled"),'Raw Orders'!E745,0)</f>
        <v>2</v>
      </c>
      <c r="F748" s="32" t="n">
        <f aca="false">IF('Raw Orders'!K745="Refunded",'Raw Orders'!G745,0)</f>
        <v>0</v>
      </c>
    </row>
    <row r="749" customFormat="false" ht="15" hidden="false" customHeight="false" outlineLevel="0" collapsed="false">
      <c r="A749" s="36" t="n">
        <f aca="false">IF('Raw Orders'!B746="","",IF(MID('Raw Orders'!B746,5,1)="-",DATE(VALUE(LEFT('Raw Orders'!B746,4)),VALUE(MID('Raw Orders'!B746,6,2)),VALUE(MID('Raw Orders'!B746,9,2))),DATE(VALUE(MID('Raw Orders'!B746,7,4)),VALUE(MID('Raw Orders'!B746,4,2)),VALUE(LEFT('Raw Orders'!B746,2)))))</f>
        <v>46186</v>
      </c>
      <c r="B749" s="36" t="n">
        <f aca="false">IF(A749="","",A749-WEEKDAY(A749,3))</f>
        <v>46181</v>
      </c>
      <c r="C749" s="32" t="n">
        <f aca="false">IF(OR('Raw Orders'!C746&lt;&gt;"Product",'Raw Orders'!K746="Cancelled"),0,'Raw Orders'!G746)</f>
        <v>0</v>
      </c>
      <c r="D749" s="31" t="n">
        <f aca="false">IF(AND('Raw Orders'!C746="Product",'Raw Orders'!K746="Fulfilled",COUNTIFS('Raw Orders'!$A$2:$A746,'Raw Orders'!A746,'Raw Orders'!$C$2:$C746,"Product",'Raw Orders'!$K$2:$K746,"Fulfilled")=1),1,0)</f>
        <v>0</v>
      </c>
      <c r="E749" s="31" t="n">
        <f aca="false">IF(AND('Raw Orders'!C746="Product",'Raw Orders'!K746="Fulfilled"),'Raw Orders'!E746,0)</f>
        <v>0</v>
      </c>
      <c r="F749" s="32" t="n">
        <f aca="false">IF('Raw Orders'!K746="Refunded",'Raw Orders'!G746,0)</f>
        <v>0</v>
      </c>
    </row>
    <row r="750" customFormat="false" ht="15" hidden="false" customHeight="false" outlineLevel="0" collapsed="false">
      <c r="A750" s="36" t="n">
        <f aca="false">IF('Raw Orders'!B747="","",IF(MID('Raw Orders'!B747,5,1)="-",DATE(VALUE(LEFT('Raw Orders'!B747,4)),VALUE(MID('Raw Orders'!B747,6,2)),VALUE(MID('Raw Orders'!B747,9,2))),DATE(VALUE(MID('Raw Orders'!B747,7,4)),VALUE(MID('Raw Orders'!B747,4,2)),VALUE(LEFT('Raw Orders'!B747,2)))))</f>
        <v>46186</v>
      </c>
      <c r="B750" s="36" t="n">
        <f aca="false">IF(A750="","",A750-WEEKDAY(A750,3))</f>
        <v>46181</v>
      </c>
      <c r="C750" s="32" t="n">
        <f aca="false">IF(OR('Raw Orders'!C747&lt;&gt;"Product",'Raw Orders'!K747="Cancelled"),0,'Raw Orders'!G747)</f>
        <v>35</v>
      </c>
      <c r="D750" s="31" t="n">
        <f aca="false">IF(AND('Raw Orders'!C747="Product",'Raw Orders'!K747="Fulfilled",COUNTIFS('Raw Orders'!$A$2:$A747,'Raw Orders'!A747,'Raw Orders'!$C$2:$C747,"Product",'Raw Orders'!$K$2:$K747,"Fulfilled")=1),1,0)</f>
        <v>1</v>
      </c>
      <c r="E750" s="31" t="n">
        <f aca="false">IF(AND('Raw Orders'!C747="Product",'Raw Orders'!K747="Fulfilled"),'Raw Orders'!E747,0)</f>
        <v>1</v>
      </c>
      <c r="F750" s="32" t="n">
        <f aca="false">IF('Raw Orders'!K747="Refunded",'Raw Orders'!G747,0)</f>
        <v>0</v>
      </c>
    </row>
    <row r="751" customFormat="false" ht="15" hidden="false" customHeight="false" outlineLevel="0" collapsed="false">
      <c r="A751" s="36" t="n">
        <f aca="false">IF('Raw Orders'!B748="","",IF(MID('Raw Orders'!B748,5,1)="-",DATE(VALUE(LEFT('Raw Orders'!B748,4)),VALUE(MID('Raw Orders'!B748,6,2)),VALUE(MID('Raw Orders'!B748,9,2))),DATE(VALUE(MID('Raw Orders'!B748,7,4)),VALUE(MID('Raw Orders'!B748,4,2)),VALUE(LEFT('Raw Orders'!B748,2)))))</f>
        <v>46186</v>
      </c>
      <c r="B751" s="36" t="n">
        <f aca="false">IF(A751="","",A751-WEEKDAY(A751,3))</f>
        <v>46181</v>
      </c>
      <c r="C751" s="32" t="n">
        <f aca="false">IF(OR('Raw Orders'!C748&lt;&gt;"Product",'Raw Orders'!K748="Cancelled"),0,'Raw Orders'!G748)</f>
        <v>89</v>
      </c>
      <c r="D751" s="31" t="n">
        <f aca="false">IF(AND('Raw Orders'!C748="Product",'Raw Orders'!K748="Fulfilled",COUNTIFS('Raw Orders'!$A$2:$A748,'Raw Orders'!A748,'Raw Orders'!$C$2:$C748,"Product",'Raw Orders'!$K$2:$K748,"Fulfilled")=1),1,0)</f>
        <v>0</v>
      </c>
      <c r="E751" s="31" t="n">
        <f aca="false">IF(AND('Raw Orders'!C748="Product",'Raw Orders'!K748="Fulfilled"),'Raw Orders'!E748,0)</f>
        <v>1</v>
      </c>
      <c r="F751" s="32" t="n">
        <f aca="false">IF('Raw Orders'!K748="Refunded",'Raw Orders'!G748,0)</f>
        <v>0</v>
      </c>
    </row>
    <row r="752" customFormat="false" ht="15" hidden="false" customHeight="false" outlineLevel="0" collapsed="false">
      <c r="A752" s="36" t="n">
        <f aca="false">IF('Raw Orders'!B749="","",IF(MID('Raw Orders'!B749,5,1)="-",DATE(VALUE(LEFT('Raw Orders'!B749,4)),VALUE(MID('Raw Orders'!B749,6,2)),VALUE(MID('Raw Orders'!B749,9,2))),DATE(VALUE(MID('Raw Orders'!B749,7,4)),VALUE(MID('Raw Orders'!B749,4,2)),VALUE(LEFT('Raw Orders'!B749,2)))))</f>
        <v>46187</v>
      </c>
      <c r="B752" s="36" t="n">
        <f aca="false">IF(A752="","",A752-WEEKDAY(A752,3))</f>
        <v>46181</v>
      </c>
      <c r="C752" s="32" t="n">
        <f aca="false">IF(OR('Raw Orders'!C749&lt;&gt;"Product",'Raw Orders'!K749="Cancelled"),0,'Raw Orders'!G749)</f>
        <v>26</v>
      </c>
      <c r="D752" s="31" t="n">
        <f aca="false">IF(AND('Raw Orders'!C749="Product",'Raw Orders'!K749="Fulfilled",COUNTIFS('Raw Orders'!$A$2:$A749,'Raw Orders'!A749,'Raw Orders'!$C$2:$C749,"Product",'Raw Orders'!$K$2:$K749,"Fulfilled")=1),1,0)</f>
        <v>1</v>
      </c>
      <c r="E752" s="31" t="n">
        <f aca="false">IF(AND('Raw Orders'!C749="Product",'Raw Orders'!K749="Fulfilled"),'Raw Orders'!E749,0)</f>
        <v>1</v>
      </c>
      <c r="F752" s="32" t="n">
        <f aca="false">IF('Raw Orders'!K749="Refunded",'Raw Orders'!G749,0)</f>
        <v>0</v>
      </c>
    </row>
    <row r="753" customFormat="false" ht="15" hidden="false" customHeight="false" outlineLevel="0" collapsed="false">
      <c r="A753" s="36" t="n">
        <f aca="false">IF('Raw Orders'!B750="","",IF(MID('Raw Orders'!B750,5,1)="-",DATE(VALUE(LEFT('Raw Orders'!B750,4)),VALUE(MID('Raw Orders'!B750,6,2)),VALUE(MID('Raw Orders'!B750,9,2))),DATE(VALUE(MID('Raw Orders'!B750,7,4)),VALUE(MID('Raw Orders'!B750,4,2)),VALUE(LEFT('Raw Orders'!B750,2)))))</f>
        <v>46187</v>
      </c>
      <c r="B753" s="36" t="n">
        <f aca="false">IF(A753="","",A753-WEEKDAY(A753,3))</f>
        <v>46181</v>
      </c>
      <c r="C753" s="32" t="n">
        <f aca="false">IF(OR('Raw Orders'!C750&lt;&gt;"Product",'Raw Orders'!K750="Cancelled"),0,'Raw Orders'!G750)</f>
        <v>29</v>
      </c>
      <c r="D753" s="31" t="n">
        <f aca="false">IF(AND('Raw Orders'!C750="Product",'Raw Orders'!K750="Fulfilled",COUNTIFS('Raw Orders'!$A$2:$A750,'Raw Orders'!A750,'Raw Orders'!$C$2:$C750,"Product",'Raw Orders'!$K$2:$K750,"Fulfilled")=1),1,0)</f>
        <v>0</v>
      </c>
      <c r="E753" s="31" t="n">
        <f aca="false">IF(AND('Raw Orders'!C750="Product",'Raw Orders'!K750="Fulfilled"),'Raw Orders'!E750,0)</f>
        <v>1</v>
      </c>
      <c r="F753" s="32" t="n">
        <f aca="false">IF('Raw Orders'!K750="Refunded",'Raw Orders'!G750,0)</f>
        <v>0</v>
      </c>
    </row>
    <row r="754" customFormat="false" ht="15" hidden="false" customHeight="false" outlineLevel="0" collapsed="false">
      <c r="A754" s="36" t="n">
        <f aca="false">IF('Raw Orders'!B751="","",IF(MID('Raw Orders'!B751,5,1)="-",DATE(VALUE(LEFT('Raw Orders'!B751,4)),VALUE(MID('Raw Orders'!B751,6,2)),VALUE(MID('Raw Orders'!B751,9,2))),DATE(VALUE(MID('Raw Orders'!B751,7,4)),VALUE(MID('Raw Orders'!B751,4,2)),VALUE(LEFT('Raw Orders'!B751,2)))))</f>
        <v>46187</v>
      </c>
      <c r="B754" s="36" t="n">
        <f aca="false">IF(A754="","",A754-WEEKDAY(A754,3))</f>
        <v>46181</v>
      </c>
      <c r="C754" s="32" t="n">
        <f aca="false">IF(OR('Raw Orders'!C751&lt;&gt;"Product",'Raw Orders'!K751="Cancelled"),0,'Raw Orders'!G751)</f>
        <v>14</v>
      </c>
      <c r="D754" s="31" t="n">
        <f aca="false">IF(AND('Raw Orders'!C751="Product",'Raw Orders'!K751="Fulfilled",COUNTIFS('Raw Orders'!$A$2:$A751,'Raw Orders'!A751,'Raw Orders'!$C$2:$C751,"Product",'Raw Orders'!$K$2:$K751,"Fulfilled")=1),1,0)</f>
        <v>1</v>
      </c>
      <c r="E754" s="31" t="n">
        <f aca="false">IF(AND('Raw Orders'!C751="Product",'Raw Orders'!K751="Fulfilled"),'Raw Orders'!E751,0)</f>
        <v>1</v>
      </c>
      <c r="F754" s="32" t="n">
        <f aca="false">IF('Raw Orders'!K751="Refunded",'Raw Orders'!G751,0)</f>
        <v>0</v>
      </c>
    </row>
    <row r="755" customFormat="false" ht="15" hidden="false" customHeight="false" outlineLevel="0" collapsed="false">
      <c r="A755" s="36" t="n">
        <f aca="false">IF('Raw Orders'!B752="","",IF(MID('Raw Orders'!B752,5,1)="-",DATE(VALUE(LEFT('Raw Orders'!B752,4)),VALUE(MID('Raw Orders'!B752,6,2)),VALUE(MID('Raw Orders'!B752,9,2))),DATE(VALUE(MID('Raw Orders'!B752,7,4)),VALUE(MID('Raw Orders'!B752,4,2)),VALUE(LEFT('Raw Orders'!B752,2)))))</f>
        <v>46187</v>
      </c>
      <c r="B755" s="36" t="n">
        <f aca="false">IF(A755="","",A755-WEEKDAY(A755,3))</f>
        <v>46181</v>
      </c>
      <c r="C755" s="32" t="n">
        <f aca="false">IF(OR('Raw Orders'!C752&lt;&gt;"Product",'Raw Orders'!K752="Cancelled"),0,'Raw Orders'!G752)</f>
        <v>69</v>
      </c>
      <c r="D755" s="31" t="n">
        <f aca="false">IF(AND('Raw Orders'!C752="Product",'Raw Orders'!K752="Fulfilled",COUNTIFS('Raw Orders'!$A$2:$A752,'Raw Orders'!A752,'Raw Orders'!$C$2:$C752,"Product",'Raw Orders'!$K$2:$K752,"Fulfilled")=1),1,0)</f>
        <v>0</v>
      </c>
      <c r="E755" s="31" t="n">
        <f aca="false">IF(AND('Raw Orders'!C752="Product",'Raw Orders'!K752="Fulfilled"),'Raw Orders'!E752,0)</f>
        <v>1</v>
      </c>
      <c r="F755" s="32" t="n">
        <f aca="false">IF('Raw Orders'!K752="Refunded",'Raw Orders'!G752,0)</f>
        <v>0</v>
      </c>
    </row>
    <row r="756" customFormat="false" ht="15" hidden="false" customHeight="false" outlineLevel="0" collapsed="false">
      <c r="A756" s="36" t="n">
        <f aca="false">IF('Raw Orders'!B753="","",IF(MID('Raw Orders'!B753,5,1)="-",DATE(VALUE(LEFT('Raw Orders'!B753,4)),VALUE(MID('Raw Orders'!B753,6,2)),VALUE(MID('Raw Orders'!B753,9,2))),DATE(VALUE(MID('Raw Orders'!B753,7,4)),VALUE(MID('Raw Orders'!B753,4,2)),VALUE(LEFT('Raw Orders'!B753,2)))))</f>
        <v>46187</v>
      </c>
      <c r="B756" s="36" t="n">
        <f aca="false">IF(A756="","",A756-WEEKDAY(A756,3))</f>
        <v>46181</v>
      </c>
      <c r="C756" s="32" t="n">
        <f aca="false">IF(OR('Raw Orders'!C753&lt;&gt;"Product",'Raw Orders'!K753="Cancelled"),0,'Raw Orders'!G753)</f>
        <v>0</v>
      </c>
      <c r="D756" s="31" t="n">
        <f aca="false">IF(AND('Raw Orders'!C753="Product",'Raw Orders'!K753="Fulfilled",COUNTIFS('Raw Orders'!$A$2:$A753,'Raw Orders'!A753,'Raw Orders'!$C$2:$C753,"Product",'Raw Orders'!$K$2:$K753,"Fulfilled")=1),1,0)</f>
        <v>0</v>
      </c>
      <c r="E756" s="31" t="n">
        <f aca="false">IF(AND('Raw Orders'!C753="Product",'Raw Orders'!K753="Fulfilled"),'Raw Orders'!E753,0)</f>
        <v>0</v>
      </c>
      <c r="F756" s="32" t="n">
        <f aca="false">IF('Raw Orders'!K753="Refunded",'Raw Orders'!G753,0)</f>
        <v>0</v>
      </c>
    </row>
    <row r="757" customFormat="false" ht="15" hidden="false" customHeight="false" outlineLevel="0" collapsed="false">
      <c r="A757" s="36" t="n">
        <f aca="false">IF('Raw Orders'!B754="","",IF(MID('Raw Orders'!B754,5,1)="-",DATE(VALUE(LEFT('Raw Orders'!B754,4)),VALUE(MID('Raw Orders'!B754,6,2)),VALUE(MID('Raw Orders'!B754,9,2))),DATE(VALUE(MID('Raw Orders'!B754,7,4)),VALUE(MID('Raw Orders'!B754,4,2)),VALUE(LEFT('Raw Orders'!B754,2)))))</f>
        <v>46187</v>
      </c>
      <c r="B757" s="36" t="n">
        <f aca="false">IF(A757="","",A757-WEEKDAY(A757,3))</f>
        <v>46181</v>
      </c>
      <c r="C757" s="32" t="n">
        <f aca="false">IF(OR('Raw Orders'!C754&lt;&gt;"Product",'Raw Orders'!K754="Cancelled"),0,'Raw Orders'!G754)</f>
        <v>90</v>
      </c>
      <c r="D757" s="31" t="n">
        <f aca="false">IF(AND('Raw Orders'!C754="Product",'Raw Orders'!K754="Fulfilled",COUNTIFS('Raw Orders'!$A$2:$A754,'Raw Orders'!A754,'Raw Orders'!$C$2:$C754,"Product",'Raw Orders'!$K$2:$K754,"Fulfilled")=1),1,0)</f>
        <v>1</v>
      </c>
      <c r="E757" s="31" t="n">
        <f aca="false">IF(AND('Raw Orders'!C754="Product",'Raw Orders'!K754="Fulfilled"),'Raw Orders'!E754,0)</f>
        <v>2</v>
      </c>
      <c r="F757" s="32" t="n">
        <f aca="false">IF('Raw Orders'!K754="Refunded",'Raw Orders'!G754,0)</f>
        <v>0</v>
      </c>
    </row>
    <row r="758" customFormat="false" ht="15" hidden="false" customHeight="false" outlineLevel="0" collapsed="false">
      <c r="A758" s="36" t="n">
        <f aca="false">IF('Raw Orders'!B755="","",IF(MID('Raw Orders'!B755,5,1)="-",DATE(VALUE(LEFT('Raw Orders'!B755,4)),VALUE(MID('Raw Orders'!B755,6,2)),VALUE(MID('Raw Orders'!B755,9,2))),DATE(VALUE(MID('Raw Orders'!B755,7,4)),VALUE(MID('Raw Orders'!B755,4,2)),VALUE(LEFT('Raw Orders'!B755,2)))))</f>
        <v>46187</v>
      </c>
      <c r="B758" s="36" t="n">
        <f aca="false">IF(A758="","",A758-WEEKDAY(A758,3))</f>
        <v>46181</v>
      </c>
      <c r="C758" s="32" t="n">
        <f aca="false">IF(OR('Raw Orders'!C755&lt;&gt;"Product",'Raw Orders'!K755="Cancelled"),0,'Raw Orders'!G755)</f>
        <v>0</v>
      </c>
      <c r="D758" s="31" t="n">
        <f aca="false">IF(AND('Raw Orders'!C755="Product",'Raw Orders'!K755="Fulfilled",COUNTIFS('Raw Orders'!$A$2:$A755,'Raw Orders'!A755,'Raw Orders'!$C$2:$C755,"Product",'Raw Orders'!$K$2:$K755,"Fulfilled")=1),1,0)</f>
        <v>0</v>
      </c>
      <c r="E758" s="31" t="n">
        <f aca="false">IF(AND('Raw Orders'!C755="Product",'Raw Orders'!K755="Fulfilled"),'Raw Orders'!E755,0)</f>
        <v>0</v>
      </c>
      <c r="F758" s="32" t="n">
        <f aca="false">IF('Raw Orders'!K755="Refunded",'Raw Orders'!G755,0)</f>
        <v>0</v>
      </c>
    </row>
    <row r="759" customFormat="false" ht="15" hidden="false" customHeight="false" outlineLevel="0" collapsed="false">
      <c r="A759" s="36" t="n">
        <f aca="false">IF('Raw Orders'!B756="","",IF(MID('Raw Orders'!B756,5,1)="-",DATE(VALUE(LEFT('Raw Orders'!B756,4)),VALUE(MID('Raw Orders'!B756,6,2)),VALUE(MID('Raw Orders'!B756,9,2))),DATE(VALUE(MID('Raw Orders'!B756,7,4)),VALUE(MID('Raw Orders'!B756,4,2)),VALUE(LEFT('Raw Orders'!B756,2)))))</f>
        <v>46187</v>
      </c>
      <c r="B759" s="36" t="n">
        <f aca="false">IF(A759="","",A759-WEEKDAY(A759,3))</f>
        <v>46181</v>
      </c>
      <c r="C759" s="32" t="n">
        <f aca="false">IF(OR('Raw Orders'!C756&lt;&gt;"Product",'Raw Orders'!K756="Cancelled"),0,'Raw Orders'!G756)</f>
        <v>33.15</v>
      </c>
      <c r="D759" s="31" t="n">
        <f aca="false">IF(AND('Raw Orders'!C756="Product",'Raw Orders'!K756="Fulfilled",COUNTIFS('Raw Orders'!$A$2:$A756,'Raw Orders'!A756,'Raw Orders'!$C$2:$C756,"Product",'Raw Orders'!$K$2:$K756,"Fulfilled")=1),1,0)</f>
        <v>1</v>
      </c>
      <c r="E759" s="31" t="n">
        <f aca="false">IF(AND('Raw Orders'!C756="Product",'Raw Orders'!K756="Fulfilled"),'Raw Orders'!E756,0)</f>
        <v>1</v>
      </c>
      <c r="F759" s="32" t="n">
        <f aca="false">IF('Raw Orders'!K756="Refunded",'Raw Orders'!G756,0)</f>
        <v>0</v>
      </c>
    </row>
    <row r="760" customFormat="false" ht="15" hidden="false" customHeight="false" outlineLevel="0" collapsed="false">
      <c r="A760" s="36" t="n">
        <f aca="false">IF('Raw Orders'!B757="","",IF(MID('Raw Orders'!B757,5,1)="-",DATE(VALUE(LEFT('Raw Orders'!B757,4)),VALUE(MID('Raw Orders'!B757,6,2)),VALUE(MID('Raw Orders'!B757,9,2))),DATE(VALUE(MID('Raw Orders'!B757,7,4)),VALUE(MID('Raw Orders'!B757,4,2)),VALUE(LEFT('Raw Orders'!B757,2)))))</f>
        <v>46187</v>
      </c>
      <c r="B760" s="36" t="n">
        <f aca="false">IF(A760="","",A760-WEEKDAY(A760,3))</f>
        <v>46181</v>
      </c>
      <c r="C760" s="32" t="n">
        <f aca="false">IF(OR('Raw Orders'!C757&lt;&gt;"Product",'Raw Orders'!K757="Cancelled"),0,'Raw Orders'!G757)</f>
        <v>0</v>
      </c>
      <c r="D760" s="31" t="n">
        <f aca="false">IF(AND('Raw Orders'!C757="Product",'Raw Orders'!K757="Fulfilled",COUNTIFS('Raw Orders'!$A$2:$A757,'Raw Orders'!A757,'Raw Orders'!$C$2:$C757,"Product",'Raw Orders'!$K$2:$K757,"Fulfilled")=1),1,0)</f>
        <v>0</v>
      </c>
      <c r="E760" s="31" t="n">
        <f aca="false">IF(AND('Raw Orders'!C757="Product",'Raw Orders'!K757="Fulfilled"),'Raw Orders'!E757,0)</f>
        <v>0</v>
      </c>
      <c r="F760" s="32" t="n">
        <f aca="false">IF('Raw Orders'!K757="Refunded",'Raw Orders'!G757,0)</f>
        <v>0</v>
      </c>
    </row>
    <row r="761" customFormat="false" ht="15" hidden="false" customHeight="false" outlineLevel="0" collapsed="false">
      <c r="A761" s="36" t="n">
        <f aca="false">IF('Raw Orders'!B758="","",IF(MID('Raw Orders'!B758,5,1)="-",DATE(VALUE(LEFT('Raw Orders'!B758,4)),VALUE(MID('Raw Orders'!B758,6,2)),VALUE(MID('Raw Orders'!B758,9,2))),DATE(VALUE(MID('Raw Orders'!B758,7,4)),VALUE(MID('Raw Orders'!B758,4,2)),VALUE(LEFT('Raw Orders'!B758,2)))))</f>
        <v>46187</v>
      </c>
      <c r="B761" s="36" t="n">
        <f aca="false">IF(A761="","",A761-WEEKDAY(A761,3))</f>
        <v>46181</v>
      </c>
      <c r="C761" s="32" t="n">
        <f aca="false">IF(OR('Raw Orders'!C758&lt;&gt;"Product",'Raw Orders'!K758="Cancelled"),0,'Raw Orders'!G758)</f>
        <v>0</v>
      </c>
      <c r="D761" s="31" t="n">
        <f aca="false">IF(AND('Raw Orders'!C758="Product",'Raw Orders'!K758="Fulfilled",COUNTIFS('Raw Orders'!$A$2:$A758,'Raw Orders'!A758,'Raw Orders'!$C$2:$C758,"Product",'Raw Orders'!$K$2:$K758,"Fulfilled")=1),1,0)</f>
        <v>0</v>
      </c>
      <c r="E761" s="31" t="n">
        <f aca="false">IF(AND('Raw Orders'!C758="Product",'Raw Orders'!K758="Fulfilled"),'Raw Orders'!E758,0)</f>
        <v>0</v>
      </c>
      <c r="F761" s="32" t="n">
        <f aca="false">IF('Raw Orders'!K758="Refunded",'Raw Orders'!G758,0)</f>
        <v>0</v>
      </c>
    </row>
    <row r="762" customFormat="false" ht="15" hidden="false" customHeight="false" outlineLevel="0" collapsed="false">
      <c r="A762" s="36" t="n">
        <f aca="false">IF('Raw Orders'!B759="","",IF(MID('Raw Orders'!B759,5,1)="-",DATE(VALUE(LEFT('Raw Orders'!B759,4)),VALUE(MID('Raw Orders'!B759,6,2)),VALUE(MID('Raw Orders'!B759,9,2))),DATE(VALUE(MID('Raw Orders'!B759,7,4)),VALUE(MID('Raw Orders'!B759,4,2)),VALUE(LEFT('Raw Orders'!B759,2)))))</f>
        <v>46187</v>
      </c>
      <c r="B762" s="36" t="n">
        <f aca="false">IF(A762="","",A762-WEEKDAY(A762,3))</f>
        <v>46181</v>
      </c>
      <c r="C762" s="32" t="n">
        <f aca="false">IF(OR('Raw Orders'!C759&lt;&gt;"Product",'Raw Orders'!K759="Cancelled"),0,'Raw Orders'!G759)</f>
        <v>35</v>
      </c>
      <c r="D762" s="31" t="n">
        <f aca="false">IF(AND('Raw Orders'!C759="Product",'Raw Orders'!K759="Fulfilled",COUNTIFS('Raw Orders'!$A$2:$A759,'Raw Orders'!A759,'Raw Orders'!$C$2:$C759,"Product",'Raw Orders'!$K$2:$K759,"Fulfilled")=1),1,0)</f>
        <v>1</v>
      </c>
      <c r="E762" s="31" t="n">
        <f aca="false">IF(AND('Raw Orders'!C759="Product",'Raw Orders'!K759="Fulfilled"),'Raw Orders'!E759,0)</f>
        <v>1</v>
      </c>
      <c r="F762" s="32" t="n">
        <f aca="false">IF('Raw Orders'!K759="Refunded",'Raw Orders'!G759,0)</f>
        <v>0</v>
      </c>
    </row>
    <row r="763" customFormat="false" ht="15" hidden="false" customHeight="false" outlineLevel="0" collapsed="false">
      <c r="A763" s="36" t="n">
        <f aca="false">IF('Raw Orders'!B760="","",IF(MID('Raw Orders'!B760,5,1)="-",DATE(VALUE(LEFT('Raw Orders'!B760,4)),VALUE(MID('Raw Orders'!B760,6,2)),VALUE(MID('Raw Orders'!B760,9,2))),DATE(VALUE(MID('Raw Orders'!B760,7,4)),VALUE(MID('Raw Orders'!B760,4,2)),VALUE(LEFT('Raw Orders'!B760,2)))))</f>
        <v>46187</v>
      </c>
      <c r="B763" s="36" t="n">
        <f aca="false">IF(A763="","",A763-WEEKDAY(A763,3))</f>
        <v>46181</v>
      </c>
      <c r="C763" s="32" t="n">
        <f aca="false">IF(OR('Raw Orders'!C760&lt;&gt;"Product",'Raw Orders'!K760="Cancelled"),0,'Raw Orders'!G760)</f>
        <v>69</v>
      </c>
      <c r="D763" s="31" t="n">
        <f aca="false">IF(AND('Raw Orders'!C760="Product",'Raw Orders'!K760="Fulfilled",COUNTIFS('Raw Orders'!$A$2:$A760,'Raw Orders'!A760,'Raw Orders'!$C$2:$C760,"Product",'Raw Orders'!$K$2:$K760,"Fulfilled")=1),1,0)</f>
        <v>1</v>
      </c>
      <c r="E763" s="31" t="n">
        <f aca="false">IF(AND('Raw Orders'!C760="Product",'Raw Orders'!K760="Fulfilled"),'Raw Orders'!E760,0)</f>
        <v>1</v>
      </c>
      <c r="F763" s="32" t="n">
        <f aca="false">IF('Raw Orders'!K760="Refunded",'Raw Orders'!G760,0)</f>
        <v>0</v>
      </c>
    </row>
    <row r="764" customFormat="false" ht="15" hidden="false" customHeight="false" outlineLevel="0" collapsed="false">
      <c r="A764" s="36" t="n">
        <f aca="false">IF('Raw Orders'!B761="","",IF(MID('Raw Orders'!B761,5,1)="-",DATE(VALUE(LEFT('Raw Orders'!B761,4)),VALUE(MID('Raw Orders'!B761,6,2)),VALUE(MID('Raw Orders'!B761,9,2))),DATE(VALUE(MID('Raw Orders'!B761,7,4)),VALUE(MID('Raw Orders'!B761,4,2)),VALUE(LEFT('Raw Orders'!B761,2)))))</f>
        <v>46187</v>
      </c>
      <c r="B764" s="36" t="n">
        <f aca="false">IF(A764="","",A764-WEEKDAY(A764,3))</f>
        <v>46181</v>
      </c>
      <c r="C764" s="32" t="n">
        <f aca="false">IF(OR('Raw Orders'!C761&lt;&gt;"Product",'Raw Orders'!K761="Cancelled"),0,'Raw Orders'!G761)</f>
        <v>58</v>
      </c>
      <c r="D764" s="31" t="n">
        <f aca="false">IF(AND('Raw Orders'!C761="Product",'Raw Orders'!K761="Fulfilled",COUNTIFS('Raw Orders'!$A$2:$A761,'Raw Orders'!A761,'Raw Orders'!$C$2:$C761,"Product",'Raw Orders'!$K$2:$K761,"Fulfilled")=1),1,0)</f>
        <v>0</v>
      </c>
      <c r="E764" s="31" t="n">
        <f aca="false">IF(AND('Raw Orders'!C761="Product",'Raw Orders'!K761="Fulfilled"),'Raw Orders'!E761,0)</f>
        <v>2</v>
      </c>
      <c r="F764" s="32" t="n">
        <f aca="false">IF('Raw Orders'!K761="Refunded",'Raw Orders'!G761,0)</f>
        <v>0</v>
      </c>
    </row>
    <row r="765" customFormat="false" ht="15" hidden="false" customHeight="false" outlineLevel="0" collapsed="false">
      <c r="A765" s="36" t="n">
        <f aca="false">IF('Raw Orders'!B762="","",IF(MID('Raw Orders'!B762,5,1)="-",DATE(VALUE(LEFT('Raw Orders'!B762,4)),VALUE(MID('Raw Orders'!B762,6,2)),VALUE(MID('Raw Orders'!B762,9,2))),DATE(VALUE(MID('Raw Orders'!B762,7,4)),VALUE(MID('Raw Orders'!B762,4,2)),VALUE(LEFT('Raw Orders'!B762,2)))))</f>
        <v>46187</v>
      </c>
      <c r="B765" s="36" t="n">
        <f aca="false">IF(A765="","",A765-WEEKDAY(A765,3))</f>
        <v>46181</v>
      </c>
      <c r="C765" s="32" t="n">
        <f aca="false">IF(OR('Raw Orders'!C762&lt;&gt;"Product",'Raw Orders'!K762="Cancelled"),0,'Raw Orders'!G762)</f>
        <v>0</v>
      </c>
      <c r="D765" s="31" t="n">
        <f aca="false">IF(AND('Raw Orders'!C762="Product",'Raw Orders'!K762="Fulfilled",COUNTIFS('Raw Orders'!$A$2:$A762,'Raw Orders'!A762,'Raw Orders'!$C$2:$C762,"Product",'Raw Orders'!$K$2:$K762,"Fulfilled")=1),1,0)</f>
        <v>0</v>
      </c>
      <c r="E765" s="31" t="n">
        <f aca="false">IF(AND('Raw Orders'!C762="Product",'Raw Orders'!K762="Fulfilled"),'Raw Orders'!E762,0)</f>
        <v>0</v>
      </c>
      <c r="F765" s="32" t="n">
        <f aca="false">IF('Raw Orders'!K762="Refunded",'Raw Orders'!G762,0)</f>
        <v>0</v>
      </c>
    </row>
    <row r="766" customFormat="false" ht="15" hidden="false" customHeight="false" outlineLevel="0" collapsed="false">
      <c r="A766" s="36" t="n">
        <f aca="false">IF('Raw Orders'!B763="","",IF(MID('Raw Orders'!B763,5,1)="-",DATE(VALUE(LEFT('Raw Orders'!B763,4)),VALUE(MID('Raw Orders'!B763,6,2)),VALUE(MID('Raw Orders'!B763,9,2))),DATE(VALUE(MID('Raw Orders'!B763,7,4)),VALUE(MID('Raw Orders'!B763,4,2)),VALUE(LEFT('Raw Orders'!B763,2)))))</f>
        <v>46187</v>
      </c>
      <c r="B766" s="36" t="n">
        <f aca="false">IF(A766="","",A766-WEEKDAY(A766,3))</f>
        <v>46181</v>
      </c>
      <c r="C766" s="32" t="n">
        <f aca="false">IF(OR('Raw Orders'!C763&lt;&gt;"Product",'Raw Orders'!K763="Cancelled"),0,'Raw Orders'!G763)</f>
        <v>276</v>
      </c>
      <c r="D766" s="31" t="n">
        <f aca="false">IF(AND('Raw Orders'!C763="Product",'Raw Orders'!K763="Fulfilled",COUNTIFS('Raw Orders'!$A$2:$A763,'Raw Orders'!A763,'Raw Orders'!$C$2:$C763,"Product",'Raw Orders'!$K$2:$K763,"Fulfilled")=1),1,0)</f>
        <v>1</v>
      </c>
      <c r="E766" s="31" t="n">
        <f aca="false">IF(AND('Raw Orders'!C763="Product",'Raw Orders'!K763="Fulfilled"),'Raw Orders'!E763,0)</f>
        <v>4</v>
      </c>
      <c r="F766" s="32" t="n">
        <f aca="false">IF('Raw Orders'!K763="Refunded",'Raw Orders'!G763,0)</f>
        <v>0</v>
      </c>
    </row>
    <row r="767" customFormat="false" ht="15" hidden="false" customHeight="false" outlineLevel="0" collapsed="false">
      <c r="A767" s="36" t="n">
        <f aca="false">IF('Raw Orders'!B764="","",IF(MID('Raw Orders'!B764,5,1)="-",DATE(VALUE(LEFT('Raw Orders'!B764,4)),VALUE(MID('Raw Orders'!B764,6,2)),VALUE(MID('Raw Orders'!B764,9,2))),DATE(VALUE(MID('Raw Orders'!B764,7,4)),VALUE(MID('Raw Orders'!B764,4,2)),VALUE(LEFT('Raw Orders'!B764,2)))))</f>
        <v>46187</v>
      </c>
      <c r="B767" s="36" t="n">
        <f aca="false">IF(A767="","",A767-WEEKDAY(A767,3))</f>
        <v>46181</v>
      </c>
      <c r="C767" s="32" t="n">
        <f aca="false">IF(OR('Raw Orders'!C764&lt;&gt;"Product",'Raw Orders'!K764="Cancelled"),0,'Raw Orders'!G764)</f>
        <v>0</v>
      </c>
      <c r="D767" s="31" t="n">
        <f aca="false">IF(AND('Raw Orders'!C764="Product",'Raw Orders'!K764="Fulfilled",COUNTIFS('Raw Orders'!$A$2:$A764,'Raw Orders'!A764,'Raw Orders'!$C$2:$C764,"Product",'Raw Orders'!$K$2:$K764,"Fulfilled")=1),1,0)</f>
        <v>0</v>
      </c>
      <c r="E767" s="31" t="n">
        <f aca="false">IF(AND('Raw Orders'!C764="Product",'Raw Orders'!K764="Fulfilled"),'Raw Orders'!E764,0)</f>
        <v>0</v>
      </c>
      <c r="F767" s="32" t="n">
        <f aca="false">IF('Raw Orders'!K764="Refunded",'Raw Orders'!G764,0)</f>
        <v>0</v>
      </c>
    </row>
    <row r="768" customFormat="false" ht="15" hidden="false" customHeight="false" outlineLevel="0" collapsed="false">
      <c r="A768" s="36" t="n">
        <f aca="false">IF('Raw Orders'!B765="","",IF(MID('Raw Orders'!B765,5,1)="-",DATE(VALUE(LEFT('Raw Orders'!B765,4)),VALUE(MID('Raw Orders'!B765,6,2)),VALUE(MID('Raw Orders'!B765,9,2))),DATE(VALUE(MID('Raw Orders'!B765,7,4)),VALUE(MID('Raw Orders'!B765,4,2)),VALUE(LEFT('Raw Orders'!B765,2)))))</f>
        <v>46187</v>
      </c>
      <c r="B768" s="36" t="n">
        <f aca="false">IF(A768="","",A768-WEEKDAY(A768,3))</f>
        <v>46181</v>
      </c>
      <c r="C768" s="32" t="n">
        <f aca="false">IF(OR('Raw Orders'!C765&lt;&gt;"Product",'Raw Orders'!K765="Cancelled"),0,'Raw Orders'!G765)</f>
        <v>178</v>
      </c>
      <c r="D768" s="31" t="n">
        <f aca="false">IF(AND('Raw Orders'!C765="Product",'Raw Orders'!K765="Fulfilled",COUNTIFS('Raw Orders'!$A$2:$A765,'Raw Orders'!A765,'Raw Orders'!$C$2:$C765,"Product",'Raw Orders'!$K$2:$K765,"Fulfilled")=1),1,0)</f>
        <v>0</v>
      </c>
      <c r="E768" s="31" t="n">
        <f aca="false">IF(AND('Raw Orders'!C765="Product",'Raw Orders'!K765="Fulfilled"),'Raw Orders'!E765,0)</f>
        <v>2</v>
      </c>
      <c r="F768" s="32" t="n">
        <f aca="false">IF('Raw Orders'!K765="Refunded",'Raw Orders'!G765,0)</f>
        <v>0</v>
      </c>
    </row>
    <row r="769" customFormat="false" ht="15" hidden="false" customHeight="false" outlineLevel="0" collapsed="false">
      <c r="A769" s="36" t="n">
        <f aca="false">IF('Raw Orders'!B766="","",IF(MID('Raw Orders'!B766,5,1)="-",DATE(VALUE(LEFT('Raw Orders'!B766,4)),VALUE(MID('Raw Orders'!B766,6,2)),VALUE(MID('Raw Orders'!B766,9,2))),DATE(VALUE(MID('Raw Orders'!B766,7,4)),VALUE(MID('Raw Orders'!B766,4,2)),VALUE(LEFT('Raw Orders'!B766,2)))))</f>
        <v>46188</v>
      </c>
      <c r="B769" s="36" t="n">
        <f aca="false">IF(A769="","",A769-WEEKDAY(A769,3))</f>
        <v>46188</v>
      </c>
      <c r="C769" s="32" t="n">
        <f aca="false">IF(OR('Raw Orders'!C766&lt;&gt;"Product",'Raw Orders'!K766="Cancelled"),0,'Raw Orders'!G766)</f>
        <v>75</v>
      </c>
      <c r="D769" s="31" t="n">
        <f aca="false">IF(AND('Raw Orders'!C766="Product",'Raw Orders'!K766="Fulfilled",COUNTIFS('Raw Orders'!$A$2:$A766,'Raw Orders'!A766,'Raw Orders'!$C$2:$C766,"Product",'Raw Orders'!$K$2:$K766,"Fulfilled")=1),1,0)</f>
        <v>1</v>
      </c>
      <c r="E769" s="31" t="n">
        <f aca="false">IF(AND('Raw Orders'!C766="Product",'Raw Orders'!K766="Fulfilled"),'Raw Orders'!E766,0)</f>
        <v>1</v>
      </c>
      <c r="F769" s="32" t="n">
        <f aca="false">IF('Raw Orders'!K766="Refunded",'Raw Orders'!G766,0)</f>
        <v>0</v>
      </c>
    </row>
    <row r="770" customFormat="false" ht="15" hidden="false" customHeight="false" outlineLevel="0" collapsed="false">
      <c r="A770" s="36" t="n">
        <f aca="false">IF('Raw Orders'!B767="","",IF(MID('Raw Orders'!B767,5,1)="-",DATE(VALUE(LEFT('Raw Orders'!B767,4)),VALUE(MID('Raw Orders'!B767,6,2)),VALUE(MID('Raw Orders'!B767,9,2))),DATE(VALUE(MID('Raw Orders'!B767,7,4)),VALUE(MID('Raw Orders'!B767,4,2)),VALUE(LEFT('Raw Orders'!B767,2)))))</f>
        <v>46188</v>
      </c>
      <c r="B770" s="36" t="n">
        <f aca="false">IF(A770="","",A770-WEEKDAY(A770,3))</f>
        <v>46188</v>
      </c>
      <c r="C770" s="32" t="n">
        <f aca="false">IF(OR('Raw Orders'!C767&lt;&gt;"Product",'Raw Orders'!K767="Cancelled"),0,'Raw Orders'!G767)</f>
        <v>0</v>
      </c>
      <c r="D770" s="31" t="n">
        <f aca="false">IF(AND('Raw Orders'!C767="Product",'Raw Orders'!K767="Fulfilled",COUNTIFS('Raw Orders'!$A$2:$A767,'Raw Orders'!A767,'Raw Orders'!$C$2:$C767,"Product",'Raw Orders'!$K$2:$K767,"Fulfilled")=1),1,0)</f>
        <v>0</v>
      </c>
      <c r="E770" s="31" t="n">
        <f aca="false">IF(AND('Raw Orders'!C767="Product",'Raw Orders'!K767="Fulfilled"),'Raw Orders'!E767,0)</f>
        <v>0</v>
      </c>
      <c r="F770" s="32" t="n">
        <f aca="false">IF('Raw Orders'!K767="Refunded",'Raw Orders'!G767,0)</f>
        <v>0</v>
      </c>
    </row>
    <row r="771" customFormat="false" ht="15" hidden="false" customHeight="false" outlineLevel="0" collapsed="false">
      <c r="A771" s="36" t="n">
        <f aca="false">IF('Raw Orders'!B768="","",IF(MID('Raw Orders'!B768,5,1)="-",DATE(VALUE(LEFT('Raw Orders'!B768,4)),VALUE(MID('Raw Orders'!B768,6,2)),VALUE(MID('Raw Orders'!B768,9,2))),DATE(VALUE(MID('Raw Orders'!B768,7,4)),VALUE(MID('Raw Orders'!B768,4,2)),VALUE(LEFT('Raw Orders'!B768,2)))))</f>
        <v>46188</v>
      </c>
      <c r="B771" s="36" t="n">
        <f aca="false">IF(A771="","",A771-WEEKDAY(A771,3))</f>
        <v>46188</v>
      </c>
      <c r="C771" s="32" t="n">
        <f aca="false">IF(OR('Raw Orders'!C768&lt;&gt;"Product",'Raw Orders'!K768="Cancelled"),0,'Raw Orders'!G768)</f>
        <v>39</v>
      </c>
      <c r="D771" s="31" t="n">
        <f aca="false">IF(AND('Raw Orders'!C768="Product",'Raw Orders'!K768="Fulfilled",COUNTIFS('Raw Orders'!$A$2:$A768,'Raw Orders'!A768,'Raw Orders'!$C$2:$C768,"Product",'Raw Orders'!$K$2:$K768,"Fulfilled")=1),1,0)</f>
        <v>0</v>
      </c>
      <c r="E771" s="31" t="n">
        <f aca="false">IF(AND('Raw Orders'!C768="Product",'Raw Orders'!K768="Fulfilled"),'Raw Orders'!E768,0)</f>
        <v>1</v>
      </c>
      <c r="F771" s="32" t="n">
        <f aca="false">IF('Raw Orders'!K768="Refunded",'Raw Orders'!G768,0)</f>
        <v>0</v>
      </c>
    </row>
    <row r="772" customFormat="false" ht="15" hidden="false" customHeight="false" outlineLevel="0" collapsed="false">
      <c r="A772" s="36" t="n">
        <f aca="false">IF('Raw Orders'!B769="","",IF(MID('Raw Orders'!B769,5,1)="-",DATE(VALUE(LEFT('Raw Orders'!B769,4)),VALUE(MID('Raw Orders'!B769,6,2)),VALUE(MID('Raw Orders'!B769,9,2))),DATE(VALUE(MID('Raw Orders'!B769,7,4)),VALUE(MID('Raw Orders'!B769,4,2)),VALUE(LEFT('Raw Orders'!B769,2)))))</f>
        <v>46188</v>
      </c>
      <c r="B772" s="36" t="n">
        <f aca="false">IF(A772="","",A772-WEEKDAY(A772,3))</f>
        <v>46188</v>
      </c>
      <c r="C772" s="32" t="n">
        <f aca="false">IF(OR('Raw Orders'!C769&lt;&gt;"Product",'Raw Orders'!K769="Cancelled"),0,'Raw Orders'!G769)</f>
        <v>0</v>
      </c>
      <c r="D772" s="31" t="n">
        <f aca="false">IF(AND('Raw Orders'!C769="Product",'Raw Orders'!K769="Fulfilled",COUNTIFS('Raw Orders'!$A$2:$A769,'Raw Orders'!A769,'Raw Orders'!$C$2:$C769,"Product",'Raw Orders'!$K$2:$K769,"Fulfilled")=1),1,0)</f>
        <v>0</v>
      </c>
      <c r="E772" s="31" t="n">
        <f aca="false">IF(AND('Raw Orders'!C769="Product",'Raw Orders'!K769="Fulfilled"),'Raw Orders'!E769,0)</f>
        <v>0</v>
      </c>
      <c r="F772" s="32" t="n">
        <f aca="false">IF('Raw Orders'!K769="Refunded",'Raw Orders'!G769,0)</f>
        <v>0</v>
      </c>
    </row>
    <row r="773" customFormat="false" ht="15" hidden="false" customHeight="false" outlineLevel="0" collapsed="false">
      <c r="A773" s="36" t="n">
        <f aca="false">IF('Raw Orders'!B770="","",IF(MID('Raw Orders'!B770,5,1)="-",DATE(VALUE(LEFT('Raw Orders'!B770,4)),VALUE(MID('Raw Orders'!B770,6,2)),VALUE(MID('Raw Orders'!B770,9,2))),DATE(VALUE(MID('Raw Orders'!B770,7,4)),VALUE(MID('Raw Orders'!B770,4,2)),VALUE(LEFT('Raw Orders'!B770,2)))))</f>
        <v>46188</v>
      </c>
      <c r="B773" s="36" t="n">
        <f aca="false">IF(A773="","",A773-WEEKDAY(A773,3))</f>
        <v>46188</v>
      </c>
      <c r="C773" s="32" t="n">
        <f aca="false">IF(OR('Raw Orders'!C770&lt;&gt;"Product",'Raw Orders'!K770="Cancelled"),0,'Raw Orders'!G770)</f>
        <v>32</v>
      </c>
      <c r="D773" s="31" t="n">
        <f aca="false">IF(AND('Raw Orders'!C770="Product",'Raw Orders'!K770="Fulfilled",COUNTIFS('Raw Orders'!$A$2:$A770,'Raw Orders'!A770,'Raw Orders'!$C$2:$C770,"Product",'Raw Orders'!$K$2:$K770,"Fulfilled")=1),1,0)</f>
        <v>1</v>
      </c>
      <c r="E773" s="31" t="n">
        <f aca="false">IF(AND('Raw Orders'!C770="Product",'Raw Orders'!K770="Fulfilled"),'Raw Orders'!E770,0)</f>
        <v>1</v>
      </c>
      <c r="F773" s="32" t="n">
        <f aca="false">IF('Raw Orders'!K770="Refunded",'Raw Orders'!G770,0)</f>
        <v>0</v>
      </c>
    </row>
    <row r="774" customFormat="false" ht="15" hidden="false" customHeight="false" outlineLevel="0" collapsed="false">
      <c r="A774" s="36" t="n">
        <f aca="false">IF('Raw Orders'!B771="","",IF(MID('Raw Orders'!B771,5,1)="-",DATE(VALUE(LEFT('Raw Orders'!B771,4)),VALUE(MID('Raw Orders'!B771,6,2)),VALUE(MID('Raw Orders'!B771,9,2))),DATE(VALUE(MID('Raw Orders'!B771,7,4)),VALUE(MID('Raw Orders'!B771,4,2)),VALUE(LEFT('Raw Orders'!B771,2)))))</f>
        <v>46188</v>
      </c>
      <c r="B774" s="36" t="n">
        <f aca="false">IF(A774="","",A774-WEEKDAY(A774,3))</f>
        <v>46188</v>
      </c>
      <c r="C774" s="32" t="n">
        <f aca="false">IF(OR('Raw Orders'!C771&lt;&gt;"Product",'Raw Orders'!K771="Cancelled"),0,'Raw Orders'!G771)</f>
        <v>-69</v>
      </c>
      <c r="D774" s="31" t="n">
        <f aca="false">IF(AND('Raw Orders'!C771="Product",'Raw Orders'!K771="Fulfilled",COUNTIFS('Raw Orders'!$A$2:$A771,'Raw Orders'!A771,'Raw Orders'!$C$2:$C771,"Product",'Raw Orders'!$K$2:$K771,"Fulfilled")=1),1,0)</f>
        <v>0</v>
      </c>
      <c r="E774" s="31" t="n">
        <f aca="false">IF(AND('Raw Orders'!C771="Product",'Raw Orders'!K771="Fulfilled"),'Raw Orders'!E771,0)</f>
        <v>0</v>
      </c>
      <c r="F774" s="32" t="n">
        <f aca="false">IF('Raw Orders'!K771="Refunded",'Raw Orders'!G771,0)</f>
        <v>-69</v>
      </c>
    </row>
    <row r="775" customFormat="false" ht="15" hidden="false" customHeight="false" outlineLevel="0" collapsed="false">
      <c r="A775" s="36" t="n">
        <f aca="false">IF('Raw Orders'!B772="","",IF(MID('Raw Orders'!B772,5,1)="-",DATE(VALUE(LEFT('Raw Orders'!B772,4)),VALUE(MID('Raw Orders'!B772,6,2)),VALUE(MID('Raw Orders'!B772,9,2))),DATE(VALUE(MID('Raw Orders'!B772,7,4)),VALUE(MID('Raw Orders'!B772,4,2)),VALUE(LEFT('Raw Orders'!B772,2)))))</f>
        <v>46188</v>
      </c>
      <c r="B775" s="36" t="n">
        <f aca="false">IF(A775="","",A775-WEEKDAY(A775,3))</f>
        <v>46188</v>
      </c>
      <c r="C775" s="32" t="n">
        <f aca="false">IF(OR('Raw Orders'!C772&lt;&gt;"Product",'Raw Orders'!K772="Cancelled"),0,'Raw Orders'!G772)</f>
        <v>0</v>
      </c>
      <c r="D775" s="31" t="n">
        <f aca="false">IF(AND('Raw Orders'!C772="Product",'Raw Orders'!K772="Fulfilled",COUNTIFS('Raw Orders'!$A$2:$A772,'Raw Orders'!A772,'Raw Orders'!$C$2:$C772,"Product",'Raw Orders'!$K$2:$K772,"Fulfilled")=1),1,0)</f>
        <v>0</v>
      </c>
      <c r="E775" s="31" t="n">
        <f aca="false">IF(AND('Raw Orders'!C772="Product",'Raw Orders'!K772="Fulfilled"),'Raw Orders'!E772,0)</f>
        <v>0</v>
      </c>
      <c r="F775" s="32" t="n">
        <f aca="false">IF('Raw Orders'!K772="Refunded",'Raw Orders'!G772,0)</f>
        <v>0</v>
      </c>
    </row>
    <row r="776" customFormat="false" ht="15" hidden="false" customHeight="false" outlineLevel="0" collapsed="false">
      <c r="A776" s="36" t="n">
        <f aca="false">IF('Raw Orders'!B773="","",IF(MID('Raw Orders'!B773,5,1)="-",DATE(VALUE(LEFT('Raw Orders'!B773,4)),VALUE(MID('Raw Orders'!B773,6,2)),VALUE(MID('Raw Orders'!B773,9,2))),DATE(VALUE(MID('Raw Orders'!B773,7,4)),VALUE(MID('Raw Orders'!B773,4,2)),VALUE(LEFT('Raw Orders'!B773,2)))))</f>
        <v>46188</v>
      </c>
      <c r="B776" s="36" t="n">
        <f aca="false">IF(A776="","",A776-WEEKDAY(A776,3))</f>
        <v>46188</v>
      </c>
      <c r="C776" s="32" t="n">
        <f aca="false">IF(OR('Raw Orders'!C773&lt;&gt;"Product",'Raw Orders'!K773="Cancelled"),0,'Raw Orders'!G773)</f>
        <v>89</v>
      </c>
      <c r="D776" s="31" t="n">
        <f aca="false">IF(AND('Raw Orders'!C773="Product",'Raw Orders'!K773="Fulfilled",COUNTIFS('Raw Orders'!$A$2:$A773,'Raw Orders'!A773,'Raw Orders'!$C$2:$C773,"Product",'Raw Orders'!$K$2:$K773,"Fulfilled")=1),1,0)</f>
        <v>1</v>
      </c>
      <c r="E776" s="31" t="n">
        <f aca="false">IF(AND('Raw Orders'!C773="Product",'Raw Orders'!K773="Fulfilled"),'Raw Orders'!E773,0)</f>
        <v>1</v>
      </c>
      <c r="F776" s="32" t="n">
        <f aca="false">IF('Raw Orders'!K773="Refunded",'Raw Orders'!G773,0)</f>
        <v>0</v>
      </c>
    </row>
    <row r="777" customFormat="false" ht="15" hidden="false" customHeight="false" outlineLevel="0" collapsed="false">
      <c r="A777" s="36" t="n">
        <f aca="false">IF('Raw Orders'!B774="","",IF(MID('Raw Orders'!B774,5,1)="-",DATE(VALUE(LEFT('Raw Orders'!B774,4)),VALUE(MID('Raw Orders'!B774,6,2)),VALUE(MID('Raw Orders'!B774,9,2))),DATE(VALUE(MID('Raw Orders'!B774,7,4)),VALUE(MID('Raw Orders'!B774,4,2)),VALUE(LEFT('Raw Orders'!B774,2)))))</f>
        <v>46188</v>
      </c>
      <c r="B777" s="36" t="n">
        <f aca="false">IF(A777="","",A777-WEEKDAY(A777,3))</f>
        <v>46188</v>
      </c>
      <c r="C777" s="32" t="n">
        <f aca="false">IF(OR('Raw Orders'!C774&lt;&gt;"Product",'Raw Orders'!K774="Cancelled"),0,'Raw Orders'!G774)</f>
        <v>78</v>
      </c>
      <c r="D777" s="31" t="n">
        <f aca="false">IF(AND('Raw Orders'!C774="Product",'Raw Orders'!K774="Fulfilled",COUNTIFS('Raw Orders'!$A$2:$A774,'Raw Orders'!A774,'Raw Orders'!$C$2:$C774,"Product",'Raw Orders'!$K$2:$K774,"Fulfilled")=1),1,0)</f>
        <v>1</v>
      </c>
      <c r="E777" s="31" t="n">
        <f aca="false">IF(AND('Raw Orders'!C774="Product",'Raw Orders'!K774="Fulfilled"),'Raw Orders'!E774,0)</f>
        <v>2</v>
      </c>
      <c r="F777" s="32" t="n">
        <f aca="false">IF('Raw Orders'!K774="Refunded",'Raw Orders'!G774,0)</f>
        <v>0</v>
      </c>
    </row>
    <row r="778" customFormat="false" ht="15" hidden="false" customHeight="false" outlineLevel="0" collapsed="false">
      <c r="A778" s="36" t="n">
        <f aca="false">IF('Raw Orders'!B775="","",IF(MID('Raw Orders'!B775,5,1)="-",DATE(VALUE(LEFT('Raw Orders'!B775,4)),VALUE(MID('Raw Orders'!B775,6,2)),VALUE(MID('Raw Orders'!B775,9,2))),DATE(VALUE(MID('Raw Orders'!B775,7,4)),VALUE(MID('Raw Orders'!B775,4,2)),VALUE(LEFT('Raw Orders'!B775,2)))))</f>
        <v>46188</v>
      </c>
      <c r="B778" s="36" t="n">
        <f aca="false">IF(A778="","",A778-WEEKDAY(A778,3))</f>
        <v>46188</v>
      </c>
      <c r="C778" s="32" t="n">
        <f aca="false">IF(OR('Raw Orders'!C775&lt;&gt;"Product",'Raw Orders'!K775="Cancelled"),0,'Raw Orders'!G775)</f>
        <v>0</v>
      </c>
      <c r="D778" s="31" t="n">
        <f aca="false">IF(AND('Raw Orders'!C775="Product",'Raw Orders'!K775="Fulfilled",COUNTIFS('Raw Orders'!$A$2:$A775,'Raw Orders'!A775,'Raw Orders'!$C$2:$C775,"Product",'Raw Orders'!$K$2:$K775,"Fulfilled")=1),1,0)</f>
        <v>0</v>
      </c>
      <c r="E778" s="31" t="n">
        <f aca="false">IF(AND('Raw Orders'!C775="Product",'Raw Orders'!K775="Fulfilled"),'Raw Orders'!E775,0)</f>
        <v>0</v>
      </c>
      <c r="F778" s="32" t="n">
        <f aca="false">IF('Raw Orders'!K775="Refunded",'Raw Orders'!G775,0)</f>
        <v>0</v>
      </c>
    </row>
    <row r="779" customFormat="false" ht="15" hidden="false" customHeight="false" outlineLevel="0" collapsed="false">
      <c r="A779" s="36" t="n">
        <f aca="false">IF('Raw Orders'!B776="","",IF(MID('Raw Orders'!B776,5,1)="-",DATE(VALUE(LEFT('Raw Orders'!B776,4)),VALUE(MID('Raw Orders'!B776,6,2)),VALUE(MID('Raw Orders'!B776,9,2))),DATE(VALUE(MID('Raw Orders'!B776,7,4)),VALUE(MID('Raw Orders'!B776,4,2)),VALUE(LEFT('Raw Orders'!B776,2)))))</f>
        <v>46188</v>
      </c>
      <c r="B779" s="36" t="n">
        <f aca="false">IF(A779="","",A779-WEEKDAY(A779,3))</f>
        <v>46188</v>
      </c>
      <c r="C779" s="32" t="n">
        <f aca="false">IF(OR('Raw Orders'!C776&lt;&gt;"Product",'Raw Orders'!K776="Cancelled"),0,'Raw Orders'!G776)</f>
        <v>0</v>
      </c>
      <c r="D779" s="31" t="n">
        <f aca="false">IF(AND('Raw Orders'!C776="Product",'Raw Orders'!K776="Fulfilled",COUNTIFS('Raw Orders'!$A$2:$A776,'Raw Orders'!A776,'Raw Orders'!$C$2:$C776,"Product",'Raw Orders'!$K$2:$K776,"Fulfilled")=1),1,0)</f>
        <v>0</v>
      </c>
      <c r="E779" s="31" t="n">
        <f aca="false">IF(AND('Raw Orders'!C776="Product",'Raw Orders'!K776="Fulfilled"),'Raw Orders'!E776,0)</f>
        <v>0</v>
      </c>
      <c r="F779" s="32" t="n">
        <f aca="false">IF('Raw Orders'!K776="Refunded",'Raw Orders'!G776,0)</f>
        <v>0</v>
      </c>
    </row>
    <row r="780" customFormat="false" ht="15" hidden="false" customHeight="false" outlineLevel="0" collapsed="false">
      <c r="A780" s="36" t="n">
        <f aca="false">IF('Raw Orders'!B777="","",IF(MID('Raw Orders'!B777,5,1)="-",DATE(VALUE(LEFT('Raw Orders'!B777,4)),VALUE(MID('Raw Orders'!B777,6,2)),VALUE(MID('Raw Orders'!B777,9,2))),DATE(VALUE(MID('Raw Orders'!B777,7,4)),VALUE(MID('Raw Orders'!B777,4,2)),VALUE(LEFT('Raw Orders'!B777,2)))))</f>
        <v>46188</v>
      </c>
      <c r="B780" s="36" t="n">
        <f aca="false">IF(A780="","",A780-WEEKDAY(A780,3))</f>
        <v>46188</v>
      </c>
      <c r="C780" s="32" t="n">
        <f aca="false">IF(OR('Raw Orders'!C777&lt;&gt;"Product",'Raw Orders'!K777="Cancelled"),0,'Raw Orders'!G777)</f>
        <v>89</v>
      </c>
      <c r="D780" s="31" t="n">
        <f aca="false">IF(AND('Raw Orders'!C777="Product",'Raw Orders'!K777="Fulfilled",COUNTIFS('Raw Orders'!$A$2:$A777,'Raw Orders'!A777,'Raw Orders'!$C$2:$C777,"Product",'Raw Orders'!$K$2:$K777,"Fulfilled")=1),1,0)</f>
        <v>1</v>
      </c>
      <c r="E780" s="31" t="n">
        <f aca="false">IF(AND('Raw Orders'!C777="Product",'Raw Orders'!K777="Fulfilled"),'Raw Orders'!E777,0)</f>
        <v>1</v>
      </c>
      <c r="F780" s="32" t="n">
        <f aca="false">IF('Raw Orders'!K777="Refunded",'Raw Orders'!G777,0)</f>
        <v>0</v>
      </c>
    </row>
    <row r="781" customFormat="false" ht="15" hidden="false" customHeight="false" outlineLevel="0" collapsed="false">
      <c r="A781" s="36" t="n">
        <f aca="false">IF('Raw Orders'!B778="","",IF(MID('Raw Orders'!B778,5,1)="-",DATE(VALUE(LEFT('Raw Orders'!B778,4)),VALUE(MID('Raw Orders'!B778,6,2)),VALUE(MID('Raw Orders'!B778,9,2))),DATE(VALUE(MID('Raw Orders'!B778,7,4)),VALUE(MID('Raw Orders'!B778,4,2)),VALUE(LEFT('Raw Orders'!B778,2)))))</f>
        <v>46188</v>
      </c>
      <c r="B781" s="36" t="n">
        <f aca="false">IF(A781="","",A781-WEEKDAY(A781,3))</f>
        <v>46188</v>
      </c>
      <c r="C781" s="32" t="n">
        <f aca="false">IF(OR('Raw Orders'!C778&lt;&gt;"Product",'Raw Orders'!K778="Cancelled"),0,'Raw Orders'!G778)</f>
        <v>72</v>
      </c>
      <c r="D781" s="31" t="n">
        <f aca="false">IF(AND('Raw Orders'!C778="Product",'Raw Orders'!K778="Fulfilled",COUNTIFS('Raw Orders'!$A$2:$A778,'Raw Orders'!A778,'Raw Orders'!$C$2:$C778,"Product",'Raw Orders'!$K$2:$K778,"Fulfilled")=1),1,0)</f>
        <v>0</v>
      </c>
      <c r="E781" s="31" t="n">
        <f aca="false">IF(AND('Raw Orders'!C778="Product",'Raw Orders'!K778="Fulfilled"),'Raw Orders'!E778,0)</f>
        <v>2</v>
      </c>
      <c r="F781" s="32" t="n">
        <f aca="false">IF('Raw Orders'!K778="Refunded",'Raw Orders'!G778,0)</f>
        <v>0</v>
      </c>
    </row>
    <row r="782" customFormat="false" ht="15" hidden="false" customHeight="false" outlineLevel="0" collapsed="false">
      <c r="A782" s="36" t="n">
        <f aca="false">IF('Raw Orders'!B779="","",IF(MID('Raw Orders'!B779,5,1)="-",DATE(VALUE(LEFT('Raw Orders'!B779,4)),VALUE(MID('Raw Orders'!B779,6,2)),VALUE(MID('Raw Orders'!B779,9,2))),DATE(VALUE(MID('Raw Orders'!B779,7,4)),VALUE(MID('Raw Orders'!B779,4,2)),VALUE(LEFT('Raw Orders'!B779,2)))))</f>
        <v>46188</v>
      </c>
      <c r="B782" s="36" t="n">
        <f aca="false">IF(A782="","",A782-WEEKDAY(A782,3))</f>
        <v>46188</v>
      </c>
      <c r="C782" s="32" t="n">
        <f aca="false">IF(OR('Raw Orders'!C779&lt;&gt;"Product",'Raw Orders'!K779="Cancelled"),0,'Raw Orders'!G779)</f>
        <v>178</v>
      </c>
      <c r="D782" s="31" t="n">
        <f aca="false">IF(AND('Raw Orders'!C779="Product",'Raw Orders'!K779="Fulfilled",COUNTIFS('Raw Orders'!$A$2:$A779,'Raw Orders'!A779,'Raw Orders'!$C$2:$C779,"Product",'Raw Orders'!$K$2:$K779,"Fulfilled")=1),1,0)</f>
        <v>1</v>
      </c>
      <c r="E782" s="31" t="n">
        <f aca="false">IF(AND('Raw Orders'!C779="Product",'Raw Orders'!K779="Fulfilled"),'Raw Orders'!E779,0)</f>
        <v>2</v>
      </c>
      <c r="F782" s="32" t="n">
        <f aca="false">IF('Raw Orders'!K779="Refunded",'Raw Orders'!G779,0)</f>
        <v>0</v>
      </c>
    </row>
    <row r="783" customFormat="false" ht="15" hidden="false" customHeight="false" outlineLevel="0" collapsed="false">
      <c r="A783" s="36" t="n">
        <f aca="false">IF('Raw Orders'!B780="","",IF(MID('Raw Orders'!B780,5,1)="-",DATE(VALUE(LEFT('Raw Orders'!B780,4)),VALUE(MID('Raw Orders'!B780,6,2)),VALUE(MID('Raw Orders'!B780,9,2))),DATE(VALUE(MID('Raw Orders'!B780,7,4)),VALUE(MID('Raw Orders'!B780,4,2)),VALUE(LEFT('Raw Orders'!B780,2)))))</f>
        <v>46188</v>
      </c>
      <c r="B783" s="36" t="n">
        <f aca="false">IF(A783="","",A783-WEEKDAY(A783,3))</f>
        <v>46188</v>
      </c>
      <c r="C783" s="32" t="n">
        <f aca="false">IF(OR('Raw Orders'!C780&lt;&gt;"Product",'Raw Orders'!K780="Cancelled"),0,'Raw Orders'!G780)</f>
        <v>0</v>
      </c>
      <c r="D783" s="31" t="n">
        <f aca="false">IF(AND('Raw Orders'!C780="Product",'Raw Orders'!K780="Fulfilled",COUNTIFS('Raw Orders'!$A$2:$A780,'Raw Orders'!A780,'Raw Orders'!$C$2:$C780,"Product",'Raw Orders'!$K$2:$K780,"Fulfilled")=1),1,0)</f>
        <v>0</v>
      </c>
      <c r="E783" s="31" t="n">
        <f aca="false">IF(AND('Raw Orders'!C780="Product",'Raw Orders'!K780="Fulfilled"),'Raw Orders'!E780,0)</f>
        <v>0</v>
      </c>
      <c r="F783" s="32" t="n">
        <f aca="false">IF('Raw Orders'!K780="Refunded",'Raw Orders'!G780,0)</f>
        <v>0</v>
      </c>
    </row>
    <row r="784" customFormat="false" ht="15" hidden="false" customHeight="false" outlineLevel="0" collapsed="false">
      <c r="A784" s="36" t="n">
        <f aca="false">IF('Raw Orders'!B781="","",IF(MID('Raw Orders'!B781,5,1)="-",DATE(VALUE(LEFT('Raw Orders'!B781,4)),VALUE(MID('Raw Orders'!B781,6,2)),VALUE(MID('Raw Orders'!B781,9,2))),DATE(VALUE(MID('Raw Orders'!B781,7,4)),VALUE(MID('Raw Orders'!B781,4,2)),VALUE(LEFT('Raw Orders'!B781,2)))))</f>
        <v>46188</v>
      </c>
      <c r="B784" s="36" t="n">
        <f aca="false">IF(A784="","",A784-WEEKDAY(A784,3))</f>
        <v>46188</v>
      </c>
      <c r="C784" s="32" t="n">
        <f aca="false">IF(OR('Raw Orders'!C781&lt;&gt;"Product",'Raw Orders'!K781="Cancelled"),0,'Raw Orders'!G781)</f>
        <v>45</v>
      </c>
      <c r="D784" s="31" t="n">
        <f aca="false">IF(AND('Raw Orders'!C781="Product",'Raw Orders'!K781="Fulfilled",COUNTIFS('Raw Orders'!$A$2:$A781,'Raw Orders'!A781,'Raw Orders'!$C$2:$C781,"Product",'Raw Orders'!$K$2:$K781,"Fulfilled")=1),1,0)</f>
        <v>1</v>
      </c>
      <c r="E784" s="31" t="n">
        <f aca="false">IF(AND('Raw Orders'!C781="Product",'Raw Orders'!K781="Fulfilled"),'Raw Orders'!E781,0)</f>
        <v>1</v>
      </c>
      <c r="F784" s="32" t="n">
        <f aca="false">IF('Raw Orders'!K781="Refunded",'Raw Orders'!G781,0)</f>
        <v>0</v>
      </c>
    </row>
    <row r="785" customFormat="false" ht="15" hidden="false" customHeight="false" outlineLevel="0" collapsed="false">
      <c r="A785" s="36" t="n">
        <f aca="false">IF('Raw Orders'!B782="","",IF(MID('Raw Orders'!B782,5,1)="-",DATE(VALUE(LEFT('Raw Orders'!B782,4)),VALUE(MID('Raw Orders'!B782,6,2)),VALUE(MID('Raw Orders'!B782,9,2))),DATE(VALUE(MID('Raw Orders'!B782,7,4)),VALUE(MID('Raw Orders'!B782,4,2)),VALUE(LEFT('Raw Orders'!B782,2)))))</f>
        <v>46188</v>
      </c>
      <c r="B785" s="36" t="n">
        <f aca="false">IF(A785="","",A785-WEEKDAY(A785,3))</f>
        <v>46188</v>
      </c>
      <c r="C785" s="32" t="n">
        <f aca="false">IF(OR('Raw Orders'!C782&lt;&gt;"Product",'Raw Orders'!K782="Cancelled"),0,'Raw Orders'!G782)</f>
        <v>0</v>
      </c>
      <c r="D785" s="31" t="n">
        <f aca="false">IF(AND('Raw Orders'!C782="Product",'Raw Orders'!K782="Fulfilled",COUNTIFS('Raw Orders'!$A$2:$A782,'Raw Orders'!A782,'Raw Orders'!$C$2:$C782,"Product",'Raw Orders'!$K$2:$K782,"Fulfilled")=1),1,0)</f>
        <v>0</v>
      </c>
      <c r="E785" s="31" t="n">
        <f aca="false">IF(AND('Raw Orders'!C782="Product",'Raw Orders'!K782="Fulfilled"),'Raw Orders'!E782,0)</f>
        <v>0</v>
      </c>
      <c r="F785" s="32" t="n">
        <f aca="false">IF('Raw Orders'!K782="Refunded",'Raw Orders'!G782,0)</f>
        <v>0</v>
      </c>
    </row>
    <row r="786" customFormat="false" ht="15" hidden="false" customHeight="false" outlineLevel="0" collapsed="false">
      <c r="A786" s="36" t="n">
        <f aca="false">IF('Raw Orders'!B783="","",IF(MID('Raw Orders'!B783,5,1)="-",DATE(VALUE(LEFT('Raw Orders'!B783,4)),VALUE(MID('Raw Orders'!B783,6,2)),VALUE(MID('Raw Orders'!B783,9,2))),DATE(VALUE(MID('Raw Orders'!B783,7,4)),VALUE(MID('Raw Orders'!B783,4,2)),VALUE(LEFT('Raw Orders'!B783,2)))))</f>
        <v>46188</v>
      </c>
      <c r="B786" s="36" t="n">
        <f aca="false">IF(A786="","",A786-WEEKDAY(A786,3))</f>
        <v>46188</v>
      </c>
      <c r="C786" s="32" t="n">
        <f aca="false">IF(OR('Raw Orders'!C783&lt;&gt;"Product",'Raw Orders'!K783="Cancelled"),0,'Raw Orders'!G783)</f>
        <v>39</v>
      </c>
      <c r="D786" s="31" t="n">
        <f aca="false">IF(AND('Raw Orders'!C783="Product",'Raw Orders'!K783="Fulfilled",COUNTIFS('Raw Orders'!$A$2:$A783,'Raw Orders'!A783,'Raw Orders'!$C$2:$C783,"Product",'Raw Orders'!$K$2:$K783,"Fulfilled")=1),1,0)</f>
        <v>1</v>
      </c>
      <c r="E786" s="31" t="n">
        <f aca="false">IF(AND('Raw Orders'!C783="Product",'Raw Orders'!K783="Fulfilled"),'Raw Orders'!E783,0)</f>
        <v>1</v>
      </c>
      <c r="F786" s="32" t="n">
        <f aca="false">IF('Raw Orders'!K783="Refunded",'Raw Orders'!G783,0)</f>
        <v>0</v>
      </c>
    </row>
    <row r="787" customFormat="false" ht="15" hidden="false" customHeight="false" outlineLevel="0" collapsed="false">
      <c r="A787" s="36" t="n">
        <f aca="false">IF('Raw Orders'!B784="","",IF(MID('Raw Orders'!B784,5,1)="-",DATE(VALUE(LEFT('Raw Orders'!B784,4)),VALUE(MID('Raw Orders'!B784,6,2)),VALUE(MID('Raw Orders'!B784,9,2))),DATE(VALUE(MID('Raw Orders'!B784,7,4)),VALUE(MID('Raw Orders'!B784,4,2)),VALUE(LEFT('Raw Orders'!B784,2)))))</f>
        <v>46188</v>
      </c>
      <c r="B787" s="36" t="n">
        <f aca="false">IF(A787="","",A787-WEEKDAY(A787,3))</f>
        <v>46188</v>
      </c>
      <c r="C787" s="32" t="n">
        <f aca="false">IF(OR('Raw Orders'!C784&lt;&gt;"Product",'Raw Orders'!K784="Cancelled"),0,'Raw Orders'!G784)</f>
        <v>0</v>
      </c>
      <c r="D787" s="31" t="n">
        <f aca="false">IF(AND('Raw Orders'!C784="Product",'Raw Orders'!K784="Fulfilled",COUNTIFS('Raw Orders'!$A$2:$A784,'Raw Orders'!A784,'Raw Orders'!$C$2:$C784,"Product",'Raw Orders'!$K$2:$K784,"Fulfilled")=1),1,0)</f>
        <v>0</v>
      </c>
      <c r="E787" s="31" t="n">
        <f aca="false">IF(AND('Raw Orders'!C784="Product",'Raw Orders'!K784="Fulfilled"),'Raw Orders'!E784,0)</f>
        <v>0</v>
      </c>
      <c r="F787" s="32" t="n">
        <f aca="false">IF('Raw Orders'!K784="Refunded",'Raw Orders'!G784,0)</f>
        <v>0</v>
      </c>
    </row>
    <row r="788" customFormat="false" ht="15" hidden="false" customHeight="false" outlineLevel="0" collapsed="false">
      <c r="A788" s="36" t="n">
        <f aca="false">IF('Raw Orders'!B785="","",IF(MID('Raw Orders'!B785,5,1)="-",DATE(VALUE(LEFT('Raw Orders'!B785,4)),VALUE(MID('Raw Orders'!B785,6,2)),VALUE(MID('Raw Orders'!B785,9,2))),DATE(VALUE(MID('Raw Orders'!B785,7,4)),VALUE(MID('Raw Orders'!B785,4,2)),VALUE(LEFT('Raw Orders'!B785,2)))))</f>
        <v>46188</v>
      </c>
      <c r="B788" s="36" t="n">
        <f aca="false">IF(A788="","",A788-WEEKDAY(A788,3))</f>
        <v>46188</v>
      </c>
      <c r="C788" s="32" t="n">
        <f aca="false">IF(OR('Raw Orders'!C785&lt;&gt;"Product",'Raw Orders'!K785="Cancelled"),0,'Raw Orders'!G785)</f>
        <v>0</v>
      </c>
      <c r="D788" s="31" t="n">
        <f aca="false">IF(AND('Raw Orders'!C785="Product",'Raw Orders'!K785="Fulfilled",COUNTIFS('Raw Orders'!$A$2:$A785,'Raw Orders'!A785,'Raw Orders'!$C$2:$C785,"Product",'Raw Orders'!$K$2:$K785,"Fulfilled")=1),1,0)</f>
        <v>0</v>
      </c>
      <c r="E788" s="31" t="n">
        <f aca="false">IF(AND('Raw Orders'!C785="Product",'Raw Orders'!K785="Fulfilled"),'Raw Orders'!E785,0)</f>
        <v>0</v>
      </c>
      <c r="F788" s="32" t="n">
        <f aca="false">IF('Raw Orders'!K785="Refunded",'Raw Orders'!G785,0)</f>
        <v>0</v>
      </c>
    </row>
    <row r="789" customFormat="false" ht="15" hidden="false" customHeight="false" outlineLevel="0" collapsed="false">
      <c r="A789" s="36" t="n">
        <f aca="false">IF('Raw Orders'!B786="","",IF(MID('Raw Orders'!B786,5,1)="-",DATE(VALUE(LEFT('Raw Orders'!B786,4)),VALUE(MID('Raw Orders'!B786,6,2)),VALUE(MID('Raw Orders'!B786,9,2))),DATE(VALUE(MID('Raw Orders'!B786,7,4)),VALUE(MID('Raw Orders'!B786,4,2)),VALUE(LEFT('Raw Orders'!B786,2)))))</f>
        <v>46188</v>
      </c>
      <c r="B789" s="36" t="n">
        <f aca="false">IF(A789="","",A789-WEEKDAY(A789,3))</f>
        <v>46188</v>
      </c>
      <c r="C789" s="32" t="n">
        <f aca="false">IF(OR('Raw Orders'!C786&lt;&gt;"Product",'Raw Orders'!K786="Cancelled"),0,'Raw Orders'!G786)</f>
        <v>89</v>
      </c>
      <c r="D789" s="31" t="n">
        <f aca="false">IF(AND('Raw Orders'!C786="Product",'Raw Orders'!K786="Fulfilled",COUNTIFS('Raw Orders'!$A$2:$A786,'Raw Orders'!A786,'Raw Orders'!$C$2:$C786,"Product",'Raw Orders'!$K$2:$K786,"Fulfilled")=1),1,0)</f>
        <v>1</v>
      </c>
      <c r="E789" s="31" t="n">
        <f aca="false">IF(AND('Raw Orders'!C786="Product",'Raw Orders'!K786="Fulfilled"),'Raw Orders'!E786,0)</f>
        <v>1</v>
      </c>
      <c r="F789" s="32" t="n">
        <f aca="false">IF('Raw Orders'!K786="Refunded",'Raw Orders'!G786,0)</f>
        <v>0</v>
      </c>
    </row>
    <row r="790" customFormat="false" ht="15" hidden="false" customHeight="false" outlineLevel="0" collapsed="false">
      <c r="A790" s="36" t="n">
        <f aca="false">IF('Raw Orders'!B787="","",IF(MID('Raw Orders'!B787,5,1)="-",DATE(VALUE(LEFT('Raw Orders'!B787,4)),VALUE(MID('Raw Orders'!B787,6,2)),VALUE(MID('Raw Orders'!B787,9,2))),DATE(VALUE(MID('Raw Orders'!B787,7,4)),VALUE(MID('Raw Orders'!B787,4,2)),VALUE(LEFT('Raw Orders'!B787,2)))))</f>
        <v>46188</v>
      </c>
      <c r="B790" s="36" t="n">
        <f aca="false">IF(A790="","",A790-WEEKDAY(A790,3))</f>
        <v>46188</v>
      </c>
      <c r="C790" s="32" t="n">
        <f aca="false">IF(OR('Raw Orders'!C787&lt;&gt;"Product",'Raw Orders'!K787="Cancelled"),0,'Raw Orders'!G787)</f>
        <v>32</v>
      </c>
      <c r="D790" s="31" t="n">
        <f aca="false">IF(AND('Raw Orders'!C787="Product",'Raw Orders'!K787="Fulfilled",COUNTIFS('Raw Orders'!$A$2:$A787,'Raw Orders'!A787,'Raw Orders'!$C$2:$C787,"Product",'Raw Orders'!$K$2:$K787,"Fulfilled")=1),1,0)</f>
        <v>0</v>
      </c>
      <c r="E790" s="31" t="n">
        <f aca="false">IF(AND('Raw Orders'!C787="Product",'Raw Orders'!K787="Fulfilled"),'Raw Orders'!E787,0)</f>
        <v>1</v>
      </c>
      <c r="F790" s="32" t="n">
        <f aca="false">IF('Raw Orders'!K787="Refunded",'Raw Orders'!G787,0)</f>
        <v>0</v>
      </c>
    </row>
    <row r="791" customFormat="false" ht="15" hidden="false" customHeight="false" outlineLevel="0" collapsed="false">
      <c r="A791" s="36" t="n">
        <f aca="false">IF('Raw Orders'!B788="","",IF(MID('Raw Orders'!B788,5,1)="-",DATE(VALUE(LEFT('Raw Orders'!B788,4)),VALUE(MID('Raw Orders'!B788,6,2)),VALUE(MID('Raw Orders'!B788,9,2))),DATE(VALUE(MID('Raw Orders'!B788,7,4)),VALUE(MID('Raw Orders'!B788,4,2)),VALUE(LEFT('Raw Orders'!B788,2)))))</f>
        <v>46188</v>
      </c>
      <c r="B791" s="36" t="n">
        <f aca="false">IF(A791="","",A791-WEEKDAY(A791,3))</f>
        <v>46188</v>
      </c>
      <c r="C791" s="32" t="n">
        <f aca="false">IF(OR('Raw Orders'!C788&lt;&gt;"Product",'Raw Orders'!K788="Cancelled"),0,'Raw Orders'!G788)</f>
        <v>14</v>
      </c>
      <c r="D791" s="31" t="n">
        <f aca="false">IF(AND('Raw Orders'!C788="Product",'Raw Orders'!K788="Fulfilled",COUNTIFS('Raw Orders'!$A$2:$A788,'Raw Orders'!A788,'Raw Orders'!$C$2:$C788,"Product",'Raw Orders'!$K$2:$K788,"Fulfilled")=1),1,0)</f>
        <v>1</v>
      </c>
      <c r="E791" s="31" t="n">
        <f aca="false">IF(AND('Raw Orders'!C788="Product",'Raw Orders'!K788="Fulfilled"),'Raw Orders'!E788,0)</f>
        <v>1</v>
      </c>
      <c r="F791" s="32" t="n">
        <f aca="false">IF('Raw Orders'!K788="Refunded",'Raw Orders'!G788,0)</f>
        <v>0</v>
      </c>
    </row>
    <row r="792" customFormat="false" ht="15" hidden="false" customHeight="false" outlineLevel="0" collapsed="false">
      <c r="A792" s="36" t="n">
        <f aca="false">IF('Raw Orders'!B789="","",IF(MID('Raw Orders'!B789,5,1)="-",DATE(VALUE(LEFT('Raw Orders'!B789,4)),VALUE(MID('Raw Orders'!B789,6,2)),VALUE(MID('Raw Orders'!B789,9,2))),DATE(VALUE(MID('Raw Orders'!B789,7,4)),VALUE(MID('Raw Orders'!B789,4,2)),VALUE(LEFT('Raw Orders'!B789,2)))))</f>
        <v>46188</v>
      </c>
      <c r="B792" s="36" t="n">
        <f aca="false">IF(A792="","",A792-WEEKDAY(A792,3))</f>
        <v>46188</v>
      </c>
      <c r="C792" s="32" t="n">
        <f aca="false">IF(OR('Raw Orders'!C789&lt;&gt;"Product",'Raw Orders'!K789="Cancelled"),0,'Raw Orders'!G789)</f>
        <v>0</v>
      </c>
      <c r="D792" s="31" t="n">
        <f aca="false">IF(AND('Raw Orders'!C789="Product",'Raw Orders'!K789="Fulfilled",COUNTIFS('Raw Orders'!$A$2:$A789,'Raw Orders'!A789,'Raw Orders'!$C$2:$C789,"Product",'Raw Orders'!$K$2:$K789,"Fulfilled")=1),1,0)</f>
        <v>0</v>
      </c>
      <c r="E792" s="31" t="n">
        <f aca="false">IF(AND('Raw Orders'!C789="Product",'Raw Orders'!K789="Fulfilled"),'Raw Orders'!E789,0)</f>
        <v>0</v>
      </c>
      <c r="F792" s="32" t="n">
        <f aca="false">IF('Raw Orders'!K789="Refunded",'Raw Orders'!G789,0)</f>
        <v>0</v>
      </c>
    </row>
    <row r="793" customFormat="false" ht="15" hidden="false" customHeight="false" outlineLevel="0" collapsed="false">
      <c r="A793" s="36" t="n">
        <f aca="false">IF('Raw Orders'!B790="","",IF(MID('Raw Orders'!B790,5,1)="-",DATE(VALUE(LEFT('Raw Orders'!B790,4)),VALUE(MID('Raw Orders'!B790,6,2)),VALUE(MID('Raw Orders'!B790,9,2))),DATE(VALUE(MID('Raw Orders'!B790,7,4)),VALUE(MID('Raw Orders'!B790,4,2)),VALUE(LEFT('Raw Orders'!B790,2)))))</f>
        <v>46188</v>
      </c>
      <c r="B793" s="36" t="n">
        <f aca="false">IF(A793="","",A793-WEEKDAY(A793,3))</f>
        <v>46188</v>
      </c>
      <c r="C793" s="32" t="n">
        <f aca="false">IF(OR('Raw Orders'!C790&lt;&gt;"Product",'Raw Orders'!K790="Cancelled"),0,'Raw Orders'!G790)</f>
        <v>89</v>
      </c>
      <c r="D793" s="31" t="n">
        <f aca="false">IF(AND('Raw Orders'!C790="Product",'Raw Orders'!K790="Fulfilled",COUNTIFS('Raw Orders'!$A$2:$A790,'Raw Orders'!A790,'Raw Orders'!$C$2:$C790,"Product",'Raw Orders'!$K$2:$K790,"Fulfilled")=1),1,0)</f>
        <v>0</v>
      </c>
      <c r="E793" s="31" t="n">
        <f aca="false">IF(AND('Raw Orders'!C790="Product",'Raw Orders'!K790="Fulfilled"),'Raw Orders'!E790,0)</f>
        <v>1</v>
      </c>
      <c r="F793" s="32" t="n">
        <f aca="false">IF('Raw Orders'!K790="Refunded",'Raw Orders'!G790,0)</f>
        <v>0</v>
      </c>
    </row>
    <row r="794" customFormat="false" ht="15" hidden="false" customHeight="false" outlineLevel="0" collapsed="false">
      <c r="A794" s="36" t="n">
        <f aca="false">IF('Raw Orders'!B791="","",IF(MID('Raw Orders'!B791,5,1)="-",DATE(VALUE(LEFT('Raw Orders'!B791,4)),VALUE(MID('Raw Orders'!B791,6,2)),VALUE(MID('Raw Orders'!B791,9,2))),DATE(VALUE(MID('Raw Orders'!B791,7,4)),VALUE(MID('Raw Orders'!B791,4,2)),VALUE(LEFT('Raw Orders'!B791,2)))))</f>
        <v>46188</v>
      </c>
      <c r="B794" s="36" t="n">
        <f aca="false">IF(A794="","",A794-WEEKDAY(A794,3))</f>
        <v>46188</v>
      </c>
      <c r="C794" s="32" t="n">
        <f aca="false">IF(OR('Raw Orders'!C791&lt;&gt;"Product",'Raw Orders'!K791="Cancelled"),0,'Raw Orders'!G791)</f>
        <v>75</v>
      </c>
      <c r="D794" s="31" t="n">
        <f aca="false">IF(AND('Raw Orders'!C791="Product",'Raw Orders'!K791="Fulfilled",COUNTIFS('Raw Orders'!$A$2:$A791,'Raw Orders'!A791,'Raw Orders'!$C$2:$C791,"Product",'Raw Orders'!$K$2:$K791,"Fulfilled")=1),1,0)</f>
        <v>1</v>
      </c>
      <c r="E794" s="31" t="n">
        <f aca="false">IF(AND('Raw Orders'!C791="Product",'Raw Orders'!K791="Fulfilled"),'Raw Orders'!E791,0)</f>
        <v>1</v>
      </c>
      <c r="F794" s="32" t="n">
        <f aca="false">IF('Raw Orders'!K791="Refunded",'Raw Orders'!G791,0)</f>
        <v>0</v>
      </c>
    </row>
    <row r="795" customFormat="false" ht="15" hidden="false" customHeight="false" outlineLevel="0" collapsed="false">
      <c r="A795" s="36" t="n">
        <f aca="false">IF('Raw Orders'!B792="","",IF(MID('Raw Orders'!B792,5,1)="-",DATE(VALUE(LEFT('Raw Orders'!B792,4)),VALUE(MID('Raw Orders'!B792,6,2)),VALUE(MID('Raw Orders'!B792,9,2))),DATE(VALUE(MID('Raw Orders'!B792,7,4)),VALUE(MID('Raw Orders'!B792,4,2)),VALUE(LEFT('Raw Orders'!B792,2)))))</f>
        <v>46188</v>
      </c>
      <c r="B795" s="36" t="n">
        <f aca="false">IF(A795="","",A795-WEEKDAY(A795,3))</f>
        <v>46188</v>
      </c>
      <c r="C795" s="32" t="n">
        <f aca="false">IF(OR('Raw Orders'!C792&lt;&gt;"Product",'Raw Orders'!K792="Cancelled"),0,'Raw Orders'!G792)</f>
        <v>75</v>
      </c>
      <c r="D795" s="31" t="n">
        <f aca="false">IF(AND('Raw Orders'!C792="Product",'Raw Orders'!K792="Fulfilled",COUNTIFS('Raw Orders'!$A$2:$A792,'Raw Orders'!A792,'Raw Orders'!$C$2:$C792,"Product",'Raw Orders'!$K$2:$K792,"Fulfilled")=1),1,0)</f>
        <v>0</v>
      </c>
      <c r="E795" s="31" t="n">
        <f aca="false">IF(AND('Raw Orders'!C792="Product",'Raw Orders'!K792="Fulfilled"),'Raw Orders'!E792,0)</f>
        <v>1</v>
      </c>
      <c r="F795" s="32" t="n">
        <f aca="false">IF('Raw Orders'!K792="Refunded",'Raw Orders'!G792,0)</f>
        <v>0</v>
      </c>
    </row>
    <row r="796" customFormat="false" ht="15" hidden="false" customHeight="false" outlineLevel="0" collapsed="false">
      <c r="A796" s="36" t="n">
        <f aca="false">IF('Raw Orders'!B793="","",IF(MID('Raw Orders'!B793,5,1)="-",DATE(VALUE(LEFT('Raw Orders'!B793,4)),VALUE(MID('Raw Orders'!B793,6,2)),VALUE(MID('Raw Orders'!B793,9,2))),DATE(VALUE(MID('Raw Orders'!B793,7,4)),VALUE(MID('Raw Orders'!B793,4,2)),VALUE(LEFT('Raw Orders'!B793,2)))))</f>
        <v>46188</v>
      </c>
      <c r="B796" s="36" t="n">
        <f aca="false">IF(A796="","",A796-WEEKDAY(A796,3))</f>
        <v>46188</v>
      </c>
      <c r="C796" s="32" t="n">
        <f aca="false">IF(OR('Raw Orders'!C793&lt;&gt;"Product",'Raw Orders'!K793="Cancelled"),0,'Raw Orders'!G793)</f>
        <v>0</v>
      </c>
      <c r="D796" s="31" t="n">
        <f aca="false">IF(AND('Raw Orders'!C793="Product",'Raw Orders'!K793="Fulfilled",COUNTIFS('Raw Orders'!$A$2:$A793,'Raw Orders'!A793,'Raw Orders'!$C$2:$C793,"Product",'Raw Orders'!$K$2:$K793,"Fulfilled")=1),1,0)</f>
        <v>0</v>
      </c>
      <c r="E796" s="31" t="n">
        <f aca="false">IF(AND('Raw Orders'!C793="Product",'Raw Orders'!K793="Fulfilled"),'Raw Orders'!E793,0)</f>
        <v>0</v>
      </c>
      <c r="F796" s="32" t="n">
        <f aca="false">IF('Raw Orders'!K793="Refunded",'Raw Orders'!G793,0)</f>
        <v>0</v>
      </c>
    </row>
    <row r="797" customFormat="false" ht="15" hidden="false" customHeight="false" outlineLevel="0" collapsed="false">
      <c r="A797" s="36" t="n">
        <f aca="false">IF('Raw Orders'!B794="","",IF(MID('Raw Orders'!B794,5,1)="-",DATE(VALUE(LEFT('Raw Orders'!B794,4)),VALUE(MID('Raw Orders'!B794,6,2)),VALUE(MID('Raw Orders'!B794,9,2))),DATE(VALUE(MID('Raw Orders'!B794,7,4)),VALUE(MID('Raw Orders'!B794,4,2)),VALUE(LEFT('Raw Orders'!B794,2)))))</f>
        <v>46188</v>
      </c>
      <c r="B797" s="36" t="n">
        <f aca="false">IF(A797="","",A797-WEEKDAY(A797,3))</f>
        <v>46188</v>
      </c>
      <c r="C797" s="32" t="n">
        <f aca="false">IF(OR('Raw Orders'!C794&lt;&gt;"Product",'Raw Orders'!K794="Cancelled"),0,'Raw Orders'!G794)</f>
        <v>52</v>
      </c>
      <c r="D797" s="31" t="n">
        <f aca="false">IF(AND('Raw Orders'!C794="Product",'Raw Orders'!K794="Fulfilled",COUNTIFS('Raw Orders'!$A$2:$A794,'Raw Orders'!A794,'Raw Orders'!$C$2:$C794,"Product",'Raw Orders'!$K$2:$K794,"Fulfilled")=1),1,0)</f>
        <v>1</v>
      </c>
      <c r="E797" s="31" t="n">
        <f aca="false">IF(AND('Raw Orders'!C794="Product",'Raw Orders'!K794="Fulfilled"),'Raw Orders'!E794,0)</f>
        <v>2</v>
      </c>
      <c r="F797" s="32" t="n">
        <f aca="false">IF('Raw Orders'!K794="Refunded",'Raw Orders'!G794,0)</f>
        <v>0</v>
      </c>
    </row>
    <row r="798" customFormat="false" ht="15" hidden="false" customHeight="false" outlineLevel="0" collapsed="false">
      <c r="A798" s="36" t="n">
        <f aca="false">IF('Raw Orders'!B795="","",IF(MID('Raw Orders'!B795,5,1)="-",DATE(VALUE(LEFT('Raw Orders'!B795,4)),VALUE(MID('Raw Orders'!B795,6,2)),VALUE(MID('Raw Orders'!B795,9,2))),DATE(VALUE(MID('Raw Orders'!B795,7,4)),VALUE(MID('Raw Orders'!B795,4,2)),VALUE(LEFT('Raw Orders'!B795,2)))))</f>
        <v>46188</v>
      </c>
      <c r="B798" s="36" t="n">
        <f aca="false">IF(A798="","",A798-WEEKDAY(A798,3))</f>
        <v>46188</v>
      </c>
      <c r="C798" s="32" t="n">
        <f aca="false">IF(OR('Raw Orders'!C795&lt;&gt;"Product",'Raw Orders'!K795="Cancelled"),0,'Raw Orders'!G795)</f>
        <v>0</v>
      </c>
      <c r="D798" s="31" t="n">
        <f aca="false">IF(AND('Raw Orders'!C795="Product",'Raw Orders'!K795="Fulfilled",COUNTIFS('Raw Orders'!$A$2:$A795,'Raw Orders'!A795,'Raw Orders'!$C$2:$C795,"Product",'Raw Orders'!$K$2:$K795,"Fulfilled")=1),1,0)</f>
        <v>0</v>
      </c>
      <c r="E798" s="31" t="n">
        <f aca="false">IF(AND('Raw Orders'!C795="Product",'Raw Orders'!K795="Fulfilled"),'Raw Orders'!E795,0)</f>
        <v>0</v>
      </c>
      <c r="F798" s="32" t="n">
        <f aca="false">IF('Raw Orders'!K795="Refunded",'Raw Orders'!G795,0)</f>
        <v>0</v>
      </c>
    </row>
    <row r="799" customFormat="false" ht="15" hidden="false" customHeight="false" outlineLevel="0" collapsed="false">
      <c r="A799" s="36" t="n">
        <f aca="false">IF('Raw Orders'!B796="","",IF(MID('Raw Orders'!B796,5,1)="-",DATE(VALUE(LEFT('Raw Orders'!B796,4)),VALUE(MID('Raw Orders'!B796,6,2)),VALUE(MID('Raw Orders'!B796,9,2))),DATE(VALUE(MID('Raw Orders'!B796,7,4)),VALUE(MID('Raw Orders'!B796,4,2)),VALUE(LEFT('Raw Orders'!B796,2)))))</f>
        <v>46188</v>
      </c>
      <c r="B799" s="36" t="n">
        <f aca="false">IF(A799="","",A799-WEEKDAY(A799,3))</f>
        <v>46188</v>
      </c>
      <c r="C799" s="32" t="n">
        <f aca="false">IF(OR('Raw Orders'!C796&lt;&gt;"Product",'Raw Orders'!K796="Cancelled"),0,'Raw Orders'!G796)</f>
        <v>75</v>
      </c>
      <c r="D799" s="31" t="n">
        <f aca="false">IF(AND('Raw Orders'!C796="Product",'Raw Orders'!K796="Fulfilled",COUNTIFS('Raw Orders'!$A$2:$A796,'Raw Orders'!A796,'Raw Orders'!$C$2:$C796,"Product",'Raw Orders'!$K$2:$K796,"Fulfilled")=1),1,0)</f>
        <v>1</v>
      </c>
      <c r="E799" s="31" t="n">
        <f aca="false">IF(AND('Raw Orders'!C796="Product",'Raw Orders'!K796="Fulfilled"),'Raw Orders'!E796,0)</f>
        <v>1</v>
      </c>
      <c r="F799" s="32" t="n">
        <f aca="false">IF('Raw Orders'!K796="Refunded",'Raw Orders'!G796,0)</f>
        <v>0</v>
      </c>
    </row>
    <row r="800" customFormat="false" ht="15" hidden="false" customHeight="false" outlineLevel="0" collapsed="false">
      <c r="A800" s="36" t="n">
        <f aca="false">IF('Raw Orders'!B797="","",IF(MID('Raw Orders'!B797,5,1)="-",DATE(VALUE(LEFT('Raw Orders'!B797,4)),VALUE(MID('Raw Orders'!B797,6,2)),VALUE(MID('Raw Orders'!B797,9,2))),DATE(VALUE(MID('Raw Orders'!B797,7,4)),VALUE(MID('Raw Orders'!B797,4,2)),VALUE(LEFT('Raw Orders'!B797,2)))))</f>
        <v>46188</v>
      </c>
      <c r="B800" s="36" t="n">
        <f aca="false">IF(A800="","",A800-WEEKDAY(A800,3))</f>
        <v>46188</v>
      </c>
      <c r="C800" s="32" t="n">
        <f aca="false">IF(OR('Raw Orders'!C797&lt;&gt;"Product",'Raw Orders'!K797="Cancelled"),0,'Raw Orders'!G797)</f>
        <v>0</v>
      </c>
      <c r="D800" s="31" t="n">
        <f aca="false">IF(AND('Raw Orders'!C797="Product",'Raw Orders'!K797="Fulfilled",COUNTIFS('Raw Orders'!$A$2:$A797,'Raw Orders'!A797,'Raw Orders'!$C$2:$C797,"Product",'Raw Orders'!$K$2:$K797,"Fulfilled")=1),1,0)</f>
        <v>0</v>
      </c>
      <c r="E800" s="31" t="n">
        <f aca="false">IF(AND('Raw Orders'!C797="Product",'Raw Orders'!K797="Fulfilled"),'Raw Orders'!E797,0)</f>
        <v>0</v>
      </c>
      <c r="F800" s="32" t="n">
        <f aca="false">IF('Raw Orders'!K797="Refunded",'Raw Orders'!G797,0)</f>
        <v>0</v>
      </c>
    </row>
    <row r="801" customFormat="false" ht="15" hidden="false" customHeight="false" outlineLevel="0" collapsed="false">
      <c r="A801" s="36" t="n">
        <f aca="false">IF('Raw Orders'!B798="","",IF(MID('Raw Orders'!B798,5,1)="-",DATE(VALUE(LEFT('Raw Orders'!B798,4)),VALUE(MID('Raw Orders'!B798,6,2)),VALUE(MID('Raw Orders'!B798,9,2))),DATE(VALUE(MID('Raw Orders'!B798,7,4)),VALUE(MID('Raw Orders'!B798,4,2)),VALUE(LEFT('Raw Orders'!B798,2)))))</f>
        <v>46188</v>
      </c>
      <c r="B801" s="36" t="n">
        <f aca="false">IF(A801="","",A801-WEEKDAY(A801,3))</f>
        <v>46188</v>
      </c>
      <c r="C801" s="32" t="n">
        <f aca="false">IF(OR('Raw Orders'!C798&lt;&gt;"Product",'Raw Orders'!K798="Cancelled"),0,'Raw Orders'!G798)</f>
        <v>28.8</v>
      </c>
      <c r="D801" s="31" t="n">
        <f aca="false">IF(AND('Raw Orders'!C798="Product",'Raw Orders'!K798="Fulfilled",COUNTIFS('Raw Orders'!$A$2:$A798,'Raw Orders'!A798,'Raw Orders'!$C$2:$C798,"Product",'Raw Orders'!$K$2:$K798,"Fulfilled")=1),1,0)</f>
        <v>0</v>
      </c>
      <c r="E801" s="31" t="n">
        <f aca="false">IF(AND('Raw Orders'!C798="Product",'Raw Orders'!K798="Fulfilled"),'Raw Orders'!E798,0)</f>
        <v>1</v>
      </c>
      <c r="F801" s="32" t="n">
        <f aca="false">IF('Raw Orders'!K798="Refunded",'Raw Orders'!G798,0)</f>
        <v>0</v>
      </c>
    </row>
    <row r="802" customFormat="false" ht="15" hidden="false" customHeight="false" outlineLevel="0" collapsed="false">
      <c r="A802" s="36" t="n">
        <f aca="false">IF('Raw Orders'!B799="","",IF(MID('Raw Orders'!B799,5,1)="-",DATE(VALUE(LEFT('Raw Orders'!B799,4)),VALUE(MID('Raw Orders'!B799,6,2)),VALUE(MID('Raw Orders'!B799,9,2))),DATE(VALUE(MID('Raw Orders'!B799,7,4)),VALUE(MID('Raw Orders'!B799,4,2)),VALUE(LEFT('Raw Orders'!B799,2)))))</f>
        <v>46188</v>
      </c>
      <c r="B802" s="36" t="n">
        <f aca="false">IF(A802="","",A802-WEEKDAY(A802,3))</f>
        <v>46188</v>
      </c>
      <c r="C802" s="32" t="n">
        <f aca="false">IF(OR('Raw Orders'!C799&lt;&gt;"Product",'Raw Orders'!K799="Cancelled"),0,'Raw Orders'!G799)</f>
        <v>178</v>
      </c>
      <c r="D802" s="31" t="n">
        <f aca="false">IF(AND('Raw Orders'!C799="Product",'Raw Orders'!K799="Fulfilled",COUNTIFS('Raw Orders'!$A$2:$A799,'Raw Orders'!A799,'Raw Orders'!$C$2:$C799,"Product",'Raw Orders'!$K$2:$K799,"Fulfilled")=1),1,0)</f>
        <v>0</v>
      </c>
      <c r="E802" s="31" t="n">
        <f aca="false">IF(AND('Raw Orders'!C799="Product",'Raw Orders'!K799="Fulfilled"),'Raw Orders'!E799,0)</f>
        <v>2</v>
      </c>
      <c r="F802" s="32" t="n">
        <f aca="false">IF('Raw Orders'!K799="Refunded",'Raw Orders'!G799,0)</f>
        <v>0</v>
      </c>
    </row>
    <row r="803" customFormat="false" ht="15" hidden="false" customHeight="false" outlineLevel="0" collapsed="false">
      <c r="A803" s="36" t="n">
        <f aca="false">IF('Raw Orders'!B800="","",IF(MID('Raw Orders'!B800,5,1)="-",DATE(VALUE(LEFT('Raw Orders'!B800,4)),VALUE(MID('Raw Orders'!B800,6,2)),VALUE(MID('Raw Orders'!B800,9,2))),DATE(VALUE(MID('Raw Orders'!B800,7,4)),VALUE(MID('Raw Orders'!B800,4,2)),VALUE(LEFT('Raw Orders'!B800,2)))))</f>
        <v>46188</v>
      </c>
      <c r="B803" s="36" t="n">
        <f aca="false">IF(A803="","",A803-WEEKDAY(A803,3))</f>
        <v>46188</v>
      </c>
      <c r="C803" s="32" t="n">
        <f aca="false">IF(OR('Raw Orders'!C800&lt;&gt;"Product",'Raw Orders'!K800="Cancelled"),0,'Raw Orders'!G800)</f>
        <v>39</v>
      </c>
      <c r="D803" s="31" t="n">
        <f aca="false">IF(AND('Raw Orders'!C800="Product",'Raw Orders'!K800="Fulfilled",COUNTIFS('Raw Orders'!$A$2:$A800,'Raw Orders'!A800,'Raw Orders'!$C$2:$C800,"Product",'Raw Orders'!$K$2:$K800,"Fulfilled")=1),1,0)</f>
        <v>1</v>
      </c>
      <c r="E803" s="31" t="n">
        <f aca="false">IF(AND('Raw Orders'!C800="Product",'Raw Orders'!K800="Fulfilled"),'Raw Orders'!E800,0)</f>
        <v>1</v>
      </c>
      <c r="F803" s="32" t="n">
        <f aca="false">IF('Raw Orders'!K800="Refunded",'Raw Orders'!G800,0)</f>
        <v>0</v>
      </c>
    </row>
    <row r="804" customFormat="false" ht="15" hidden="false" customHeight="false" outlineLevel="0" collapsed="false">
      <c r="A804" s="36" t="n">
        <f aca="false">IF('Raw Orders'!B801="","",IF(MID('Raw Orders'!B801,5,1)="-",DATE(VALUE(LEFT('Raw Orders'!B801,4)),VALUE(MID('Raw Orders'!B801,6,2)),VALUE(MID('Raw Orders'!B801,9,2))),DATE(VALUE(MID('Raw Orders'!B801,7,4)),VALUE(MID('Raw Orders'!B801,4,2)),VALUE(LEFT('Raw Orders'!B801,2)))))</f>
        <v>46188</v>
      </c>
      <c r="B804" s="36" t="n">
        <f aca="false">IF(A804="","",A804-WEEKDAY(A804,3))</f>
        <v>46188</v>
      </c>
      <c r="C804" s="32" t="n">
        <f aca="false">IF(OR('Raw Orders'!C801&lt;&gt;"Product",'Raw Orders'!K801="Cancelled"),0,'Raw Orders'!G801)</f>
        <v>0</v>
      </c>
      <c r="D804" s="31" t="n">
        <f aca="false">IF(AND('Raw Orders'!C801="Product",'Raw Orders'!K801="Fulfilled",COUNTIFS('Raw Orders'!$A$2:$A801,'Raw Orders'!A801,'Raw Orders'!$C$2:$C801,"Product",'Raw Orders'!$K$2:$K801,"Fulfilled")=1),1,0)</f>
        <v>0</v>
      </c>
      <c r="E804" s="31" t="n">
        <f aca="false">IF(AND('Raw Orders'!C801="Product",'Raw Orders'!K801="Fulfilled"),'Raw Orders'!E801,0)</f>
        <v>0</v>
      </c>
      <c r="F804" s="32" t="n">
        <f aca="false">IF('Raw Orders'!K801="Refunded",'Raw Orders'!G801,0)</f>
        <v>0</v>
      </c>
    </row>
    <row r="805" customFormat="false" ht="15" hidden="false" customHeight="false" outlineLevel="0" collapsed="false">
      <c r="A805" s="36" t="n">
        <f aca="false">IF('Raw Orders'!B802="","",IF(MID('Raw Orders'!B802,5,1)="-",DATE(VALUE(LEFT('Raw Orders'!B802,4)),VALUE(MID('Raw Orders'!B802,6,2)),VALUE(MID('Raw Orders'!B802,9,2))),DATE(VALUE(MID('Raw Orders'!B802,7,4)),VALUE(MID('Raw Orders'!B802,4,2)),VALUE(LEFT('Raw Orders'!B802,2)))))</f>
        <v>46188</v>
      </c>
      <c r="B805" s="36" t="n">
        <f aca="false">IF(A805="","",A805-WEEKDAY(A805,3))</f>
        <v>46188</v>
      </c>
      <c r="C805" s="32" t="n">
        <f aca="false">IF(OR('Raw Orders'!C802&lt;&gt;"Product",'Raw Orders'!K802="Cancelled"),0,'Raw Orders'!G802)</f>
        <v>32</v>
      </c>
      <c r="D805" s="31" t="n">
        <f aca="false">IF(AND('Raw Orders'!C802="Product",'Raw Orders'!K802="Fulfilled",COUNTIFS('Raw Orders'!$A$2:$A802,'Raw Orders'!A802,'Raw Orders'!$C$2:$C802,"Product",'Raw Orders'!$K$2:$K802,"Fulfilled")=1),1,0)</f>
        <v>1</v>
      </c>
      <c r="E805" s="31" t="n">
        <f aca="false">IF(AND('Raw Orders'!C802="Product",'Raw Orders'!K802="Fulfilled"),'Raw Orders'!E802,0)</f>
        <v>1</v>
      </c>
      <c r="F805" s="32" t="n">
        <f aca="false">IF('Raw Orders'!K802="Refunded",'Raw Orders'!G802,0)</f>
        <v>0</v>
      </c>
    </row>
    <row r="806" customFormat="false" ht="15" hidden="false" customHeight="false" outlineLevel="0" collapsed="false">
      <c r="A806" s="36" t="n">
        <f aca="false">IF('Raw Orders'!B803="","",IF(MID('Raw Orders'!B803,5,1)="-",DATE(VALUE(LEFT('Raw Orders'!B803,4)),VALUE(MID('Raw Orders'!B803,6,2)),VALUE(MID('Raw Orders'!B803,9,2))),DATE(VALUE(MID('Raw Orders'!B803,7,4)),VALUE(MID('Raw Orders'!B803,4,2)),VALUE(LEFT('Raw Orders'!B803,2)))))</f>
        <v>46188</v>
      </c>
      <c r="B806" s="36" t="n">
        <f aca="false">IF(A806="","",A806-WEEKDAY(A806,3))</f>
        <v>46188</v>
      </c>
      <c r="C806" s="32" t="n">
        <f aca="false">IF(OR('Raw Orders'!C803&lt;&gt;"Product",'Raw Orders'!K803="Cancelled"),0,'Raw Orders'!G803)</f>
        <v>89</v>
      </c>
      <c r="D806" s="31" t="n">
        <f aca="false">IF(AND('Raw Orders'!C803="Product",'Raw Orders'!K803="Fulfilled",COUNTIFS('Raw Orders'!$A$2:$A803,'Raw Orders'!A803,'Raw Orders'!$C$2:$C803,"Product",'Raw Orders'!$K$2:$K803,"Fulfilled")=1),1,0)</f>
        <v>0</v>
      </c>
      <c r="E806" s="31" t="n">
        <f aca="false">IF(AND('Raw Orders'!C803="Product",'Raw Orders'!K803="Fulfilled"),'Raw Orders'!E803,0)</f>
        <v>1</v>
      </c>
      <c r="F806" s="32" t="n">
        <f aca="false">IF('Raw Orders'!K803="Refunded",'Raw Orders'!G803,0)</f>
        <v>0</v>
      </c>
    </row>
    <row r="807" customFormat="false" ht="15" hidden="false" customHeight="false" outlineLevel="0" collapsed="false">
      <c r="A807" s="36" t="n">
        <f aca="false">IF('Raw Orders'!B804="","",IF(MID('Raw Orders'!B804,5,1)="-",DATE(VALUE(LEFT('Raw Orders'!B804,4)),VALUE(MID('Raw Orders'!B804,6,2)),VALUE(MID('Raw Orders'!B804,9,2))),DATE(VALUE(MID('Raw Orders'!B804,7,4)),VALUE(MID('Raw Orders'!B804,4,2)),VALUE(LEFT('Raw Orders'!B804,2)))))</f>
        <v>46188</v>
      </c>
      <c r="B807" s="36" t="n">
        <f aca="false">IF(A807="","",A807-WEEKDAY(A807,3))</f>
        <v>46188</v>
      </c>
      <c r="C807" s="32" t="n">
        <f aca="false">IF(OR('Raw Orders'!C804&lt;&gt;"Product",'Raw Orders'!K804="Cancelled"),0,'Raw Orders'!G804)</f>
        <v>0</v>
      </c>
      <c r="D807" s="31" t="n">
        <f aca="false">IF(AND('Raw Orders'!C804="Product",'Raw Orders'!K804="Fulfilled",COUNTIFS('Raw Orders'!$A$2:$A804,'Raw Orders'!A804,'Raw Orders'!$C$2:$C804,"Product",'Raw Orders'!$K$2:$K804,"Fulfilled")=1),1,0)</f>
        <v>0</v>
      </c>
      <c r="E807" s="31" t="n">
        <f aca="false">IF(AND('Raw Orders'!C804="Product",'Raw Orders'!K804="Fulfilled"),'Raw Orders'!E804,0)</f>
        <v>0</v>
      </c>
      <c r="F807" s="32" t="n">
        <f aca="false">IF('Raw Orders'!K804="Refunded",'Raw Orders'!G804,0)</f>
        <v>0</v>
      </c>
    </row>
    <row r="808" customFormat="false" ht="15" hidden="false" customHeight="false" outlineLevel="0" collapsed="false">
      <c r="A808" s="36" t="n">
        <f aca="false">IF('Raw Orders'!B805="","",IF(MID('Raw Orders'!B805,5,1)="-",DATE(VALUE(LEFT('Raw Orders'!B805,4)),VALUE(MID('Raw Orders'!B805,6,2)),VALUE(MID('Raw Orders'!B805,9,2))),DATE(VALUE(MID('Raw Orders'!B805,7,4)),VALUE(MID('Raw Orders'!B805,4,2)),VALUE(LEFT('Raw Orders'!B805,2)))))</f>
        <v>46188</v>
      </c>
      <c r="B808" s="36" t="n">
        <f aca="false">IF(A808="","",A808-WEEKDAY(A808,3))</f>
        <v>46188</v>
      </c>
      <c r="C808" s="32" t="n">
        <f aca="false">IF(OR('Raw Orders'!C805&lt;&gt;"Product",'Raw Orders'!K805="Cancelled"),0,'Raw Orders'!G805)</f>
        <v>110.4</v>
      </c>
      <c r="D808" s="31" t="n">
        <f aca="false">IF(AND('Raw Orders'!C805="Product",'Raw Orders'!K805="Fulfilled",COUNTIFS('Raw Orders'!$A$2:$A805,'Raw Orders'!A805,'Raw Orders'!$C$2:$C805,"Product",'Raw Orders'!$K$2:$K805,"Fulfilled")=1),1,0)</f>
        <v>1</v>
      </c>
      <c r="E808" s="31" t="n">
        <f aca="false">IF(AND('Raw Orders'!C805="Product",'Raw Orders'!K805="Fulfilled"),'Raw Orders'!E805,0)</f>
        <v>2</v>
      </c>
      <c r="F808" s="32" t="n">
        <f aca="false">IF('Raw Orders'!K805="Refunded",'Raw Orders'!G805,0)</f>
        <v>0</v>
      </c>
    </row>
    <row r="809" customFormat="false" ht="15" hidden="false" customHeight="false" outlineLevel="0" collapsed="false">
      <c r="A809" s="36" t="n">
        <f aca="false">IF('Raw Orders'!B806="","",IF(MID('Raw Orders'!B806,5,1)="-",DATE(VALUE(LEFT('Raw Orders'!B806,4)),VALUE(MID('Raw Orders'!B806,6,2)),VALUE(MID('Raw Orders'!B806,9,2))),DATE(VALUE(MID('Raw Orders'!B806,7,4)),VALUE(MID('Raw Orders'!B806,4,2)),VALUE(LEFT('Raw Orders'!B806,2)))))</f>
        <v>46188</v>
      </c>
      <c r="B809" s="36" t="n">
        <f aca="false">IF(A809="","",A809-WEEKDAY(A809,3))</f>
        <v>46188</v>
      </c>
      <c r="C809" s="32" t="n">
        <f aca="false">IF(OR('Raw Orders'!C806&lt;&gt;"Product",'Raw Orders'!K806="Cancelled"),0,'Raw Orders'!G806)</f>
        <v>0</v>
      </c>
      <c r="D809" s="31" t="n">
        <f aca="false">IF(AND('Raw Orders'!C806="Product",'Raw Orders'!K806="Fulfilled",COUNTIFS('Raw Orders'!$A$2:$A806,'Raw Orders'!A806,'Raw Orders'!$C$2:$C806,"Product",'Raw Orders'!$K$2:$K806,"Fulfilled")=1),1,0)</f>
        <v>0</v>
      </c>
      <c r="E809" s="31" t="n">
        <f aca="false">IF(AND('Raw Orders'!C806="Product",'Raw Orders'!K806="Fulfilled"),'Raw Orders'!E806,0)</f>
        <v>0</v>
      </c>
      <c r="F809" s="32" t="n">
        <f aca="false">IF('Raw Orders'!K806="Refunded",'Raw Orders'!G806,0)</f>
        <v>0</v>
      </c>
    </row>
    <row r="810" customFormat="false" ht="15" hidden="false" customHeight="false" outlineLevel="0" collapsed="false">
      <c r="A810" s="36" t="n">
        <f aca="false">IF('Raw Orders'!B807="","",IF(MID('Raw Orders'!B807,5,1)="-",DATE(VALUE(LEFT('Raw Orders'!B807,4)),VALUE(MID('Raw Orders'!B807,6,2)),VALUE(MID('Raw Orders'!B807,9,2))),DATE(VALUE(MID('Raw Orders'!B807,7,4)),VALUE(MID('Raw Orders'!B807,4,2)),VALUE(LEFT('Raw Orders'!B807,2)))))</f>
        <v>46188</v>
      </c>
      <c r="B810" s="36" t="n">
        <f aca="false">IF(A810="","",A810-WEEKDAY(A810,3))</f>
        <v>46188</v>
      </c>
      <c r="C810" s="32" t="n">
        <f aca="false">IF(OR('Raw Orders'!C807&lt;&gt;"Product",'Raw Orders'!K807="Cancelled"),0,'Raw Orders'!G807)</f>
        <v>89</v>
      </c>
      <c r="D810" s="31" t="n">
        <f aca="false">IF(AND('Raw Orders'!C807="Product",'Raw Orders'!K807="Fulfilled",COUNTIFS('Raw Orders'!$A$2:$A807,'Raw Orders'!A807,'Raw Orders'!$C$2:$C807,"Product",'Raw Orders'!$K$2:$K807,"Fulfilled")=1),1,0)</f>
        <v>1</v>
      </c>
      <c r="E810" s="31" t="n">
        <f aca="false">IF(AND('Raw Orders'!C807="Product",'Raw Orders'!K807="Fulfilled"),'Raw Orders'!E807,0)</f>
        <v>1</v>
      </c>
      <c r="F810" s="32" t="n">
        <f aca="false">IF('Raw Orders'!K807="Refunded",'Raw Orders'!G807,0)</f>
        <v>0</v>
      </c>
    </row>
    <row r="811" customFormat="false" ht="15" hidden="false" customHeight="false" outlineLevel="0" collapsed="false">
      <c r="A811" s="36" t="n">
        <f aca="false">IF('Raw Orders'!B808="","",IF(MID('Raw Orders'!B808,5,1)="-",DATE(VALUE(LEFT('Raw Orders'!B808,4)),VALUE(MID('Raw Orders'!B808,6,2)),VALUE(MID('Raw Orders'!B808,9,2))),DATE(VALUE(MID('Raw Orders'!B808,7,4)),VALUE(MID('Raw Orders'!B808,4,2)),VALUE(LEFT('Raw Orders'!B808,2)))))</f>
        <v>46188</v>
      </c>
      <c r="B811" s="36" t="n">
        <f aca="false">IF(A811="","",A811-WEEKDAY(A811,3))</f>
        <v>46188</v>
      </c>
      <c r="C811" s="32" t="n">
        <f aca="false">IF(OR('Raw Orders'!C808&lt;&gt;"Product",'Raw Orders'!K808="Cancelled"),0,'Raw Orders'!G808)</f>
        <v>0</v>
      </c>
      <c r="D811" s="31" t="n">
        <f aca="false">IF(AND('Raw Orders'!C808="Product",'Raw Orders'!K808="Fulfilled",COUNTIFS('Raw Orders'!$A$2:$A808,'Raw Orders'!A808,'Raw Orders'!$C$2:$C808,"Product",'Raw Orders'!$K$2:$K808,"Fulfilled")=1),1,0)</f>
        <v>0</v>
      </c>
      <c r="E811" s="31" t="n">
        <f aca="false">IF(AND('Raw Orders'!C808="Product",'Raw Orders'!K808="Fulfilled"),'Raw Orders'!E808,0)</f>
        <v>0</v>
      </c>
      <c r="F811" s="32" t="n">
        <f aca="false">IF('Raw Orders'!K808="Refunded",'Raw Orders'!G808,0)</f>
        <v>0</v>
      </c>
    </row>
    <row r="812" customFormat="false" ht="15" hidden="false" customHeight="false" outlineLevel="0" collapsed="false">
      <c r="A812" s="36" t="n">
        <f aca="false">IF('Raw Orders'!B809="","",IF(MID('Raw Orders'!B809,5,1)="-",DATE(VALUE(LEFT('Raw Orders'!B809,4)),VALUE(MID('Raw Orders'!B809,6,2)),VALUE(MID('Raw Orders'!B809,9,2))),DATE(VALUE(MID('Raw Orders'!B809,7,4)),VALUE(MID('Raw Orders'!B809,4,2)),VALUE(LEFT('Raw Orders'!B809,2)))))</f>
        <v>46189</v>
      </c>
      <c r="B812" s="36" t="n">
        <f aca="false">IF(A812="","",A812-WEEKDAY(A812,3))</f>
        <v>46188</v>
      </c>
      <c r="C812" s="32" t="n">
        <f aca="false">IF(OR('Raw Orders'!C809&lt;&gt;"Product",'Raw Orders'!K809="Cancelled"),0,'Raw Orders'!G809)</f>
        <v>0</v>
      </c>
      <c r="D812" s="31" t="n">
        <f aca="false">IF(AND('Raw Orders'!C809="Product",'Raw Orders'!K809="Fulfilled",COUNTIFS('Raw Orders'!$A$2:$A809,'Raw Orders'!A809,'Raw Orders'!$C$2:$C809,"Product",'Raw Orders'!$K$2:$K809,"Fulfilled")=1),1,0)</f>
        <v>0</v>
      </c>
      <c r="E812" s="31" t="n">
        <f aca="false">IF(AND('Raw Orders'!C809="Product",'Raw Orders'!K809="Fulfilled"),'Raw Orders'!E809,0)</f>
        <v>0</v>
      </c>
      <c r="F812" s="32" t="n">
        <f aca="false">IF('Raw Orders'!K809="Refunded",'Raw Orders'!G809,0)</f>
        <v>0</v>
      </c>
    </row>
    <row r="813" customFormat="false" ht="15" hidden="false" customHeight="false" outlineLevel="0" collapsed="false">
      <c r="A813" s="36" t="n">
        <f aca="false">IF('Raw Orders'!B810="","",IF(MID('Raw Orders'!B810,5,1)="-",DATE(VALUE(LEFT('Raw Orders'!B810,4)),VALUE(MID('Raw Orders'!B810,6,2)),VALUE(MID('Raw Orders'!B810,9,2))),DATE(VALUE(MID('Raw Orders'!B810,7,4)),VALUE(MID('Raw Orders'!B810,4,2)),VALUE(LEFT('Raw Orders'!B810,2)))))</f>
        <v>46189</v>
      </c>
      <c r="B813" s="36" t="n">
        <f aca="false">IF(A813="","",A813-WEEKDAY(A813,3))</f>
        <v>46188</v>
      </c>
      <c r="C813" s="32" t="n">
        <f aca="false">IF(OR('Raw Orders'!C810&lt;&gt;"Product",'Raw Orders'!K810="Cancelled"),0,'Raw Orders'!G810)</f>
        <v>0</v>
      </c>
      <c r="D813" s="31" t="n">
        <f aca="false">IF(AND('Raw Orders'!C810="Product",'Raw Orders'!K810="Fulfilled",COUNTIFS('Raw Orders'!$A$2:$A810,'Raw Orders'!A810,'Raw Orders'!$C$2:$C810,"Product",'Raw Orders'!$K$2:$K810,"Fulfilled")=1),1,0)</f>
        <v>0</v>
      </c>
      <c r="E813" s="31" t="n">
        <f aca="false">IF(AND('Raw Orders'!C810="Product",'Raw Orders'!K810="Fulfilled"),'Raw Orders'!E810,0)</f>
        <v>0</v>
      </c>
      <c r="F813" s="32" t="n">
        <f aca="false">IF('Raw Orders'!K810="Refunded",'Raw Orders'!G810,0)</f>
        <v>0</v>
      </c>
    </row>
    <row r="814" customFormat="false" ht="15" hidden="false" customHeight="false" outlineLevel="0" collapsed="false">
      <c r="A814" s="36" t="n">
        <f aca="false">IF('Raw Orders'!B811="","",IF(MID('Raw Orders'!B811,5,1)="-",DATE(VALUE(LEFT('Raw Orders'!B811,4)),VALUE(MID('Raw Orders'!B811,6,2)),VALUE(MID('Raw Orders'!B811,9,2))),DATE(VALUE(MID('Raw Orders'!B811,7,4)),VALUE(MID('Raw Orders'!B811,4,2)),VALUE(LEFT('Raw Orders'!B811,2)))))</f>
        <v>46189</v>
      </c>
      <c r="B814" s="36" t="n">
        <f aca="false">IF(A814="","",A814-WEEKDAY(A814,3))</f>
        <v>46188</v>
      </c>
      <c r="C814" s="32" t="n">
        <f aca="false">IF(OR('Raw Orders'!C811&lt;&gt;"Product",'Raw Orders'!K811="Cancelled"),0,'Raw Orders'!G811)</f>
        <v>69</v>
      </c>
      <c r="D814" s="31" t="n">
        <f aca="false">IF(AND('Raw Orders'!C811="Product",'Raw Orders'!K811="Fulfilled",COUNTIFS('Raw Orders'!$A$2:$A811,'Raw Orders'!A811,'Raw Orders'!$C$2:$C811,"Product",'Raw Orders'!$K$2:$K811,"Fulfilled")=1),1,0)</f>
        <v>1</v>
      </c>
      <c r="E814" s="31" t="n">
        <f aca="false">IF(AND('Raw Orders'!C811="Product",'Raw Orders'!K811="Fulfilled"),'Raw Orders'!E811,0)</f>
        <v>1</v>
      </c>
      <c r="F814" s="32" t="n">
        <f aca="false">IF('Raw Orders'!K811="Refunded",'Raw Orders'!G811,0)</f>
        <v>0</v>
      </c>
    </row>
    <row r="815" customFormat="false" ht="15" hidden="false" customHeight="false" outlineLevel="0" collapsed="false">
      <c r="A815" s="36" t="n">
        <f aca="false">IF('Raw Orders'!B812="","",IF(MID('Raw Orders'!B812,5,1)="-",DATE(VALUE(LEFT('Raw Orders'!B812,4)),VALUE(MID('Raw Orders'!B812,6,2)),VALUE(MID('Raw Orders'!B812,9,2))),DATE(VALUE(MID('Raw Orders'!B812,7,4)),VALUE(MID('Raw Orders'!B812,4,2)),VALUE(LEFT('Raw Orders'!B812,2)))))</f>
        <v>46189</v>
      </c>
      <c r="B815" s="36" t="n">
        <f aca="false">IF(A815="","",A815-WEEKDAY(A815,3))</f>
        <v>46188</v>
      </c>
      <c r="C815" s="32" t="n">
        <f aca="false">IF(OR('Raw Orders'!C812&lt;&gt;"Product",'Raw Orders'!K812="Cancelled"),0,'Raw Orders'!G812)</f>
        <v>150</v>
      </c>
      <c r="D815" s="31" t="n">
        <f aca="false">IF(AND('Raw Orders'!C812="Product",'Raw Orders'!K812="Fulfilled",COUNTIFS('Raw Orders'!$A$2:$A812,'Raw Orders'!A812,'Raw Orders'!$C$2:$C812,"Product",'Raw Orders'!$K$2:$K812,"Fulfilled")=1),1,0)</f>
        <v>0</v>
      </c>
      <c r="E815" s="31" t="n">
        <f aca="false">IF(AND('Raw Orders'!C812="Product",'Raw Orders'!K812="Fulfilled"),'Raw Orders'!E812,0)</f>
        <v>2</v>
      </c>
      <c r="F815" s="32" t="n">
        <f aca="false">IF('Raw Orders'!K812="Refunded",'Raw Orders'!G812,0)</f>
        <v>0</v>
      </c>
    </row>
    <row r="816" customFormat="false" ht="15" hidden="false" customHeight="false" outlineLevel="0" collapsed="false">
      <c r="A816" s="36" t="n">
        <f aca="false">IF('Raw Orders'!B813="","",IF(MID('Raw Orders'!B813,5,1)="-",DATE(VALUE(LEFT('Raw Orders'!B813,4)),VALUE(MID('Raw Orders'!B813,6,2)),VALUE(MID('Raw Orders'!B813,9,2))),DATE(VALUE(MID('Raw Orders'!B813,7,4)),VALUE(MID('Raw Orders'!B813,4,2)),VALUE(LEFT('Raw Orders'!B813,2)))))</f>
        <v>46189</v>
      </c>
      <c r="B816" s="36" t="n">
        <f aca="false">IF(A816="","",A816-WEEKDAY(A816,3))</f>
        <v>46188</v>
      </c>
      <c r="C816" s="32" t="n">
        <f aca="false">IF(OR('Raw Orders'!C813&lt;&gt;"Product",'Raw Orders'!K813="Cancelled"),0,'Raw Orders'!G813)</f>
        <v>0</v>
      </c>
      <c r="D816" s="31" t="n">
        <f aca="false">IF(AND('Raw Orders'!C813="Product",'Raw Orders'!K813="Fulfilled",COUNTIFS('Raw Orders'!$A$2:$A813,'Raw Orders'!A813,'Raw Orders'!$C$2:$C813,"Product",'Raw Orders'!$K$2:$K813,"Fulfilled")=1),1,0)</f>
        <v>0</v>
      </c>
      <c r="E816" s="31" t="n">
        <f aca="false">IF(AND('Raw Orders'!C813="Product",'Raw Orders'!K813="Fulfilled"),'Raw Orders'!E813,0)</f>
        <v>0</v>
      </c>
      <c r="F816" s="32" t="n">
        <f aca="false">IF('Raw Orders'!K813="Refunded",'Raw Orders'!G813,0)</f>
        <v>0</v>
      </c>
    </row>
    <row r="817" customFormat="false" ht="15" hidden="false" customHeight="false" outlineLevel="0" collapsed="false">
      <c r="A817" s="36" t="n">
        <f aca="false">IF('Raw Orders'!B814="","",IF(MID('Raw Orders'!B814,5,1)="-",DATE(VALUE(LEFT('Raw Orders'!B814,4)),VALUE(MID('Raw Orders'!B814,6,2)),VALUE(MID('Raw Orders'!B814,9,2))),DATE(VALUE(MID('Raw Orders'!B814,7,4)),VALUE(MID('Raw Orders'!B814,4,2)),VALUE(LEFT('Raw Orders'!B814,2)))))</f>
        <v>46189</v>
      </c>
      <c r="B817" s="36" t="n">
        <f aca="false">IF(A817="","",A817-WEEKDAY(A817,3))</f>
        <v>46188</v>
      </c>
      <c r="C817" s="32" t="n">
        <f aca="false">IF(OR('Raw Orders'!C814&lt;&gt;"Product",'Raw Orders'!K814="Cancelled"),0,'Raw Orders'!G814)</f>
        <v>178</v>
      </c>
      <c r="D817" s="31" t="n">
        <f aca="false">IF(AND('Raw Orders'!C814="Product",'Raw Orders'!K814="Fulfilled",COUNTIFS('Raw Orders'!$A$2:$A814,'Raw Orders'!A814,'Raw Orders'!$C$2:$C814,"Product",'Raw Orders'!$K$2:$K814,"Fulfilled")=1),1,0)</f>
        <v>1</v>
      </c>
      <c r="E817" s="31" t="n">
        <f aca="false">IF(AND('Raw Orders'!C814="Product",'Raw Orders'!K814="Fulfilled"),'Raw Orders'!E814,0)</f>
        <v>2</v>
      </c>
      <c r="F817" s="32" t="n">
        <f aca="false">IF('Raw Orders'!K814="Refunded",'Raw Orders'!G814,0)</f>
        <v>0</v>
      </c>
    </row>
    <row r="818" customFormat="false" ht="15" hidden="false" customHeight="false" outlineLevel="0" collapsed="false">
      <c r="A818" s="36" t="n">
        <f aca="false">IF('Raw Orders'!B815="","",IF(MID('Raw Orders'!B815,5,1)="-",DATE(VALUE(LEFT('Raw Orders'!B815,4)),VALUE(MID('Raw Orders'!B815,6,2)),VALUE(MID('Raw Orders'!B815,9,2))),DATE(VALUE(MID('Raw Orders'!B815,7,4)),VALUE(MID('Raw Orders'!B815,4,2)),VALUE(LEFT('Raw Orders'!B815,2)))))</f>
        <v>46189</v>
      </c>
      <c r="B818" s="36" t="n">
        <f aca="false">IF(A818="","",A818-WEEKDAY(A818,3))</f>
        <v>46188</v>
      </c>
      <c r="C818" s="32" t="n">
        <f aca="false">IF(OR('Raw Orders'!C815&lt;&gt;"Product",'Raw Orders'!K815="Cancelled"),0,'Raw Orders'!G815)</f>
        <v>45</v>
      </c>
      <c r="D818" s="31" t="n">
        <f aca="false">IF(AND('Raw Orders'!C815="Product",'Raw Orders'!K815="Fulfilled",COUNTIFS('Raw Orders'!$A$2:$A815,'Raw Orders'!A815,'Raw Orders'!$C$2:$C815,"Product",'Raw Orders'!$K$2:$K815,"Fulfilled")=1),1,0)</f>
        <v>1</v>
      </c>
      <c r="E818" s="31" t="n">
        <f aca="false">IF(AND('Raw Orders'!C815="Product",'Raw Orders'!K815="Fulfilled"),'Raw Orders'!E815,0)</f>
        <v>1</v>
      </c>
      <c r="F818" s="32" t="n">
        <f aca="false">IF('Raw Orders'!K815="Refunded",'Raw Orders'!G815,0)</f>
        <v>0</v>
      </c>
    </row>
    <row r="819" customFormat="false" ht="15" hidden="false" customHeight="false" outlineLevel="0" collapsed="false">
      <c r="A819" s="36" t="n">
        <f aca="false">IF('Raw Orders'!B816="","",IF(MID('Raw Orders'!B816,5,1)="-",DATE(VALUE(LEFT('Raw Orders'!B816,4)),VALUE(MID('Raw Orders'!B816,6,2)),VALUE(MID('Raw Orders'!B816,9,2))),DATE(VALUE(MID('Raw Orders'!B816,7,4)),VALUE(MID('Raw Orders'!B816,4,2)),VALUE(LEFT('Raw Orders'!B816,2)))))</f>
        <v>46189</v>
      </c>
      <c r="B819" s="36" t="n">
        <f aca="false">IF(A819="","",A819-WEEKDAY(A819,3))</f>
        <v>46188</v>
      </c>
      <c r="C819" s="32" t="n">
        <f aca="false">IF(OR('Raw Orders'!C816&lt;&gt;"Product",'Raw Orders'!K816="Cancelled"),0,'Raw Orders'!G816)</f>
        <v>69</v>
      </c>
      <c r="D819" s="31" t="n">
        <f aca="false">IF(AND('Raw Orders'!C816="Product",'Raw Orders'!K816="Fulfilled",COUNTIFS('Raw Orders'!$A$2:$A816,'Raw Orders'!A816,'Raw Orders'!$C$2:$C816,"Product",'Raw Orders'!$K$2:$K816,"Fulfilled")=1),1,0)</f>
        <v>0</v>
      </c>
      <c r="E819" s="31" t="n">
        <f aca="false">IF(AND('Raw Orders'!C816="Product",'Raw Orders'!K816="Fulfilled"),'Raw Orders'!E816,0)</f>
        <v>1</v>
      </c>
      <c r="F819" s="32" t="n">
        <f aca="false">IF('Raw Orders'!K816="Refunded",'Raw Orders'!G816,0)</f>
        <v>0</v>
      </c>
    </row>
    <row r="820" customFormat="false" ht="15" hidden="false" customHeight="false" outlineLevel="0" collapsed="false">
      <c r="A820" s="36" t="n">
        <f aca="false">IF('Raw Orders'!B817="","",IF(MID('Raw Orders'!B817,5,1)="-",DATE(VALUE(LEFT('Raw Orders'!B817,4)),VALUE(MID('Raw Orders'!B817,6,2)),VALUE(MID('Raw Orders'!B817,9,2))),DATE(VALUE(MID('Raw Orders'!B817,7,4)),VALUE(MID('Raw Orders'!B817,4,2)),VALUE(LEFT('Raw Orders'!B817,2)))))</f>
        <v>46189</v>
      </c>
      <c r="B820" s="36" t="n">
        <f aca="false">IF(A820="","",A820-WEEKDAY(A820,3))</f>
        <v>46188</v>
      </c>
      <c r="C820" s="32" t="n">
        <f aca="false">IF(OR('Raw Orders'!C817&lt;&gt;"Product",'Raw Orders'!K817="Cancelled"),0,'Raw Orders'!G817)</f>
        <v>0</v>
      </c>
      <c r="D820" s="31" t="n">
        <f aca="false">IF(AND('Raw Orders'!C817="Product",'Raw Orders'!K817="Fulfilled",COUNTIFS('Raw Orders'!$A$2:$A817,'Raw Orders'!A817,'Raw Orders'!$C$2:$C817,"Product",'Raw Orders'!$K$2:$K817,"Fulfilled")=1),1,0)</f>
        <v>0</v>
      </c>
      <c r="E820" s="31" t="n">
        <f aca="false">IF(AND('Raw Orders'!C817="Product",'Raw Orders'!K817="Fulfilled"),'Raw Orders'!E817,0)</f>
        <v>0</v>
      </c>
      <c r="F820" s="32" t="n">
        <f aca="false">IF('Raw Orders'!K817="Refunded",'Raw Orders'!G817,0)</f>
        <v>0</v>
      </c>
    </row>
    <row r="821" customFormat="false" ht="15" hidden="false" customHeight="false" outlineLevel="0" collapsed="false">
      <c r="A821" s="36" t="n">
        <f aca="false">IF('Raw Orders'!B818="","",IF(MID('Raw Orders'!B818,5,1)="-",DATE(VALUE(LEFT('Raw Orders'!B818,4)),VALUE(MID('Raw Orders'!B818,6,2)),VALUE(MID('Raw Orders'!B818,9,2))),DATE(VALUE(MID('Raw Orders'!B818,7,4)),VALUE(MID('Raw Orders'!B818,4,2)),VALUE(LEFT('Raw Orders'!B818,2)))))</f>
        <v>46189</v>
      </c>
      <c r="B821" s="36" t="n">
        <f aca="false">IF(A821="","",A821-WEEKDAY(A821,3))</f>
        <v>46188</v>
      </c>
      <c r="C821" s="32" t="n">
        <f aca="false">IF(OR('Raw Orders'!C818&lt;&gt;"Product",'Raw Orders'!K818="Cancelled"),0,'Raw Orders'!G818)</f>
        <v>35</v>
      </c>
      <c r="D821" s="31" t="n">
        <f aca="false">IF(AND('Raw Orders'!C818="Product",'Raw Orders'!K818="Fulfilled",COUNTIFS('Raw Orders'!$A$2:$A818,'Raw Orders'!A818,'Raw Orders'!$C$2:$C818,"Product",'Raw Orders'!$K$2:$K818,"Fulfilled")=1),1,0)</f>
        <v>1</v>
      </c>
      <c r="E821" s="31" t="n">
        <f aca="false">IF(AND('Raw Orders'!C818="Product",'Raw Orders'!K818="Fulfilled"),'Raw Orders'!E818,0)</f>
        <v>1</v>
      </c>
      <c r="F821" s="32" t="n">
        <f aca="false">IF('Raw Orders'!K818="Refunded",'Raw Orders'!G818,0)</f>
        <v>0</v>
      </c>
    </row>
    <row r="822" customFormat="false" ht="15" hidden="false" customHeight="false" outlineLevel="0" collapsed="false">
      <c r="A822" s="36" t="n">
        <f aca="false">IF('Raw Orders'!B819="","",IF(MID('Raw Orders'!B819,5,1)="-",DATE(VALUE(LEFT('Raw Orders'!B819,4)),VALUE(MID('Raw Orders'!B819,6,2)),VALUE(MID('Raw Orders'!B819,9,2))),DATE(VALUE(MID('Raw Orders'!B819,7,4)),VALUE(MID('Raw Orders'!B819,4,2)),VALUE(LEFT('Raw Orders'!B819,2)))))</f>
        <v>46190</v>
      </c>
      <c r="B822" s="36" t="n">
        <f aca="false">IF(A822="","",A822-WEEKDAY(A822,3))</f>
        <v>46188</v>
      </c>
      <c r="C822" s="32" t="n">
        <f aca="false">IF(OR('Raw Orders'!C819&lt;&gt;"Product",'Raw Orders'!K819="Cancelled"),0,'Raw Orders'!G819)</f>
        <v>56</v>
      </c>
      <c r="D822" s="31" t="n">
        <f aca="false">IF(AND('Raw Orders'!C819="Product",'Raw Orders'!K819="Fulfilled",COUNTIFS('Raw Orders'!$A$2:$A819,'Raw Orders'!A819,'Raw Orders'!$C$2:$C819,"Product",'Raw Orders'!$K$2:$K819,"Fulfilled")=1),1,0)</f>
        <v>1</v>
      </c>
      <c r="E822" s="31" t="n">
        <f aca="false">IF(AND('Raw Orders'!C819="Product",'Raw Orders'!K819="Fulfilled"),'Raw Orders'!E819,0)</f>
        <v>4</v>
      </c>
      <c r="F822" s="32" t="n">
        <f aca="false">IF('Raw Orders'!K819="Refunded",'Raw Orders'!G819,0)</f>
        <v>0</v>
      </c>
    </row>
    <row r="823" customFormat="false" ht="15" hidden="false" customHeight="false" outlineLevel="0" collapsed="false">
      <c r="A823" s="36" t="n">
        <f aca="false">IF('Raw Orders'!B820="","",IF(MID('Raw Orders'!B820,5,1)="-",DATE(VALUE(LEFT('Raw Orders'!B820,4)),VALUE(MID('Raw Orders'!B820,6,2)),VALUE(MID('Raw Orders'!B820,9,2))),DATE(VALUE(MID('Raw Orders'!B820,7,4)),VALUE(MID('Raw Orders'!B820,4,2)),VALUE(LEFT('Raw Orders'!B820,2)))))</f>
        <v>46190</v>
      </c>
      <c r="B823" s="36" t="n">
        <f aca="false">IF(A823="","",A823-WEEKDAY(A823,3))</f>
        <v>46188</v>
      </c>
      <c r="C823" s="32" t="n">
        <f aca="false">IF(OR('Raw Orders'!C820&lt;&gt;"Product",'Raw Orders'!K820="Cancelled"),0,'Raw Orders'!G820)</f>
        <v>0</v>
      </c>
      <c r="D823" s="31" t="n">
        <f aca="false">IF(AND('Raw Orders'!C820="Product",'Raw Orders'!K820="Fulfilled",COUNTIFS('Raw Orders'!$A$2:$A820,'Raw Orders'!A820,'Raw Orders'!$C$2:$C820,"Product",'Raw Orders'!$K$2:$K820,"Fulfilled")=1),1,0)</f>
        <v>0</v>
      </c>
      <c r="E823" s="31" t="n">
        <f aca="false">IF(AND('Raw Orders'!C820="Product",'Raw Orders'!K820="Fulfilled"),'Raw Orders'!E820,0)</f>
        <v>0</v>
      </c>
      <c r="F823" s="32" t="n">
        <f aca="false">IF('Raw Orders'!K820="Refunded",'Raw Orders'!G820,0)</f>
        <v>0</v>
      </c>
    </row>
    <row r="824" customFormat="false" ht="15" hidden="false" customHeight="false" outlineLevel="0" collapsed="false">
      <c r="A824" s="36" t="n">
        <f aca="false">IF('Raw Orders'!B821="","",IF(MID('Raw Orders'!B821,5,1)="-",DATE(VALUE(LEFT('Raw Orders'!B821,4)),VALUE(MID('Raw Orders'!B821,6,2)),VALUE(MID('Raw Orders'!B821,9,2))),DATE(VALUE(MID('Raw Orders'!B821,7,4)),VALUE(MID('Raw Orders'!B821,4,2)),VALUE(LEFT('Raw Orders'!B821,2)))))</f>
        <v>46190</v>
      </c>
      <c r="B824" s="36" t="n">
        <f aca="false">IF(A824="","",A824-WEEKDAY(A824,3))</f>
        <v>46188</v>
      </c>
      <c r="C824" s="32" t="n">
        <f aca="false">IF(OR('Raw Orders'!C821&lt;&gt;"Product",'Raw Orders'!K821="Cancelled"),0,'Raw Orders'!G821)</f>
        <v>0</v>
      </c>
      <c r="D824" s="31" t="n">
        <f aca="false">IF(AND('Raw Orders'!C821="Product",'Raw Orders'!K821="Fulfilled",COUNTIFS('Raw Orders'!$A$2:$A821,'Raw Orders'!A821,'Raw Orders'!$C$2:$C821,"Product",'Raw Orders'!$K$2:$K821,"Fulfilled")=1),1,0)</f>
        <v>0</v>
      </c>
      <c r="E824" s="31" t="n">
        <f aca="false">IF(AND('Raw Orders'!C821="Product",'Raw Orders'!K821="Fulfilled"),'Raw Orders'!E821,0)</f>
        <v>0</v>
      </c>
      <c r="F824" s="32" t="n">
        <f aca="false">IF('Raw Orders'!K821="Refunded",'Raw Orders'!G821,0)</f>
        <v>0</v>
      </c>
    </row>
    <row r="825" customFormat="false" ht="15" hidden="false" customHeight="false" outlineLevel="0" collapsed="false">
      <c r="A825" s="36" t="n">
        <f aca="false">IF('Raw Orders'!B822="","",IF(MID('Raw Orders'!B822,5,1)="-",DATE(VALUE(LEFT('Raw Orders'!B822,4)),VALUE(MID('Raw Orders'!B822,6,2)),VALUE(MID('Raw Orders'!B822,9,2))),DATE(VALUE(MID('Raw Orders'!B822,7,4)),VALUE(MID('Raw Orders'!B822,4,2)),VALUE(LEFT('Raw Orders'!B822,2)))))</f>
        <v>46190</v>
      </c>
      <c r="B825" s="36" t="n">
        <f aca="false">IF(A825="","",A825-WEEKDAY(A825,3))</f>
        <v>46188</v>
      </c>
      <c r="C825" s="32" t="n">
        <f aca="false">IF(OR('Raw Orders'!C822&lt;&gt;"Product",'Raw Orders'!K822="Cancelled"),0,'Raw Orders'!G822)</f>
        <v>29</v>
      </c>
      <c r="D825" s="31" t="n">
        <f aca="false">IF(AND('Raw Orders'!C822="Product",'Raw Orders'!K822="Fulfilled",COUNTIFS('Raw Orders'!$A$2:$A822,'Raw Orders'!A822,'Raw Orders'!$C$2:$C822,"Product",'Raw Orders'!$K$2:$K822,"Fulfilled")=1),1,0)</f>
        <v>1</v>
      </c>
      <c r="E825" s="31" t="n">
        <f aca="false">IF(AND('Raw Orders'!C822="Product",'Raw Orders'!K822="Fulfilled"),'Raw Orders'!E822,0)</f>
        <v>1</v>
      </c>
      <c r="F825" s="32" t="n">
        <f aca="false">IF('Raw Orders'!K822="Refunded",'Raw Orders'!G822,0)</f>
        <v>0</v>
      </c>
    </row>
    <row r="826" customFormat="false" ht="15" hidden="false" customHeight="false" outlineLevel="0" collapsed="false">
      <c r="A826" s="36" t="n">
        <f aca="false">IF('Raw Orders'!B823="","",IF(MID('Raw Orders'!B823,5,1)="-",DATE(VALUE(LEFT('Raw Orders'!B823,4)),VALUE(MID('Raw Orders'!B823,6,2)),VALUE(MID('Raw Orders'!B823,9,2))),DATE(VALUE(MID('Raw Orders'!B823,7,4)),VALUE(MID('Raw Orders'!B823,4,2)),VALUE(LEFT('Raw Orders'!B823,2)))))</f>
        <v>46190</v>
      </c>
      <c r="B826" s="36" t="n">
        <f aca="false">IF(A826="","",A826-WEEKDAY(A826,3))</f>
        <v>46188</v>
      </c>
      <c r="C826" s="32" t="n">
        <f aca="false">IF(OR('Raw Orders'!C823&lt;&gt;"Product",'Raw Orders'!K823="Cancelled"),0,'Raw Orders'!G823)</f>
        <v>39</v>
      </c>
      <c r="D826" s="31" t="n">
        <f aca="false">IF(AND('Raw Orders'!C823="Product",'Raw Orders'!K823="Fulfilled",COUNTIFS('Raw Orders'!$A$2:$A823,'Raw Orders'!A823,'Raw Orders'!$C$2:$C823,"Product",'Raw Orders'!$K$2:$K823,"Fulfilled")=1),1,0)</f>
        <v>0</v>
      </c>
      <c r="E826" s="31" t="n">
        <f aca="false">IF(AND('Raw Orders'!C823="Product",'Raw Orders'!K823="Fulfilled"),'Raw Orders'!E823,0)</f>
        <v>1</v>
      </c>
      <c r="F826" s="32" t="n">
        <f aca="false">IF('Raw Orders'!K823="Refunded",'Raw Orders'!G823,0)</f>
        <v>0</v>
      </c>
    </row>
    <row r="827" customFormat="false" ht="15" hidden="false" customHeight="false" outlineLevel="0" collapsed="false">
      <c r="A827" s="36" t="n">
        <f aca="false">IF('Raw Orders'!B824="","",IF(MID('Raw Orders'!B824,5,1)="-",DATE(VALUE(LEFT('Raw Orders'!B824,4)),VALUE(MID('Raw Orders'!B824,6,2)),VALUE(MID('Raw Orders'!B824,9,2))),DATE(VALUE(MID('Raw Orders'!B824,7,4)),VALUE(MID('Raw Orders'!B824,4,2)),VALUE(LEFT('Raw Orders'!B824,2)))))</f>
        <v>46190</v>
      </c>
      <c r="B827" s="36" t="n">
        <f aca="false">IF(A827="","",A827-WEEKDAY(A827,3))</f>
        <v>46188</v>
      </c>
      <c r="C827" s="32" t="n">
        <f aca="false">IF(OR('Raw Orders'!C824&lt;&gt;"Product",'Raw Orders'!K824="Cancelled"),0,'Raw Orders'!G824)</f>
        <v>22</v>
      </c>
      <c r="D827" s="31" t="n">
        <f aca="false">IF(AND('Raw Orders'!C824="Product",'Raw Orders'!K824="Fulfilled",COUNTIFS('Raw Orders'!$A$2:$A824,'Raw Orders'!A824,'Raw Orders'!$C$2:$C824,"Product",'Raw Orders'!$K$2:$K824,"Fulfilled")=1),1,0)</f>
        <v>1</v>
      </c>
      <c r="E827" s="31" t="n">
        <f aca="false">IF(AND('Raw Orders'!C824="Product",'Raw Orders'!K824="Fulfilled"),'Raw Orders'!E824,0)</f>
        <v>1</v>
      </c>
      <c r="F827" s="32" t="n">
        <f aca="false">IF('Raw Orders'!K824="Refunded",'Raw Orders'!G824,0)</f>
        <v>0</v>
      </c>
    </row>
    <row r="828" customFormat="false" ht="15" hidden="false" customHeight="false" outlineLevel="0" collapsed="false">
      <c r="A828" s="36" t="n">
        <f aca="false">IF('Raw Orders'!B825="","",IF(MID('Raw Orders'!B825,5,1)="-",DATE(VALUE(LEFT('Raw Orders'!B825,4)),VALUE(MID('Raw Orders'!B825,6,2)),VALUE(MID('Raw Orders'!B825,9,2))),DATE(VALUE(MID('Raw Orders'!B825,7,4)),VALUE(MID('Raw Orders'!B825,4,2)),VALUE(LEFT('Raw Orders'!B825,2)))))</f>
        <v>46190</v>
      </c>
      <c r="B828" s="36" t="n">
        <f aca="false">IF(A828="","",A828-WEEKDAY(A828,3))</f>
        <v>46188</v>
      </c>
      <c r="C828" s="32" t="n">
        <f aca="false">IF(OR('Raw Orders'!C825&lt;&gt;"Product",'Raw Orders'!K825="Cancelled"),0,'Raw Orders'!G825)</f>
        <v>0</v>
      </c>
      <c r="D828" s="31" t="n">
        <f aca="false">IF(AND('Raw Orders'!C825="Product",'Raw Orders'!K825="Fulfilled",COUNTIFS('Raw Orders'!$A$2:$A825,'Raw Orders'!A825,'Raw Orders'!$C$2:$C825,"Product",'Raw Orders'!$K$2:$K825,"Fulfilled")=1),1,0)</f>
        <v>0</v>
      </c>
      <c r="E828" s="31" t="n">
        <f aca="false">IF(AND('Raw Orders'!C825="Product",'Raw Orders'!K825="Fulfilled"),'Raw Orders'!E825,0)</f>
        <v>0</v>
      </c>
      <c r="F828" s="32" t="n">
        <f aca="false">IF('Raw Orders'!K825="Refunded",'Raw Orders'!G825,0)</f>
        <v>0</v>
      </c>
    </row>
    <row r="829" customFormat="false" ht="15" hidden="false" customHeight="false" outlineLevel="0" collapsed="false">
      <c r="A829" s="36" t="n">
        <f aca="false">IF('Raw Orders'!B826="","",IF(MID('Raw Orders'!B826,5,1)="-",DATE(VALUE(LEFT('Raw Orders'!B826,4)),VALUE(MID('Raw Orders'!B826,6,2)),VALUE(MID('Raw Orders'!B826,9,2))),DATE(VALUE(MID('Raw Orders'!B826,7,4)),VALUE(MID('Raw Orders'!B826,4,2)),VALUE(LEFT('Raw Orders'!B826,2)))))</f>
        <v>46190</v>
      </c>
      <c r="B829" s="36" t="n">
        <f aca="false">IF(A829="","",A829-WEEKDAY(A829,3))</f>
        <v>46188</v>
      </c>
      <c r="C829" s="32" t="n">
        <f aca="false">IF(OR('Raw Orders'!C826&lt;&gt;"Product",'Raw Orders'!K826="Cancelled"),0,'Raw Orders'!G826)</f>
        <v>178</v>
      </c>
      <c r="D829" s="31" t="n">
        <f aca="false">IF(AND('Raw Orders'!C826="Product",'Raw Orders'!K826="Fulfilled",COUNTIFS('Raw Orders'!$A$2:$A826,'Raw Orders'!A826,'Raw Orders'!$C$2:$C826,"Product",'Raw Orders'!$K$2:$K826,"Fulfilled")=1),1,0)</f>
        <v>0</v>
      </c>
      <c r="E829" s="31" t="n">
        <f aca="false">IF(AND('Raw Orders'!C826="Product",'Raw Orders'!K826="Fulfilled"),'Raw Orders'!E826,0)</f>
        <v>2</v>
      </c>
      <c r="F829" s="32" t="n">
        <f aca="false">IF('Raw Orders'!K826="Refunded",'Raw Orders'!G826,0)</f>
        <v>0</v>
      </c>
    </row>
    <row r="830" customFormat="false" ht="15" hidden="false" customHeight="false" outlineLevel="0" collapsed="false">
      <c r="A830" s="36" t="n">
        <f aca="false">IF('Raw Orders'!B827="","",IF(MID('Raw Orders'!B827,5,1)="-",DATE(VALUE(LEFT('Raw Orders'!B827,4)),VALUE(MID('Raw Orders'!B827,6,2)),VALUE(MID('Raw Orders'!B827,9,2))),DATE(VALUE(MID('Raw Orders'!B827,7,4)),VALUE(MID('Raw Orders'!B827,4,2)),VALUE(LEFT('Raw Orders'!B827,2)))))</f>
        <v>46190</v>
      </c>
      <c r="B830" s="36" t="n">
        <f aca="false">IF(A830="","",A830-WEEKDAY(A830,3))</f>
        <v>46188</v>
      </c>
      <c r="C830" s="32" t="n">
        <f aca="false">IF(OR('Raw Orders'!C827&lt;&gt;"Product",'Raw Orders'!K827="Cancelled"),0,'Raw Orders'!G827)</f>
        <v>0</v>
      </c>
      <c r="D830" s="31" t="n">
        <f aca="false">IF(AND('Raw Orders'!C827="Product",'Raw Orders'!K827="Fulfilled",COUNTIFS('Raw Orders'!$A$2:$A827,'Raw Orders'!A827,'Raw Orders'!$C$2:$C827,"Product",'Raw Orders'!$K$2:$K827,"Fulfilled")=1),1,0)</f>
        <v>0</v>
      </c>
      <c r="E830" s="31" t="n">
        <f aca="false">IF(AND('Raw Orders'!C827="Product",'Raw Orders'!K827="Fulfilled"),'Raw Orders'!E827,0)</f>
        <v>0</v>
      </c>
      <c r="F830" s="32" t="n">
        <f aca="false">IF('Raw Orders'!K827="Refunded",'Raw Orders'!G827,0)</f>
        <v>0</v>
      </c>
    </row>
    <row r="831" customFormat="false" ht="15" hidden="false" customHeight="false" outlineLevel="0" collapsed="false">
      <c r="A831" s="36" t="n">
        <f aca="false">IF('Raw Orders'!B828="","",IF(MID('Raw Orders'!B828,5,1)="-",DATE(VALUE(LEFT('Raw Orders'!B828,4)),VALUE(MID('Raw Orders'!B828,6,2)),VALUE(MID('Raw Orders'!B828,9,2))),DATE(VALUE(MID('Raw Orders'!B828,7,4)),VALUE(MID('Raw Orders'!B828,4,2)),VALUE(LEFT('Raw Orders'!B828,2)))))</f>
        <v>46190</v>
      </c>
      <c r="B831" s="36" t="n">
        <f aca="false">IF(A831="","",A831-WEEKDAY(A831,3))</f>
        <v>46188</v>
      </c>
      <c r="C831" s="32" t="n">
        <f aca="false">IF(OR('Raw Orders'!C828&lt;&gt;"Product",'Raw Orders'!K828="Cancelled"),0,'Raw Orders'!G828)</f>
        <v>80.1</v>
      </c>
      <c r="D831" s="31" t="n">
        <f aca="false">IF(AND('Raw Orders'!C828="Product",'Raw Orders'!K828="Fulfilled",COUNTIFS('Raw Orders'!$A$2:$A828,'Raw Orders'!A828,'Raw Orders'!$C$2:$C828,"Product",'Raw Orders'!$K$2:$K828,"Fulfilled")=1),1,0)</f>
        <v>1</v>
      </c>
      <c r="E831" s="31" t="n">
        <f aca="false">IF(AND('Raw Orders'!C828="Product",'Raw Orders'!K828="Fulfilled"),'Raw Orders'!E828,0)</f>
        <v>1</v>
      </c>
      <c r="F831" s="32" t="n">
        <f aca="false">IF('Raw Orders'!K828="Refunded",'Raw Orders'!G828,0)</f>
        <v>0</v>
      </c>
    </row>
    <row r="832" customFormat="false" ht="15" hidden="false" customHeight="false" outlineLevel="0" collapsed="false">
      <c r="A832" s="36" t="n">
        <f aca="false">IF('Raw Orders'!B829="","",IF(MID('Raw Orders'!B829,5,1)="-",DATE(VALUE(LEFT('Raw Orders'!B829,4)),VALUE(MID('Raw Orders'!B829,6,2)),VALUE(MID('Raw Orders'!B829,9,2))),DATE(VALUE(MID('Raw Orders'!B829,7,4)),VALUE(MID('Raw Orders'!B829,4,2)),VALUE(LEFT('Raw Orders'!B829,2)))))</f>
        <v>46190</v>
      </c>
      <c r="B832" s="36" t="n">
        <f aca="false">IF(A832="","",A832-WEEKDAY(A832,3))</f>
        <v>46188</v>
      </c>
      <c r="C832" s="32" t="n">
        <f aca="false">IF(OR('Raw Orders'!C829&lt;&gt;"Product",'Raw Orders'!K829="Cancelled"),0,'Raw Orders'!G829)</f>
        <v>26.1</v>
      </c>
      <c r="D832" s="31" t="n">
        <f aca="false">IF(AND('Raw Orders'!C829="Product",'Raw Orders'!K829="Fulfilled",COUNTIFS('Raw Orders'!$A$2:$A829,'Raw Orders'!A829,'Raw Orders'!$C$2:$C829,"Product",'Raw Orders'!$K$2:$K829,"Fulfilled")=1),1,0)</f>
        <v>1</v>
      </c>
      <c r="E832" s="31" t="n">
        <f aca="false">IF(AND('Raw Orders'!C829="Product",'Raw Orders'!K829="Fulfilled"),'Raw Orders'!E829,0)</f>
        <v>1</v>
      </c>
      <c r="F832" s="32" t="n">
        <f aca="false">IF('Raw Orders'!K829="Refunded",'Raw Orders'!G829,0)</f>
        <v>0</v>
      </c>
    </row>
    <row r="833" customFormat="false" ht="15" hidden="false" customHeight="false" outlineLevel="0" collapsed="false">
      <c r="A833" s="36" t="n">
        <f aca="false">IF('Raw Orders'!B830="","",IF(MID('Raw Orders'!B830,5,1)="-",DATE(VALUE(LEFT('Raw Orders'!B830,4)),VALUE(MID('Raw Orders'!B830,6,2)),VALUE(MID('Raw Orders'!B830,9,2))),DATE(VALUE(MID('Raw Orders'!B830,7,4)),VALUE(MID('Raw Orders'!B830,4,2)),VALUE(LEFT('Raw Orders'!B830,2)))))</f>
        <v>46190</v>
      </c>
      <c r="B833" s="36" t="n">
        <f aca="false">IF(A833="","",A833-WEEKDAY(A833,3))</f>
        <v>46188</v>
      </c>
      <c r="C833" s="32" t="n">
        <f aca="false">IF(OR('Raw Orders'!C830&lt;&gt;"Product",'Raw Orders'!K830="Cancelled"),0,'Raw Orders'!G830)</f>
        <v>0</v>
      </c>
      <c r="D833" s="31" t="n">
        <f aca="false">IF(AND('Raw Orders'!C830="Product",'Raw Orders'!K830="Fulfilled",COUNTIFS('Raw Orders'!$A$2:$A830,'Raw Orders'!A830,'Raw Orders'!$C$2:$C830,"Product",'Raw Orders'!$K$2:$K830,"Fulfilled")=1),1,0)</f>
        <v>0</v>
      </c>
      <c r="E833" s="31" t="n">
        <f aca="false">IF(AND('Raw Orders'!C830="Product",'Raw Orders'!K830="Fulfilled"),'Raw Orders'!E830,0)</f>
        <v>0</v>
      </c>
      <c r="F833" s="32" t="n">
        <f aca="false">IF('Raw Orders'!K830="Refunded",'Raw Orders'!G830,0)</f>
        <v>0</v>
      </c>
    </row>
    <row r="834" customFormat="false" ht="15" hidden="false" customHeight="false" outlineLevel="0" collapsed="false">
      <c r="A834" s="36" t="n">
        <f aca="false">IF('Raw Orders'!B831="","",IF(MID('Raw Orders'!B831,5,1)="-",DATE(VALUE(LEFT('Raw Orders'!B831,4)),VALUE(MID('Raw Orders'!B831,6,2)),VALUE(MID('Raw Orders'!B831,9,2))),DATE(VALUE(MID('Raw Orders'!B831,7,4)),VALUE(MID('Raw Orders'!B831,4,2)),VALUE(LEFT('Raw Orders'!B831,2)))))</f>
        <v>46191</v>
      </c>
      <c r="B834" s="36" t="n">
        <f aca="false">IF(A834="","",A834-WEEKDAY(A834,3))</f>
        <v>46188</v>
      </c>
      <c r="C834" s="32" t="n">
        <f aca="false">IF(OR('Raw Orders'!C831&lt;&gt;"Product",'Raw Orders'!K831="Cancelled"),0,'Raw Orders'!G831)</f>
        <v>0</v>
      </c>
      <c r="D834" s="31" t="n">
        <f aca="false">IF(AND('Raw Orders'!C831="Product",'Raw Orders'!K831="Fulfilled",COUNTIFS('Raw Orders'!$A$2:$A831,'Raw Orders'!A831,'Raw Orders'!$C$2:$C831,"Product",'Raw Orders'!$K$2:$K831,"Fulfilled")=1),1,0)</f>
        <v>0</v>
      </c>
      <c r="E834" s="31" t="n">
        <f aca="false">IF(AND('Raw Orders'!C831="Product",'Raw Orders'!K831="Fulfilled"),'Raw Orders'!E831,0)</f>
        <v>0</v>
      </c>
      <c r="F834" s="32" t="n">
        <f aca="false">IF('Raw Orders'!K831="Refunded",'Raw Orders'!G831,0)</f>
        <v>0</v>
      </c>
    </row>
    <row r="835" customFormat="false" ht="15" hidden="false" customHeight="false" outlineLevel="0" collapsed="false">
      <c r="A835" s="36" t="n">
        <f aca="false">IF('Raw Orders'!B832="","",IF(MID('Raw Orders'!B832,5,1)="-",DATE(VALUE(LEFT('Raw Orders'!B832,4)),VALUE(MID('Raw Orders'!B832,6,2)),VALUE(MID('Raw Orders'!B832,9,2))),DATE(VALUE(MID('Raw Orders'!B832,7,4)),VALUE(MID('Raw Orders'!B832,4,2)),VALUE(LEFT('Raw Orders'!B832,2)))))</f>
        <v>46191</v>
      </c>
      <c r="B835" s="36" t="n">
        <f aca="false">IF(A835="","",A835-WEEKDAY(A835,3))</f>
        <v>46188</v>
      </c>
      <c r="C835" s="32" t="n">
        <f aca="false">IF(OR('Raw Orders'!C832&lt;&gt;"Product",'Raw Orders'!K832="Cancelled"),0,'Raw Orders'!G832)</f>
        <v>75</v>
      </c>
      <c r="D835" s="31" t="n">
        <f aca="false">IF(AND('Raw Orders'!C832="Product",'Raw Orders'!K832="Fulfilled",COUNTIFS('Raw Orders'!$A$2:$A832,'Raw Orders'!A832,'Raw Orders'!$C$2:$C832,"Product",'Raw Orders'!$K$2:$K832,"Fulfilled")=1),1,0)</f>
        <v>1</v>
      </c>
      <c r="E835" s="31" t="n">
        <f aca="false">IF(AND('Raw Orders'!C832="Product",'Raw Orders'!K832="Fulfilled"),'Raw Orders'!E832,0)</f>
        <v>1</v>
      </c>
      <c r="F835" s="32" t="n">
        <f aca="false">IF('Raw Orders'!K832="Refunded",'Raw Orders'!G832,0)</f>
        <v>0</v>
      </c>
    </row>
    <row r="836" customFormat="false" ht="15" hidden="false" customHeight="false" outlineLevel="0" collapsed="false">
      <c r="A836" s="36" t="n">
        <f aca="false">IF('Raw Orders'!B833="","",IF(MID('Raw Orders'!B833,5,1)="-",DATE(VALUE(LEFT('Raw Orders'!B833,4)),VALUE(MID('Raw Orders'!B833,6,2)),VALUE(MID('Raw Orders'!B833,9,2))),DATE(VALUE(MID('Raw Orders'!B833,7,4)),VALUE(MID('Raw Orders'!B833,4,2)),VALUE(LEFT('Raw Orders'!B833,2)))))</f>
        <v>46191</v>
      </c>
      <c r="B836" s="36" t="n">
        <f aca="false">IF(A836="","",A836-WEEKDAY(A836,3))</f>
        <v>46188</v>
      </c>
      <c r="C836" s="32" t="n">
        <f aca="false">IF(OR('Raw Orders'!C833&lt;&gt;"Product",'Raw Orders'!K833="Cancelled"),0,'Raw Orders'!G833)</f>
        <v>39</v>
      </c>
      <c r="D836" s="31" t="n">
        <f aca="false">IF(AND('Raw Orders'!C833="Product",'Raw Orders'!K833="Fulfilled",COUNTIFS('Raw Orders'!$A$2:$A833,'Raw Orders'!A833,'Raw Orders'!$C$2:$C833,"Product",'Raw Orders'!$K$2:$K833,"Fulfilled")=1),1,0)</f>
        <v>0</v>
      </c>
      <c r="E836" s="31" t="n">
        <f aca="false">IF(AND('Raw Orders'!C833="Product",'Raw Orders'!K833="Fulfilled"),'Raw Orders'!E833,0)</f>
        <v>1</v>
      </c>
      <c r="F836" s="32" t="n">
        <f aca="false">IF('Raw Orders'!K833="Refunded",'Raw Orders'!G833,0)</f>
        <v>0</v>
      </c>
    </row>
    <row r="837" customFormat="false" ht="15" hidden="false" customHeight="false" outlineLevel="0" collapsed="false">
      <c r="A837" s="36" t="n">
        <f aca="false">IF('Raw Orders'!B834="","",IF(MID('Raw Orders'!B834,5,1)="-",DATE(VALUE(LEFT('Raw Orders'!B834,4)),VALUE(MID('Raw Orders'!B834,6,2)),VALUE(MID('Raw Orders'!B834,9,2))),DATE(VALUE(MID('Raw Orders'!B834,7,4)),VALUE(MID('Raw Orders'!B834,4,2)),VALUE(LEFT('Raw Orders'!B834,2)))))</f>
        <v>46191</v>
      </c>
      <c r="B837" s="36" t="n">
        <f aca="false">IF(A837="","",A837-WEEKDAY(A837,3))</f>
        <v>46188</v>
      </c>
      <c r="C837" s="32" t="n">
        <f aca="false">IF(OR('Raw Orders'!C834&lt;&gt;"Product",'Raw Orders'!K834="Cancelled"),0,'Raw Orders'!G834)</f>
        <v>39</v>
      </c>
      <c r="D837" s="31" t="n">
        <f aca="false">IF(AND('Raw Orders'!C834="Product",'Raw Orders'!K834="Fulfilled",COUNTIFS('Raw Orders'!$A$2:$A834,'Raw Orders'!A834,'Raw Orders'!$C$2:$C834,"Product",'Raw Orders'!$K$2:$K834,"Fulfilled")=1),1,0)</f>
        <v>1</v>
      </c>
      <c r="E837" s="31" t="n">
        <f aca="false">IF(AND('Raw Orders'!C834="Product",'Raw Orders'!K834="Fulfilled"),'Raw Orders'!E834,0)</f>
        <v>1</v>
      </c>
      <c r="F837" s="32" t="n">
        <f aca="false">IF('Raw Orders'!K834="Refunded",'Raw Orders'!G834,0)</f>
        <v>0</v>
      </c>
    </row>
    <row r="838" customFormat="false" ht="15" hidden="false" customHeight="false" outlineLevel="0" collapsed="false">
      <c r="A838" s="36" t="n">
        <f aca="false">IF('Raw Orders'!B835="","",IF(MID('Raw Orders'!B835,5,1)="-",DATE(VALUE(LEFT('Raw Orders'!B835,4)),VALUE(MID('Raw Orders'!B835,6,2)),VALUE(MID('Raw Orders'!B835,9,2))),DATE(VALUE(MID('Raw Orders'!B835,7,4)),VALUE(MID('Raw Orders'!B835,4,2)),VALUE(LEFT('Raw Orders'!B835,2)))))</f>
        <v>46191</v>
      </c>
      <c r="B838" s="36" t="n">
        <f aca="false">IF(A838="","",A838-WEEKDAY(A838,3))</f>
        <v>46188</v>
      </c>
      <c r="C838" s="32" t="n">
        <f aca="false">IF(OR('Raw Orders'!C835&lt;&gt;"Product",'Raw Orders'!K835="Cancelled"),0,'Raw Orders'!G835)</f>
        <v>0</v>
      </c>
      <c r="D838" s="31" t="n">
        <f aca="false">IF(AND('Raw Orders'!C835="Product",'Raw Orders'!K835="Fulfilled",COUNTIFS('Raw Orders'!$A$2:$A835,'Raw Orders'!A835,'Raw Orders'!$C$2:$C835,"Product",'Raw Orders'!$K$2:$K835,"Fulfilled")=1),1,0)</f>
        <v>0</v>
      </c>
      <c r="E838" s="31" t="n">
        <f aca="false">IF(AND('Raw Orders'!C835="Product",'Raw Orders'!K835="Fulfilled"),'Raw Orders'!E835,0)</f>
        <v>0</v>
      </c>
      <c r="F838" s="32" t="n">
        <f aca="false">IF('Raw Orders'!K835="Refunded",'Raw Orders'!G835,0)</f>
        <v>0</v>
      </c>
    </row>
    <row r="839" customFormat="false" ht="15" hidden="false" customHeight="false" outlineLevel="0" collapsed="false">
      <c r="A839" s="36" t="n">
        <f aca="false">IF('Raw Orders'!B836="","",IF(MID('Raw Orders'!B836,5,1)="-",DATE(VALUE(LEFT('Raw Orders'!B836,4)),VALUE(MID('Raw Orders'!B836,6,2)),VALUE(MID('Raw Orders'!B836,9,2))),DATE(VALUE(MID('Raw Orders'!B836,7,4)),VALUE(MID('Raw Orders'!B836,4,2)),VALUE(LEFT('Raw Orders'!B836,2)))))</f>
        <v>46191</v>
      </c>
      <c r="B839" s="36" t="n">
        <f aca="false">IF(A839="","",A839-WEEKDAY(A839,3))</f>
        <v>46188</v>
      </c>
      <c r="C839" s="32" t="n">
        <f aca="false">IF(OR('Raw Orders'!C836&lt;&gt;"Product",'Raw Orders'!K836="Cancelled"),0,'Raw Orders'!G836)</f>
        <v>0</v>
      </c>
      <c r="D839" s="31" t="n">
        <f aca="false">IF(AND('Raw Orders'!C836="Product",'Raw Orders'!K836="Fulfilled",COUNTIFS('Raw Orders'!$A$2:$A836,'Raw Orders'!A836,'Raw Orders'!$C$2:$C836,"Product",'Raw Orders'!$K$2:$K836,"Fulfilled")=1),1,0)</f>
        <v>0</v>
      </c>
      <c r="E839" s="31" t="n">
        <f aca="false">IF(AND('Raw Orders'!C836="Product",'Raw Orders'!K836="Fulfilled"),'Raw Orders'!E836,0)</f>
        <v>0</v>
      </c>
      <c r="F839" s="32" t="n">
        <f aca="false">IF('Raw Orders'!K836="Refunded",'Raw Orders'!G836,0)</f>
        <v>0</v>
      </c>
    </row>
    <row r="840" customFormat="false" ht="15" hidden="false" customHeight="false" outlineLevel="0" collapsed="false">
      <c r="A840" s="36" t="n">
        <f aca="false">IF('Raw Orders'!B837="","",IF(MID('Raw Orders'!B837,5,1)="-",DATE(VALUE(LEFT('Raw Orders'!B837,4)),VALUE(MID('Raw Orders'!B837,6,2)),VALUE(MID('Raw Orders'!B837,9,2))),DATE(VALUE(MID('Raw Orders'!B837,7,4)),VALUE(MID('Raw Orders'!B837,4,2)),VALUE(LEFT('Raw Orders'!B837,2)))))</f>
        <v>46191</v>
      </c>
      <c r="B840" s="36" t="n">
        <f aca="false">IF(A840="","",A840-WEEKDAY(A840,3))</f>
        <v>46188</v>
      </c>
      <c r="C840" s="32" t="n">
        <f aca="false">IF(OR('Raw Orders'!C837&lt;&gt;"Product",'Raw Orders'!K837="Cancelled"),0,'Raw Orders'!G837)</f>
        <v>14</v>
      </c>
      <c r="D840" s="31" t="n">
        <f aca="false">IF(AND('Raw Orders'!C837="Product",'Raw Orders'!K837="Fulfilled",COUNTIFS('Raw Orders'!$A$2:$A837,'Raw Orders'!A837,'Raw Orders'!$C$2:$C837,"Product",'Raw Orders'!$K$2:$K837,"Fulfilled")=1),1,0)</f>
        <v>1</v>
      </c>
      <c r="E840" s="31" t="n">
        <f aca="false">IF(AND('Raw Orders'!C837="Product",'Raw Orders'!K837="Fulfilled"),'Raw Orders'!E837,0)</f>
        <v>1</v>
      </c>
      <c r="F840" s="32" t="n">
        <f aca="false">IF('Raw Orders'!K837="Refunded",'Raw Orders'!G837,0)</f>
        <v>0</v>
      </c>
    </row>
    <row r="841" customFormat="false" ht="15" hidden="false" customHeight="false" outlineLevel="0" collapsed="false">
      <c r="A841" s="36" t="n">
        <f aca="false">IF('Raw Orders'!B838="","",IF(MID('Raw Orders'!B838,5,1)="-",DATE(VALUE(LEFT('Raw Orders'!B838,4)),VALUE(MID('Raw Orders'!B838,6,2)),VALUE(MID('Raw Orders'!B838,9,2))),DATE(VALUE(MID('Raw Orders'!B838,7,4)),VALUE(MID('Raw Orders'!B838,4,2)),VALUE(LEFT('Raw Orders'!B838,2)))))</f>
        <v>46191</v>
      </c>
      <c r="B841" s="36" t="n">
        <f aca="false">IF(A841="","",A841-WEEKDAY(A841,3))</f>
        <v>46188</v>
      </c>
      <c r="C841" s="32" t="n">
        <f aca="false">IF(OR('Raw Orders'!C838&lt;&gt;"Product",'Raw Orders'!K838="Cancelled"),0,'Raw Orders'!G838)</f>
        <v>39</v>
      </c>
      <c r="D841" s="31" t="n">
        <f aca="false">IF(AND('Raw Orders'!C838="Product",'Raw Orders'!K838="Fulfilled",COUNTIFS('Raw Orders'!$A$2:$A838,'Raw Orders'!A838,'Raw Orders'!$C$2:$C838,"Product",'Raw Orders'!$K$2:$K838,"Fulfilled")=1),1,0)</f>
        <v>1</v>
      </c>
      <c r="E841" s="31" t="n">
        <f aca="false">IF(AND('Raw Orders'!C838="Product",'Raw Orders'!K838="Fulfilled"),'Raw Orders'!E838,0)</f>
        <v>1</v>
      </c>
      <c r="F841" s="32" t="n">
        <f aca="false">IF('Raw Orders'!K838="Refunded",'Raw Orders'!G838,0)</f>
        <v>0</v>
      </c>
    </row>
    <row r="842" customFormat="false" ht="15" hidden="false" customHeight="false" outlineLevel="0" collapsed="false">
      <c r="A842" s="36" t="n">
        <f aca="false">IF('Raw Orders'!B839="","",IF(MID('Raw Orders'!B839,5,1)="-",DATE(VALUE(LEFT('Raw Orders'!B839,4)),VALUE(MID('Raw Orders'!B839,6,2)),VALUE(MID('Raw Orders'!B839,9,2))),DATE(VALUE(MID('Raw Orders'!B839,7,4)),VALUE(MID('Raw Orders'!B839,4,2)),VALUE(LEFT('Raw Orders'!B839,2)))))</f>
        <v>46191</v>
      </c>
      <c r="B842" s="36" t="n">
        <f aca="false">IF(A842="","",A842-WEEKDAY(A842,3))</f>
        <v>46188</v>
      </c>
      <c r="C842" s="32" t="n">
        <f aca="false">IF(OR('Raw Orders'!C839&lt;&gt;"Product",'Raw Orders'!K839="Cancelled"),0,'Raw Orders'!G839)</f>
        <v>0</v>
      </c>
      <c r="D842" s="31" t="n">
        <f aca="false">IF(AND('Raw Orders'!C839="Product",'Raw Orders'!K839="Fulfilled",COUNTIFS('Raw Orders'!$A$2:$A839,'Raw Orders'!A839,'Raw Orders'!$C$2:$C839,"Product",'Raw Orders'!$K$2:$K839,"Fulfilled")=1),1,0)</f>
        <v>0</v>
      </c>
      <c r="E842" s="31" t="n">
        <f aca="false">IF(AND('Raw Orders'!C839="Product",'Raw Orders'!K839="Fulfilled"),'Raw Orders'!E839,0)</f>
        <v>0</v>
      </c>
      <c r="F842" s="32" t="n">
        <f aca="false">IF('Raw Orders'!K839="Refunded",'Raw Orders'!G839,0)</f>
        <v>0</v>
      </c>
    </row>
    <row r="843" customFormat="false" ht="15" hidden="false" customHeight="false" outlineLevel="0" collapsed="false">
      <c r="A843" s="36" t="n">
        <f aca="false">IF('Raw Orders'!B840="","",IF(MID('Raw Orders'!B840,5,1)="-",DATE(VALUE(LEFT('Raw Orders'!B840,4)),VALUE(MID('Raw Orders'!B840,6,2)),VALUE(MID('Raw Orders'!B840,9,2))),DATE(VALUE(MID('Raw Orders'!B840,7,4)),VALUE(MID('Raw Orders'!B840,4,2)),VALUE(LEFT('Raw Orders'!B840,2)))))</f>
        <v>46191</v>
      </c>
      <c r="B843" s="36" t="n">
        <f aca="false">IF(A843="","",A843-WEEKDAY(A843,3))</f>
        <v>46188</v>
      </c>
      <c r="C843" s="32" t="n">
        <f aca="false">IF(OR('Raw Orders'!C840&lt;&gt;"Product",'Raw Orders'!K840="Cancelled"),0,'Raw Orders'!G840)</f>
        <v>0</v>
      </c>
      <c r="D843" s="31" t="n">
        <f aca="false">IF(AND('Raw Orders'!C840="Product",'Raw Orders'!K840="Fulfilled",COUNTIFS('Raw Orders'!$A$2:$A840,'Raw Orders'!A840,'Raw Orders'!$C$2:$C840,"Product",'Raw Orders'!$K$2:$K840,"Fulfilled")=1),1,0)</f>
        <v>0</v>
      </c>
      <c r="E843" s="31" t="n">
        <f aca="false">IF(AND('Raw Orders'!C840="Product",'Raw Orders'!K840="Fulfilled"),'Raw Orders'!E840,0)</f>
        <v>0</v>
      </c>
      <c r="F843" s="32" t="n">
        <f aca="false">IF('Raw Orders'!K840="Refunded",'Raw Orders'!G840,0)</f>
        <v>0</v>
      </c>
    </row>
    <row r="844" customFormat="false" ht="15" hidden="false" customHeight="false" outlineLevel="0" collapsed="false">
      <c r="A844" s="36" t="n">
        <f aca="false">IF('Raw Orders'!B841="","",IF(MID('Raw Orders'!B841,5,1)="-",DATE(VALUE(LEFT('Raw Orders'!B841,4)),VALUE(MID('Raw Orders'!B841,6,2)),VALUE(MID('Raw Orders'!B841,9,2))),DATE(VALUE(MID('Raw Orders'!B841,7,4)),VALUE(MID('Raw Orders'!B841,4,2)),VALUE(LEFT('Raw Orders'!B841,2)))))</f>
        <v>46191</v>
      </c>
      <c r="B844" s="36" t="n">
        <f aca="false">IF(A844="","",A844-WEEKDAY(A844,3))</f>
        <v>46188</v>
      </c>
      <c r="C844" s="32" t="n">
        <f aca="false">IF(OR('Raw Orders'!C841&lt;&gt;"Product",'Raw Orders'!K841="Cancelled"),0,'Raw Orders'!G841)</f>
        <v>89</v>
      </c>
      <c r="D844" s="31" t="n">
        <f aca="false">IF(AND('Raw Orders'!C841="Product",'Raw Orders'!K841="Fulfilled",COUNTIFS('Raw Orders'!$A$2:$A841,'Raw Orders'!A841,'Raw Orders'!$C$2:$C841,"Product",'Raw Orders'!$K$2:$K841,"Fulfilled")=1),1,0)</f>
        <v>1</v>
      </c>
      <c r="E844" s="31" t="n">
        <f aca="false">IF(AND('Raw Orders'!C841="Product",'Raw Orders'!K841="Fulfilled"),'Raw Orders'!E841,0)</f>
        <v>1</v>
      </c>
      <c r="F844" s="32" t="n">
        <f aca="false">IF('Raw Orders'!K841="Refunded",'Raw Orders'!G841,0)</f>
        <v>0</v>
      </c>
    </row>
    <row r="845" customFormat="false" ht="15" hidden="false" customHeight="false" outlineLevel="0" collapsed="false">
      <c r="A845" s="36" t="n">
        <f aca="false">IF('Raw Orders'!B842="","",IF(MID('Raw Orders'!B842,5,1)="-",DATE(VALUE(LEFT('Raw Orders'!B842,4)),VALUE(MID('Raw Orders'!B842,6,2)),VALUE(MID('Raw Orders'!B842,9,2))),DATE(VALUE(MID('Raw Orders'!B842,7,4)),VALUE(MID('Raw Orders'!B842,4,2)),VALUE(LEFT('Raw Orders'!B842,2)))))</f>
        <v>46191</v>
      </c>
      <c r="B845" s="36" t="n">
        <f aca="false">IF(A845="","",A845-WEEKDAY(A845,3))</f>
        <v>46188</v>
      </c>
      <c r="C845" s="32" t="n">
        <f aca="false">IF(OR('Raw Orders'!C842&lt;&gt;"Product",'Raw Orders'!K842="Cancelled"),0,'Raw Orders'!G842)</f>
        <v>-58</v>
      </c>
      <c r="D845" s="31" t="n">
        <f aca="false">IF(AND('Raw Orders'!C842="Product",'Raw Orders'!K842="Fulfilled",COUNTIFS('Raw Orders'!$A$2:$A842,'Raw Orders'!A842,'Raw Orders'!$C$2:$C842,"Product",'Raw Orders'!$K$2:$K842,"Fulfilled")=1),1,0)</f>
        <v>0</v>
      </c>
      <c r="E845" s="31" t="n">
        <f aca="false">IF(AND('Raw Orders'!C842="Product",'Raw Orders'!K842="Fulfilled"),'Raw Orders'!E842,0)</f>
        <v>0</v>
      </c>
      <c r="F845" s="32" t="n">
        <f aca="false">IF('Raw Orders'!K842="Refunded",'Raw Orders'!G842,0)</f>
        <v>-58</v>
      </c>
    </row>
    <row r="846" customFormat="false" ht="15" hidden="false" customHeight="false" outlineLevel="0" collapsed="false">
      <c r="A846" s="36" t="n">
        <f aca="false">IF('Raw Orders'!B843="","",IF(MID('Raw Orders'!B843,5,1)="-",DATE(VALUE(LEFT('Raw Orders'!B843,4)),VALUE(MID('Raw Orders'!B843,6,2)),VALUE(MID('Raw Orders'!B843,9,2))),DATE(VALUE(MID('Raw Orders'!B843,7,4)),VALUE(MID('Raw Orders'!B843,4,2)),VALUE(LEFT('Raw Orders'!B843,2)))))</f>
        <v>46191</v>
      </c>
      <c r="B846" s="36" t="n">
        <f aca="false">IF(A846="","",A846-WEEKDAY(A846,3))</f>
        <v>46188</v>
      </c>
      <c r="C846" s="32" t="n">
        <f aca="false">IF(OR('Raw Orders'!C843&lt;&gt;"Product",'Raw Orders'!K843="Cancelled"),0,'Raw Orders'!G843)</f>
        <v>45</v>
      </c>
      <c r="D846" s="31" t="n">
        <f aca="false">IF(AND('Raw Orders'!C843="Product",'Raw Orders'!K843="Fulfilled",COUNTIFS('Raw Orders'!$A$2:$A843,'Raw Orders'!A843,'Raw Orders'!$C$2:$C843,"Product",'Raw Orders'!$K$2:$K843,"Fulfilled")=1),1,0)</f>
        <v>1</v>
      </c>
      <c r="E846" s="31" t="n">
        <f aca="false">IF(AND('Raw Orders'!C843="Product",'Raw Orders'!K843="Fulfilled"),'Raw Orders'!E843,0)</f>
        <v>1</v>
      </c>
      <c r="F846" s="32" t="n">
        <f aca="false">IF('Raw Orders'!K843="Refunded",'Raw Orders'!G843,0)</f>
        <v>0</v>
      </c>
    </row>
    <row r="847" customFormat="false" ht="15" hidden="false" customHeight="false" outlineLevel="0" collapsed="false">
      <c r="A847" s="36" t="n">
        <f aca="false">IF('Raw Orders'!B844="","",IF(MID('Raw Orders'!B844,5,1)="-",DATE(VALUE(LEFT('Raw Orders'!B844,4)),VALUE(MID('Raw Orders'!B844,6,2)),VALUE(MID('Raw Orders'!B844,9,2))),DATE(VALUE(MID('Raw Orders'!B844,7,4)),VALUE(MID('Raw Orders'!B844,4,2)),VALUE(LEFT('Raw Orders'!B844,2)))))</f>
        <v>46191</v>
      </c>
      <c r="B847" s="36" t="n">
        <f aca="false">IF(A847="","",A847-WEEKDAY(A847,3))</f>
        <v>46188</v>
      </c>
      <c r="C847" s="32" t="n">
        <f aca="false">IF(OR('Raw Orders'!C844&lt;&gt;"Product",'Raw Orders'!K844="Cancelled"),0,'Raw Orders'!G844)</f>
        <v>0</v>
      </c>
      <c r="D847" s="31" t="n">
        <f aca="false">IF(AND('Raw Orders'!C844="Product",'Raw Orders'!K844="Fulfilled",COUNTIFS('Raw Orders'!$A$2:$A844,'Raw Orders'!A844,'Raw Orders'!$C$2:$C844,"Product",'Raw Orders'!$K$2:$K844,"Fulfilled")=1),1,0)</f>
        <v>0</v>
      </c>
      <c r="E847" s="31" t="n">
        <f aca="false">IF(AND('Raw Orders'!C844="Product",'Raw Orders'!K844="Fulfilled"),'Raw Orders'!E844,0)</f>
        <v>0</v>
      </c>
      <c r="F847" s="32" t="n">
        <f aca="false">IF('Raw Orders'!K844="Refunded",'Raw Orders'!G844,0)</f>
        <v>0</v>
      </c>
    </row>
    <row r="848" customFormat="false" ht="15" hidden="false" customHeight="false" outlineLevel="0" collapsed="false">
      <c r="A848" s="36" t="n">
        <f aca="false">IF('Raw Orders'!B845="","",IF(MID('Raw Orders'!B845,5,1)="-",DATE(VALUE(LEFT('Raw Orders'!B845,4)),VALUE(MID('Raw Orders'!B845,6,2)),VALUE(MID('Raw Orders'!B845,9,2))),DATE(VALUE(MID('Raw Orders'!B845,7,4)),VALUE(MID('Raw Orders'!B845,4,2)),VALUE(LEFT('Raw Orders'!B845,2)))))</f>
        <v>46191</v>
      </c>
      <c r="B848" s="36" t="n">
        <f aca="false">IF(A848="","",A848-WEEKDAY(A848,3))</f>
        <v>46188</v>
      </c>
      <c r="C848" s="32" t="n">
        <f aca="false">IF(OR('Raw Orders'!C845&lt;&gt;"Product",'Raw Orders'!K845="Cancelled"),0,'Raw Orders'!G845)</f>
        <v>44</v>
      </c>
      <c r="D848" s="31" t="n">
        <f aca="false">IF(AND('Raw Orders'!C845="Product",'Raw Orders'!K845="Fulfilled",COUNTIFS('Raw Orders'!$A$2:$A845,'Raw Orders'!A845,'Raw Orders'!$C$2:$C845,"Product",'Raw Orders'!$K$2:$K845,"Fulfilled")=1),1,0)</f>
        <v>1</v>
      </c>
      <c r="E848" s="31" t="n">
        <f aca="false">IF(AND('Raw Orders'!C845="Product",'Raw Orders'!K845="Fulfilled"),'Raw Orders'!E845,0)</f>
        <v>2</v>
      </c>
      <c r="F848" s="32" t="n">
        <f aca="false">IF('Raw Orders'!K845="Refunded",'Raw Orders'!G845,0)</f>
        <v>0</v>
      </c>
    </row>
    <row r="849" customFormat="false" ht="15" hidden="false" customHeight="false" outlineLevel="0" collapsed="false">
      <c r="A849" s="36" t="n">
        <f aca="false">IF('Raw Orders'!B846="","",IF(MID('Raw Orders'!B846,5,1)="-",DATE(VALUE(LEFT('Raw Orders'!B846,4)),VALUE(MID('Raw Orders'!B846,6,2)),VALUE(MID('Raw Orders'!B846,9,2))),DATE(VALUE(MID('Raw Orders'!B846,7,4)),VALUE(MID('Raw Orders'!B846,4,2)),VALUE(LEFT('Raw Orders'!B846,2)))))</f>
        <v>46191</v>
      </c>
      <c r="B849" s="36" t="n">
        <f aca="false">IF(A849="","",A849-WEEKDAY(A849,3))</f>
        <v>46188</v>
      </c>
      <c r="C849" s="32" t="n">
        <f aca="false">IF(OR('Raw Orders'!C846&lt;&gt;"Product",'Raw Orders'!K846="Cancelled"),0,'Raw Orders'!G846)</f>
        <v>69</v>
      </c>
      <c r="D849" s="31" t="n">
        <f aca="false">IF(AND('Raw Orders'!C846="Product",'Raw Orders'!K846="Fulfilled",COUNTIFS('Raw Orders'!$A$2:$A846,'Raw Orders'!A846,'Raw Orders'!$C$2:$C846,"Product",'Raw Orders'!$K$2:$K846,"Fulfilled")=1),1,0)</f>
        <v>0</v>
      </c>
      <c r="E849" s="31" t="n">
        <f aca="false">IF(AND('Raw Orders'!C846="Product",'Raw Orders'!K846="Fulfilled"),'Raw Orders'!E846,0)</f>
        <v>1</v>
      </c>
      <c r="F849" s="32" t="n">
        <f aca="false">IF('Raw Orders'!K846="Refunded",'Raw Orders'!G846,0)</f>
        <v>0</v>
      </c>
    </row>
    <row r="850" customFormat="false" ht="15" hidden="false" customHeight="false" outlineLevel="0" collapsed="false">
      <c r="A850" s="36" t="n">
        <f aca="false">IF('Raw Orders'!B847="","",IF(MID('Raw Orders'!B847,5,1)="-",DATE(VALUE(LEFT('Raw Orders'!B847,4)),VALUE(MID('Raw Orders'!B847,6,2)),VALUE(MID('Raw Orders'!B847,9,2))),DATE(VALUE(MID('Raw Orders'!B847,7,4)),VALUE(MID('Raw Orders'!B847,4,2)),VALUE(LEFT('Raw Orders'!B847,2)))))</f>
        <v>46191</v>
      </c>
      <c r="B850" s="36" t="n">
        <f aca="false">IF(A850="","",A850-WEEKDAY(A850,3))</f>
        <v>46188</v>
      </c>
      <c r="C850" s="32" t="n">
        <f aca="false">IF(OR('Raw Orders'!C847&lt;&gt;"Product",'Raw Orders'!K847="Cancelled"),0,'Raw Orders'!G847)</f>
        <v>0</v>
      </c>
      <c r="D850" s="31" t="n">
        <f aca="false">IF(AND('Raw Orders'!C847="Product",'Raw Orders'!K847="Fulfilled",COUNTIFS('Raw Orders'!$A$2:$A847,'Raw Orders'!A847,'Raw Orders'!$C$2:$C847,"Product",'Raw Orders'!$K$2:$K847,"Fulfilled")=1),1,0)</f>
        <v>0</v>
      </c>
      <c r="E850" s="31" t="n">
        <f aca="false">IF(AND('Raw Orders'!C847="Product",'Raw Orders'!K847="Fulfilled"),'Raw Orders'!E847,0)</f>
        <v>0</v>
      </c>
      <c r="F850" s="32" t="n">
        <f aca="false">IF('Raw Orders'!K847="Refunded",'Raw Orders'!G847,0)</f>
        <v>0</v>
      </c>
    </row>
    <row r="851" customFormat="false" ht="15" hidden="false" customHeight="false" outlineLevel="0" collapsed="false">
      <c r="A851" s="36" t="n">
        <f aca="false">IF('Raw Orders'!B848="","",IF(MID('Raw Orders'!B848,5,1)="-",DATE(VALUE(LEFT('Raw Orders'!B848,4)),VALUE(MID('Raw Orders'!B848,6,2)),VALUE(MID('Raw Orders'!B848,9,2))),DATE(VALUE(MID('Raw Orders'!B848,7,4)),VALUE(MID('Raw Orders'!B848,4,2)),VALUE(LEFT('Raw Orders'!B848,2)))))</f>
        <v>46191</v>
      </c>
      <c r="B851" s="36" t="n">
        <f aca="false">IF(A851="","",A851-WEEKDAY(A851,3))</f>
        <v>46188</v>
      </c>
      <c r="C851" s="32" t="n">
        <f aca="false">IF(OR('Raw Orders'!C848&lt;&gt;"Product",'Raw Orders'!K848="Cancelled"),0,'Raw Orders'!G848)</f>
        <v>0</v>
      </c>
      <c r="D851" s="31" t="n">
        <f aca="false">IF(AND('Raw Orders'!C848="Product",'Raw Orders'!K848="Fulfilled",COUNTIFS('Raw Orders'!$A$2:$A848,'Raw Orders'!A848,'Raw Orders'!$C$2:$C848,"Product",'Raw Orders'!$K$2:$K848,"Fulfilled")=1),1,0)</f>
        <v>0</v>
      </c>
      <c r="E851" s="31" t="n">
        <f aca="false">IF(AND('Raw Orders'!C848="Product",'Raw Orders'!K848="Fulfilled"),'Raw Orders'!E848,0)</f>
        <v>0</v>
      </c>
      <c r="F851" s="32" t="n">
        <f aca="false">IF('Raw Orders'!K848="Refunded",'Raw Orders'!G848,0)</f>
        <v>0</v>
      </c>
    </row>
    <row r="852" customFormat="false" ht="15" hidden="false" customHeight="false" outlineLevel="0" collapsed="false">
      <c r="A852" s="36" t="n">
        <f aca="false">IF('Raw Orders'!B849="","",IF(MID('Raw Orders'!B849,5,1)="-",DATE(VALUE(LEFT('Raw Orders'!B849,4)),VALUE(MID('Raw Orders'!B849,6,2)),VALUE(MID('Raw Orders'!B849,9,2))),DATE(VALUE(MID('Raw Orders'!B849,7,4)),VALUE(MID('Raw Orders'!B849,4,2)),VALUE(LEFT('Raw Orders'!B849,2)))))</f>
        <v>46192</v>
      </c>
      <c r="B852" s="36" t="n">
        <f aca="false">IF(A852="","",A852-WEEKDAY(A852,3))</f>
        <v>46188</v>
      </c>
      <c r="C852" s="32" t="n">
        <f aca="false">IF(OR('Raw Orders'!C849&lt;&gt;"Product",'Raw Orders'!K849="Cancelled"),0,'Raw Orders'!G849)</f>
        <v>22.4</v>
      </c>
      <c r="D852" s="31" t="n">
        <f aca="false">IF(AND('Raw Orders'!C849="Product",'Raw Orders'!K849="Fulfilled",COUNTIFS('Raw Orders'!$A$2:$A849,'Raw Orders'!A849,'Raw Orders'!$C$2:$C849,"Product",'Raw Orders'!$K$2:$K849,"Fulfilled")=1),1,0)</f>
        <v>1</v>
      </c>
      <c r="E852" s="31" t="n">
        <f aca="false">IF(AND('Raw Orders'!C849="Product",'Raw Orders'!K849="Fulfilled"),'Raw Orders'!E849,0)</f>
        <v>2</v>
      </c>
      <c r="F852" s="32" t="n">
        <f aca="false">IF('Raw Orders'!K849="Refunded",'Raw Orders'!G849,0)</f>
        <v>0</v>
      </c>
    </row>
    <row r="853" customFormat="false" ht="15" hidden="false" customHeight="false" outlineLevel="0" collapsed="false">
      <c r="A853" s="36" t="n">
        <f aca="false">IF('Raw Orders'!B850="","",IF(MID('Raw Orders'!B850,5,1)="-",DATE(VALUE(LEFT('Raw Orders'!B850,4)),VALUE(MID('Raw Orders'!B850,6,2)),VALUE(MID('Raw Orders'!B850,9,2))),DATE(VALUE(MID('Raw Orders'!B850,7,4)),VALUE(MID('Raw Orders'!B850,4,2)),VALUE(LEFT('Raw Orders'!B850,2)))))</f>
        <v>46192</v>
      </c>
      <c r="B853" s="36" t="n">
        <f aca="false">IF(A853="","",A853-WEEKDAY(A853,3))</f>
        <v>46188</v>
      </c>
      <c r="C853" s="32" t="n">
        <f aca="false">IF(OR('Raw Orders'!C850&lt;&gt;"Product",'Raw Orders'!K850="Cancelled"),0,'Raw Orders'!G850)</f>
        <v>39</v>
      </c>
      <c r="D853" s="31" t="n">
        <f aca="false">IF(AND('Raw Orders'!C850="Product",'Raw Orders'!K850="Fulfilled",COUNTIFS('Raw Orders'!$A$2:$A850,'Raw Orders'!A850,'Raw Orders'!$C$2:$C850,"Product",'Raw Orders'!$K$2:$K850,"Fulfilled")=1),1,0)</f>
        <v>0</v>
      </c>
      <c r="E853" s="31" t="n">
        <f aca="false">IF(AND('Raw Orders'!C850="Product",'Raw Orders'!K850="Fulfilled"),'Raw Orders'!E850,0)</f>
        <v>1</v>
      </c>
      <c r="F853" s="32" t="n">
        <f aca="false">IF('Raw Orders'!K850="Refunded",'Raw Orders'!G850,0)</f>
        <v>0</v>
      </c>
    </row>
    <row r="854" customFormat="false" ht="15" hidden="false" customHeight="false" outlineLevel="0" collapsed="false">
      <c r="A854" s="36" t="n">
        <f aca="false">IF('Raw Orders'!B851="","",IF(MID('Raw Orders'!B851,5,1)="-",DATE(VALUE(LEFT('Raw Orders'!B851,4)),VALUE(MID('Raw Orders'!B851,6,2)),VALUE(MID('Raw Orders'!B851,9,2))),DATE(VALUE(MID('Raw Orders'!B851,7,4)),VALUE(MID('Raw Orders'!B851,4,2)),VALUE(LEFT('Raw Orders'!B851,2)))))</f>
        <v>46192</v>
      </c>
      <c r="B854" s="36" t="n">
        <f aca="false">IF(A854="","",A854-WEEKDAY(A854,3))</f>
        <v>46188</v>
      </c>
      <c r="C854" s="32" t="n">
        <f aca="false">IF(OR('Raw Orders'!C851&lt;&gt;"Product",'Raw Orders'!K851="Cancelled"),0,'Raw Orders'!G851)</f>
        <v>0</v>
      </c>
      <c r="D854" s="31" t="n">
        <f aca="false">IF(AND('Raw Orders'!C851="Product",'Raw Orders'!K851="Fulfilled",COUNTIFS('Raw Orders'!$A$2:$A851,'Raw Orders'!A851,'Raw Orders'!$C$2:$C851,"Product",'Raw Orders'!$K$2:$K851,"Fulfilled")=1),1,0)</f>
        <v>0</v>
      </c>
      <c r="E854" s="31" t="n">
        <f aca="false">IF(AND('Raw Orders'!C851="Product",'Raw Orders'!K851="Fulfilled"),'Raw Orders'!E851,0)</f>
        <v>0</v>
      </c>
      <c r="F854" s="32" t="n">
        <f aca="false">IF('Raw Orders'!K851="Refunded",'Raw Orders'!G851,0)</f>
        <v>0</v>
      </c>
    </row>
    <row r="855" customFormat="false" ht="15" hidden="false" customHeight="false" outlineLevel="0" collapsed="false">
      <c r="A855" s="36" t="n">
        <f aca="false">IF('Raw Orders'!B852="","",IF(MID('Raw Orders'!B852,5,1)="-",DATE(VALUE(LEFT('Raw Orders'!B852,4)),VALUE(MID('Raw Orders'!B852,6,2)),VALUE(MID('Raw Orders'!B852,9,2))),DATE(VALUE(MID('Raw Orders'!B852,7,4)),VALUE(MID('Raw Orders'!B852,4,2)),VALUE(LEFT('Raw Orders'!B852,2)))))</f>
        <v>46192</v>
      </c>
      <c r="B855" s="36" t="n">
        <f aca="false">IF(A855="","",A855-WEEKDAY(A855,3))</f>
        <v>46188</v>
      </c>
      <c r="C855" s="32" t="n">
        <f aca="false">IF(OR('Raw Orders'!C852&lt;&gt;"Product",'Raw Orders'!K852="Cancelled"),0,'Raw Orders'!G852)</f>
        <v>39</v>
      </c>
      <c r="D855" s="31" t="n">
        <f aca="false">IF(AND('Raw Orders'!C852="Product",'Raw Orders'!K852="Fulfilled",COUNTIFS('Raw Orders'!$A$2:$A852,'Raw Orders'!A852,'Raw Orders'!$C$2:$C852,"Product",'Raw Orders'!$K$2:$K852,"Fulfilled")=1),1,0)</f>
        <v>0</v>
      </c>
      <c r="E855" s="31" t="n">
        <f aca="false">IF(AND('Raw Orders'!C852="Product",'Raw Orders'!K852="Fulfilled"),'Raw Orders'!E852,0)</f>
        <v>1</v>
      </c>
      <c r="F855" s="32" t="n">
        <f aca="false">IF('Raw Orders'!K852="Refunded",'Raw Orders'!G852,0)</f>
        <v>0</v>
      </c>
    </row>
    <row r="856" customFormat="false" ht="15" hidden="false" customHeight="false" outlineLevel="0" collapsed="false">
      <c r="A856" s="36" t="n">
        <f aca="false">IF('Raw Orders'!B853="","",IF(MID('Raw Orders'!B853,5,1)="-",DATE(VALUE(LEFT('Raw Orders'!B853,4)),VALUE(MID('Raw Orders'!B853,6,2)),VALUE(MID('Raw Orders'!B853,9,2))),DATE(VALUE(MID('Raw Orders'!B853,7,4)),VALUE(MID('Raw Orders'!B853,4,2)),VALUE(LEFT('Raw Orders'!B853,2)))))</f>
        <v>46192</v>
      </c>
      <c r="B856" s="36" t="n">
        <f aca="false">IF(A856="","",A856-WEEKDAY(A856,3))</f>
        <v>46188</v>
      </c>
      <c r="C856" s="32" t="n">
        <f aca="false">IF(OR('Raw Orders'!C853&lt;&gt;"Product",'Raw Orders'!K853="Cancelled"),0,'Raw Orders'!G853)</f>
        <v>0</v>
      </c>
      <c r="D856" s="31" t="n">
        <f aca="false">IF(AND('Raw Orders'!C853="Product",'Raw Orders'!K853="Fulfilled",COUNTIFS('Raw Orders'!$A$2:$A853,'Raw Orders'!A853,'Raw Orders'!$C$2:$C853,"Product",'Raw Orders'!$K$2:$K853,"Fulfilled")=1),1,0)</f>
        <v>0</v>
      </c>
      <c r="E856" s="31" t="n">
        <f aca="false">IF(AND('Raw Orders'!C853="Product",'Raw Orders'!K853="Fulfilled"),'Raw Orders'!E853,0)</f>
        <v>0</v>
      </c>
      <c r="F856" s="32" t="n">
        <f aca="false">IF('Raw Orders'!K853="Refunded",'Raw Orders'!G853,0)</f>
        <v>0</v>
      </c>
    </row>
    <row r="857" customFormat="false" ht="15" hidden="false" customHeight="false" outlineLevel="0" collapsed="false">
      <c r="A857" s="36" t="n">
        <f aca="false">IF('Raw Orders'!B854="","",IF(MID('Raw Orders'!B854,5,1)="-",DATE(VALUE(LEFT('Raw Orders'!B854,4)),VALUE(MID('Raw Orders'!B854,6,2)),VALUE(MID('Raw Orders'!B854,9,2))),DATE(VALUE(MID('Raw Orders'!B854,7,4)),VALUE(MID('Raw Orders'!B854,4,2)),VALUE(LEFT('Raw Orders'!B854,2)))))</f>
        <v>46192</v>
      </c>
      <c r="B857" s="36" t="n">
        <f aca="false">IF(A857="","",A857-WEEKDAY(A857,3))</f>
        <v>46188</v>
      </c>
      <c r="C857" s="32" t="n">
        <f aca="false">IF(OR('Raw Orders'!C854&lt;&gt;"Product",'Raw Orders'!K854="Cancelled"),0,'Raw Orders'!G854)</f>
        <v>26</v>
      </c>
      <c r="D857" s="31" t="n">
        <f aca="false">IF(AND('Raw Orders'!C854="Product",'Raw Orders'!K854="Fulfilled",COUNTIFS('Raw Orders'!$A$2:$A854,'Raw Orders'!A854,'Raw Orders'!$C$2:$C854,"Product",'Raw Orders'!$K$2:$K854,"Fulfilled")=1),1,0)</f>
        <v>1</v>
      </c>
      <c r="E857" s="31" t="n">
        <f aca="false">IF(AND('Raw Orders'!C854="Product",'Raw Orders'!K854="Fulfilled"),'Raw Orders'!E854,0)</f>
        <v>1</v>
      </c>
      <c r="F857" s="32" t="n">
        <f aca="false">IF('Raw Orders'!K854="Refunded",'Raw Orders'!G854,0)</f>
        <v>0</v>
      </c>
    </row>
    <row r="858" customFormat="false" ht="15" hidden="false" customHeight="false" outlineLevel="0" collapsed="false">
      <c r="A858" s="36" t="n">
        <f aca="false">IF('Raw Orders'!B855="","",IF(MID('Raw Orders'!B855,5,1)="-",DATE(VALUE(LEFT('Raw Orders'!B855,4)),VALUE(MID('Raw Orders'!B855,6,2)),VALUE(MID('Raw Orders'!B855,9,2))),DATE(VALUE(MID('Raw Orders'!B855,7,4)),VALUE(MID('Raw Orders'!B855,4,2)),VALUE(LEFT('Raw Orders'!B855,2)))))</f>
        <v>46192</v>
      </c>
      <c r="B858" s="36" t="n">
        <f aca="false">IF(A858="","",A858-WEEKDAY(A858,3))</f>
        <v>46188</v>
      </c>
      <c r="C858" s="32" t="n">
        <f aca="false">IF(OR('Raw Orders'!C855&lt;&gt;"Product",'Raw Orders'!K855="Cancelled"),0,'Raw Orders'!G855)</f>
        <v>45</v>
      </c>
      <c r="D858" s="31" t="n">
        <f aca="false">IF(AND('Raw Orders'!C855="Product",'Raw Orders'!K855="Fulfilled",COUNTIFS('Raw Orders'!$A$2:$A855,'Raw Orders'!A855,'Raw Orders'!$C$2:$C855,"Product",'Raw Orders'!$K$2:$K855,"Fulfilled")=1),1,0)</f>
        <v>0</v>
      </c>
      <c r="E858" s="31" t="n">
        <f aca="false">IF(AND('Raw Orders'!C855="Product",'Raw Orders'!K855="Fulfilled"),'Raw Orders'!E855,0)</f>
        <v>1</v>
      </c>
      <c r="F858" s="32" t="n">
        <f aca="false">IF('Raw Orders'!K855="Refunded",'Raw Orders'!G855,0)</f>
        <v>0</v>
      </c>
    </row>
    <row r="859" customFormat="false" ht="15" hidden="false" customHeight="false" outlineLevel="0" collapsed="false">
      <c r="A859" s="36" t="n">
        <f aca="false">IF('Raw Orders'!B856="","",IF(MID('Raw Orders'!B856,5,1)="-",DATE(VALUE(LEFT('Raw Orders'!B856,4)),VALUE(MID('Raw Orders'!B856,6,2)),VALUE(MID('Raw Orders'!B856,9,2))),DATE(VALUE(MID('Raw Orders'!B856,7,4)),VALUE(MID('Raw Orders'!B856,4,2)),VALUE(LEFT('Raw Orders'!B856,2)))))</f>
        <v>46192</v>
      </c>
      <c r="B859" s="36" t="n">
        <f aca="false">IF(A859="","",A859-WEEKDAY(A859,3))</f>
        <v>46188</v>
      </c>
      <c r="C859" s="32" t="n">
        <f aca="false">IF(OR('Raw Orders'!C856&lt;&gt;"Product",'Raw Orders'!K856="Cancelled"),0,'Raw Orders'!G856)</f>
        <v>32</v>
      </c>
      <c r="D859" s="31" t="n">
        <f aca="false">IF(AND('Raw Orders'!C856="Product",'Raw Orders'!K856="Fulfilled",COUNTIFS('Raw Orders'!$A$2:$A856,'Raw Orders'!A856,'Raw Orders'!$C$2:$C856,"Product",'Raw Orders'!$K$2:$K856,"Fulfilled")=1),1,0)</f>
        <v>0</v>
      </c>
      <c r="E859" s="31" t="n">
        <f aca="false">IF(AND('Raw Orders'!C856="Product",'Raw Orders'!K856="Fulfilled"),'Raw Orders'!E856,0)</f>
        <v>1</v>
      </c>
      <c r="F859" s="32" t="n">
        <f aca="false">IF('Raw Orders'!K856="Refunded",'Raw Orders'!G856,0)</f>
        <v>0</v>
      </c>
    </row>
    <row r="860" customFormat="false" ht="15" hidden="false" customHeight="false" outlineLevel="0" collapsed="false">
      <c r="A860" s="36" t="n">
        <f aca="false">IF('Raw Orders'!B857="","",IF(MID('Raw Orders'!B857,5,1)="-",DATE(VALUE(LEFT('Raw Orders'!B857,4)),VALUE(MID('Raw Orders'!B857,6,2)),VALUE(MID('Raw Orders'!B857,9,2))),DATE(VALUE(MID('Raw Orders'!B857,7,4)),VALUE(MID('Raw Orders'!B857,4,2)),VALUE(LEFT('Raw Orders'!B857,2)))))</f>
        <v>46192</v>
      </c>
      <c r="B860" s="36" t="n">
        <f aca="false">IF(A860="","",A860-WEEKDAY(A860,3))</f>
        <v>46188</v>
      </c>
      <c r="C860" s="32" t="n">
        <f aca="false">IF(OR('Raw Orders'!C857&lt;&gt;"Product",'Raw Orders'!K857="Cancelled"),0,'Raw Orders'!G857)</f>
        <v>58</v>
      </c>
      <c r="D860" s="31" t="n">
        <f aca="false">IF(AND('Raw Orders'!C857="Product",'Raw Orders'!K857="Fulfilled",COUNTIFS('Raw Orders'!$A$2:$A857,'Raw Orders'!A857,'Raw Orders'!$C$2:$C857,"Product",'Raw Orders'!$K$2:$K857,"Fulfilled")=1),1,0)</f>
        <v>1</v>
      </c>
      <c r="E860" s="31" t="n">
        <f aca="false">IF(AND('Raw Orders'!C857="Product",'Raw Orders'!K857="Fulfilled"),'Raw Orders'!E857,0)</f>
        <v>2</v>
      </c>
      <c r="F860" s="32" t="n">
        <f aca="false">IF('Raw Orders'!K857="Refunded",'Raw Orders'!G857,0)</f>
        <v>0</v>
      </c>
    </row>
    <row r="861" customFormat="false" ht="15" hidden="false" customHeight="false" outlineLevel="0" collapsed="false">
      <c r="A861" s="36" t="n">
        <f aca="false">IF('Raw Orders'!B858="","",IF(MID('Raw Orders'!B858,5,1)="-",DATE(VALUE(LEFT('Raw Orders'!B858,4)),VALUE(MID('Raw Orders'!B858,6,2)),VALUE(MID('Raw Orders'!B858,9,2))),DATE(VALUE(MID('Raw Orders'!B858,7,4)),VALUE(MID('Raw Orders'!B858,4,2)),VALUE(LEFT('Raw Orders'!B858,2)))))</f>
        <v>46192</v>
      </c>
      <c r="B861" s="36" t="n">
        <f aca="false">IF(A861="","",A861-WEEKDAY(A861,3))</f>
        <v>46188</v>
      </c>
      <c r="C861" s="32" t="n">
        <f aca="false">IF(OR('Raw Orders'!C858&lt;&gt;"Product",'Raw Orders'!K858="Cancelled"),0,'Raw Orders'!G858)</f>
        <v>45</v>
      </c>
      <c r="D861" s="31" t="n">
        <f aca="false">IF(AND('Raw Orders'!C858="Product",'Raw Orders'!K858="Fulfilled",COUNTIFS('Raw Orders'!$A$2:$A858,'Raw Orders'!A858,'Raw Orders'!$C$2:$C858,"Product",'Raw Orders'!$K$2:$K858,"Fulfilled")=1),1,0)</f>
        <v>0</v>
      </c>
      <c r="E861" s="31" t="n">
        <f aca="false">IF(AND('Raw Orders'!C858="Product",'Raw Orders'!K858="Fulfilled"),'Raw Orders'!E858,0)</f>
        <v>1</v>
      </c>
      <c r="F861" s="32" t="n">
        <f aca="false">IF('Raw Orders'!K858="Refunded",'Raw Orders'!G858,0)</f>
        <v>0</v>
      </c>
    </row>
    <row r="862" customFormat="false" ht="15" hidden="false" customHeight="false" outlineLevel="0" collapsed="false">
      <c r="A862" s="36" t="n">
        <f aca="false">IF('Raw Orders'!B859="","",IF(MID('Raw Orders'!B859,5,1)="-",DATE(VALUE(LEFT('Raw Orders'!B859,4)),VALUE(MID('Raw Orders'!B859,6,2)),VALUE(MID('Raw Orders'!B859,9,2))),DATE(VALUE(MID('Raw Orders'!B859,7,4)),VALUE(MID('Raw Orders'!B859,4,2)),VALUE(LEFT('Raw Orders'!B859,2)))))</f>
        <v>46192</v>
      </c>
      <c r="B862" s="36" t="n">
        <f aca="false">IF(A862="","",A862-WEEKDAY(A862,3))</f>
        <v>46188</v>
      </c>
      <c r="C862" s="32" t="n">
        <f aca="false">IF(OR('Raw Orders'!C859&lt;&gt;"Product",'Raw Orders'!K859="Cancelled"),0,'Raw Orders'!G859)</f>
        <v>0</v>
      </c>
      <c r="D862" s="31" t="n">
        <f aca="false">IF(AND('Raw Orders'!C859="Product",'Raw Orders'!K859="Fulfilled",COUNTIFS('Raw Orders'!$A$2:$A859,'Raw Orders'!A859,'Raw Orders'!$C$2:$C859,"Product",'Raw Orders'!$K$2:$K859,"Fulfilled")=1),1,0)</f>
        <v>0</v>
      </c>
      <c r="E862" s="31" t="n">
        <f aca="false">IF(AND('Raw Orders'!C859="Product",'Raw Orders'!K859="Fulfilled"),'Raw Orders'!E859,0)</f>
        <v>0</v>
      </c>
      <c r="F862" s="32" t="n">
        <f aca="false">IF('Raw Orders'!K859="Refunded",'Raw Orders'!G859,0)</f>
        <v>0</v>
      </c>
    </row>
    <row r="863" customFormat="false" ht="15" hidden="false" customHeight="false" outlineLevel="0" collapsed="false">
      <c r="A863" s="36" t="n">
        <f aca="false">IF('Raw Orders'!B860="","",IF(MID('Raw Orders'!B860,5,1)="-",DATE(VALUE(LEFT('Raw Orders'!B860,4)),VALUE(MID('Raw Orders'!B860,6,2)),VALUE(MID('Raw Orders'!B860,9,2))),DATE(VALUE(MID('Raw Orders'!B860,7,4)),VALUE(MID('Raw Orders'!B860,4,2)),VALUE(LEFT('Raw Orders'!B860,2)))))</f>
        <v>46192</v>
      </c>
      <c r="B863" s="36" t="n">
        <f aca="false">IF(A863="","",A863-WEEKDAY(A863,3))</f>
        <v>46188</v>
      </c>
      <c r="C863" s="32" t="n">
        <f aca="false">IF(OR('Raw Orders'!C860&lt;&gt;"Product",'Raw Orders'!K860="Cancelled"),0,'Raw Orders'!G860)</f>
        <v>69</v>
      </c>
      <c r="D863" s="31" t="n">
        <f aca="false">IF(AND('Raw Orders'!C860="Product",'Raw Orders'!K860="Fulfilled",COUNTIFS('Raw Orders'!$A$2:$A860,'Raw Orders'!A860,'Raw Orders'!$C$2:$C860,"Product",'Raw Orders'!$K$2:$K860,"Fulfilled")=1),1,0)</f>
        <v>1</v>
      </c>
      <c r="E863" s="31" t="n">
        <f aca="false">IF(AND('Raw Orders'!C860="Product",'Raw Orders'!K860="Fulfilled"),'Raw Orders'!E860,0)</f>
        <v>1</v>
      </c>
      <c r="F863" s="32" t="n">
        <f aca="false">IF('Raw Orders'!K860="Refunded",'Raw Orders'!G860,0)</f>
        <v>0</v>
      </c>
    </row>
    <row r="864" customFormat="false" ht="15" hidden="false" customHeight="false" outlineLevel="0" collapsed="false">
      <c r="A864" s="36" t="n">
        <f aca="false">IF('Raw Orders'!B861="","",IF(MID('Raw Orders'!B861,5,1)="-",DATE(VALUE(LEFT('Raw Orders'!B861,4)),VALUE(MID('Raw Orders'!B861,6,2)),VALUE(MID('Raw Orders'!B861,9,2))),DATE(VALUE(MID('Raw Orders'!B861,7,4)),VALUE(MID('Raw Orders'!B861,4,2)),VALUE(LEFT('Raw Orders'!B861,2)))))</f>
        <v>46192</v>
      </c>
      <c r="B864" s="36" t="n">
        <f aca="false">IF(A864="","",A864-WEEKDAY(A864,3))</f>
        <v>46188</v>
      </c>
      <c r="C864" s="32" t="n">
        <f aca="false">IF(OR('Raw Orders'!C861&lt;&gt;"Product",'Raw Orders'!K861="Cancelled"),0,'Raw Orders'!G861)</f>
        <v>29</v>
      </c>
      <c r="D864" s="31" t="n">
        <f aca="false">IF(AND('Raw Orders'!C861="Product",'Raw Orders'!K861="Fulfilled",COUNTIFS('Raw Orders'!$A$2:$A861,'Raw Orders'!A861,'Raw Orders'!$C$2:$C861,"Product",'Raw Orders'!$K$2:$K861,"Fulfilled")=1),1,0)</f>
        <v>1</v>
      </c>
      <c r="E864" s="31" t="n">
        <f aca="false">IF(AND('Raw Orders'!C861="Product",'Raw Orders'!K861="Fulfilled"),'Raw Orders'!E861,0)</f>
        <v>1</v>
      </c>
      <c r="F864" s="32" t="n">
        <f aca="false">IF('Raw Orders'!K861="Refunded",'Raw Orders'!G861,0)</f>
        <v>0</v>
      </c>
    </row>
    <row r="865" customFormat="false" ht="15" hidden="false" customHeight="false" outlineLevel="0" collapsed="false">
      <c r="A865" s="36" t="n">
        <f aca="false">IF('Raw Orders'!B862="","",IF(MID('Raw Orders'!B862,5,1)="-",DATE(VALUE(LEFT('Raw Orders'!B862,4)),VALUE(MID('Raw Orders'!B862,6,2)),VALUE(MID('Raw Orders'!B862,9,2))),DATE(VALUE(MID('Raw Orders'!B862,7,4)),VALUE(MID('Raw Orders'!B862,4,2)),VALUE(LEFT('Raw Orders'!B862,2)))))</f>
        <v>46192</v>
      </c>
      <c r="B865" s="36" t="n">
        <f aca="false">IF(A865="","",A865-WEEKDAY(A865,3))</f>
        <v>46188</v>
      </c>
      <c r="C865" s="32" t="n">
        <f aca="false">IF(OR('Raw Orders'!C862&lt;&gt;"Product",'Raw Orders'!K862="Cancelled"),0,'Raw Orders'!G862)</f>
        <v>0</v>
      </c>
      <c r="D865" s="31" t="n">
        <f aca="false">IF(AND('Raw Orders'!C862="Product",'Raw Orders'!K862="Fulfilled",COUNTIFS('Raw Orders'!$A$2:$A862,'Raw Orders'!A862,'Raw Orders'!$C$2:$C862,"Product",'Raw Orders'!$K$2:$K862,"Fulfilled")=1),1,0)</f>
        <v>0</v>
      </c>
      <c r="E865" s="31" t="n">
        <f aca="false">IF(AND('Raw Orders'!C862="Product",'Raw Orders'!K862="Fulfilled"),'Raw Orders'!E862,0)</f>
        <v>0</v>
      </c>
      <c r="F865" s="32" t="n">
        <f aca="false">IF('Raw Orders'!K862="Refunded",'Raw Orders'!G862,0)</f>
        <v>0</v>
      </c>
    </row>
    <row r="866" customFormat="false" ht="15" hidden="false" customHeight="false" outlineLevel="0" collapsed="false">
      <c r="A866" s="36" t="n">
        <f aca="false">IF('Raw Orders'!B863="","",IF(MID('Raw Orders'!B863,5,1)="-",DATE(VALUE(LEFT('Raw Orders'!B863,4)),VALUE(MID('Raw Orders'!B863,6,2)),VALUE(MID('Raw Orders'!B863,9,2))),DATE(VALUE(MID('Raw Orders'!B863,7,4)),VALUE(MID('Raw Orders'!B863,4,2)),VALUE(LEFT('Raw Orders'!B863,2)))))</f>
        <v>46192</v>
      </c>
      <c r="B866" s="36" t="n">
        <f aca="false">IF(A866="","",A866-WEEKDAY(A866,3))</f>
        <v>46188</v>
      </c>
      <c r="C866" s="32" t="n">
        <f aca="false">IF(OR('Raw Orders'!C863&lt;&gt;"Product",'Raw Orders'!K863="Cancelled"),0,'Raw Orders'!G863)</f>
        <v>75</v>
      </c>
      <c r="D866" s="31" t="n">
        <f aca="false">IF(AND('Raw Orders'!C863="Product",'Raw Orders'!K863="Fulfilled",COUNTIFS('Raw Orders'!$A$2:$A863,'Raw Orders'!A863,'Raw Orders'!$C$2:$C863,"Product",'Raw Orders'!$K$2:$K863,"Fulfilled")=1),1,0)</f>
        <v>0</v>
      </c>
      <c r="E866" s="31" t="n">
        <f aca="false">IF(AND('Raw Orders'!C863="Product",'Raw Orders'!K863="Fulfilled"),'Raw Orders'!E863,0)</f>
        <v>1</v>
      </c>
      <c r="F866" s="32" t="n">
        <f aca="false">IF('Raw Orders'!K863="Refunded",'Raw Orders'!G863,0)</f>
        <v>0</v>
      </c>
    </row>
    <row r="867" customFormat="false" ht="15" hidden="false" customHeight="false" outlineLevel="0" collapsed="false">
      <c r="A867" s="36" t="n">
        <f aca="false">IF('Raw Orders'!B864="","",IF(MID('Raw Orders'!B864,5,1)="-",DATE(VALUE(LEFT('Raw Orders'!B864,4)),VALUE(MID('Raw Orders'!B864,6,2)),VALUE(MID('Raw Orders'!B864,9,2))),DATE(VALUE(MID('Raw Orders'!B864,7,4)),VALUE(MID('Raw Orders'!B864,4,2)),VALUE(LEFT('Raw Orders'!B864,2)))))</f>
        <v>46193</v>
      </c>
      <c r="B867" s="36" t="n">
        <f aca="false">IF(A867="","",A867-WEEKDAY(A867,3))</f>
        <v>46188</v>
      </c>
      <c r="C867" s="32" t="n">
        <f aca="false">IF(OR('Raw Orders'!C864&lt;&gt;"Product",'Raw Orders'!K864="Cancelled"),0,'Raw Orders'!G864)</f>
        <v>0</v>
      </c>
      <c r="D867" s="31" t="n">
        <f aca="false">IF(AND('Raw Orders'!C864="Product",'Raw Orders'!K864="Fulfilled",COUNTIFS('Raw Orders'!$A$2:$A864,'Raw Orders'!A864,'Raw Orders'!$C$2:$C864,"Product",'Raw Orders'!$K$2:$K864,"Fulfilled")=1),1,0)</f>
        <v>0</v>
      </c>
      <c r="E867" s="31" t="n">
        <f aca="false">IF(AND('Raw Orders'!C864="Product",'Raw Orders'!K864="Fulfilled"),'Raw Orders'!E864,0)</f>
        <v>0</v>
      </c>
      <c r="F867" s="32" t="n">
        <f aca="false">IF('Raw Orders'!K864="Refunded",'Raw Orders'!G864,0)</f>
        <v>0</v>
      </c>
    </row>
    <row r="868" customFormat="false" ht="15" hidden="false" customHeight="false" outlineLevel="0" collapsed="false">
      <c r="A868" s="36" t="n">
        <f aca="false">IF('Raw Orders'!B865="","",IF(MID('Raw Orders'!B865,5,1)="-",DATE(VALUE(LEFT('Raw Orders'!B865,4)),VALUE(MID('Raw Orders'!B865,6,2)),VALUE(MID('Raw Orders'!B865,9,2))),DATE(VALUE(MID('Raw Orders'!B865,7,4)),VALUE(MID('Raw Orders'!B865,4,2)),VALUE(LEFT('Raw Orders'!B865,2)))))</f>
        <v>46193</v>
      </c>
      <c r="B868" s="36" t="n">
        <f aca="false">IF(A868="","",A868-WEEKDAY(A868,3))</f>
        <v>46188</v>
      </c>
      <c r="C868" s="32" t="n">
        <f aca="false">IF(OR('Raw Orders'!C865&lt;&gt;"Product",'Raw Orders'!K865="Cancelled"),0,'Raw Orders'!G865)</f>
        <v>58</v>
      </c>
      <c r="D868" s="31" t="n">
        <f aca="false">IF(AND('Raw Orders'!C865="Product",'Raw Orders'!K865="Fulfilled",COUNTIFS('Raw Orders'!$A$2:$A865,'Raw Orders'!A865,'Raw Orders'!$C$2:$C865,"Product",'Raw Orders'!$K$2:$K865,"Fulfilled")=1),1,0)</f>
        <v>1</v>
      </c>
      <c r="E868" s="31" t="n">
        <f aca="false">IF(AND('Raw Orders'!C865="Product",'Raw Orders'!K865="Fulfilled"),'Raw Orders'!E865,0)</f>
        <v>2</v>
      </c>
      <c r="F868" s="32" t="n">
        <f aca="false">IF('Raw Orders'!K865="Refunded",'Raw Orders'!G865,0)</f>
        <v>0</v>
      </c>
    </row>
    <row r="869" customFormat="false" ht="15" hidden="false" customHeight="false" outlineLevel="0" collapsed="false">
      <c r="A869" s="36" t="n">
        <f aca="false">IF('Raw Orders'!B866="","",IF(MID('Raw Orders'!B866,5,1)="-",DATE(VALUE(LEFT('Raw Orders'!B866,4)),VALUE(MID('Raw Orders'!B866,6,2)),VALUE(MID('Raw Orders'!B866,9,2))),DATE(VALUE(MID('Raw Orders'!B866,7,4)),VALUE(MID('Raw Orders'!B866,4,2)),VALUE(LEFT('Raw Orders'!B866,2)))))</f>
        <v>46193</v>
      </c>
      <c r="B869" s="36" t="n">
        <f aca="false">IF(A869="","",A869-WEEKDAY(A869,3))</f>
        <v>46188</v>
      </c>
      <c r="C869" s="32" t="n">
        <f aca="false">IF(OR('Raw Orders'!C866&lt;&gt;"Product",'Raw Orders'!K866="Cancelled"),0,'Raw Orders'!G866)</f>
        <v>138</v>
      </c>
      <c r="D869" s="31" t="n">
        <f aca="false">IF(AND('Raw Orders'!C866="Product",'Raw Orders'!K866="Fulfilled",COUNTIFS('Raw Orders'!$A$2:$A866,'Raw Orders'!A866,'Raw Orders'!$C$2:$C866,"Product",'Raw Orders'!$K$2:$K866,"Fulfilled")=1),1,0)</f>
        <v>1</v>
      </c>
      <c r="E869" s="31" t="n">
        <f aca="false">IF(AND('Raw Orders'!C866="Product",'Raw Orders'!K866="Fulfilled"),'Raw Orders'!E866,0)</f>
        <v>2</v>
      </c>
      <c r="F869" s="32" t="n">
        <f aca="false">IF('Raw Orders'!K866="Refunded",'Raw Orders'!G866,0)</f>
        <v>0</v>
      </c>
    </row>
    <row r="870" customFormat="false" ht="15" hidden="false" customHeight="false" outlineLevel="0" collapsed="false">
      <c r="A870" s="36" t="n">
        <f aca="false">IF('Raw Orders'!B867="","",IF(MID('Raw Orders'!B867,5,1)="-",DATE(VALUE(LEFT('Raw Orders'!B867,4)),VALUE(MID('Raw Orders'!B867,6,2)),VALUE(MID('Raw Orders'!B867,9,2))),DATE(VALUE(MID('Raw Orders'!B867,7,4)),VALUE(MID('Raw Orders'!B867,4,2)),VALUE(LEFT('Raw Orders'!B867,2)))))</f>
        <v>46193</v>
      </c>
      <c r="B870" s="36" t="n">
        <f aca="false">IF(A870="","",A870-WEEKDAY(A870,3))</f>
        <v>46188</v>
      </c>
      <c r="C870" s="32" t="n">
        <f aca="false">IF(OR('Raw Orders'!C867&lt;&gt;"Product",'Raw Orders'!K867="Cancelled"),0,'Raw Orders'!G867)</f>
        <v>0</v>
      </c>
      <c r="D870" s="31" t="n">
        <f aca="false">IF(AND('Raw Orders'!C867="Product",'Raw Orders'!K867="Fulfilled",COUNTIFS('Raw Orders'!$A$2:$A867,'Raw Orders'!A867,'Raw Orders'!$C$2:$C867,"Product",'Raw Orders'!$K$2:$K867,"Fulfilled")=1),1,0)</f>
        <v>0</v>
      </c>
      <c r="E870" s="31" t="n">
        <f aca="false">IF(AND('Raw Orders'!C867="Product",'Raw Orders'!K867="Fulfilled"),'Raw Orders'!E867,0)</f>
        <v>0</v>
      </c>
      <c r="F870" s="32" t="n">
        <f aca="false">IF('Raw Orders'!K867="Refunded",'Raw Orders'!G867,0)</f>
        <v>0</v>
      </c>
    </row>
    <row r="871" customFormat="false" ht="15" hidden="false" customHeight="false" outlineLevel="0" collapsed="false">
      <c r="A871" s="36" t="n">
        <f aca="false">IF('Raw Orders'!B868="","",IF(MID('Raw Orders'!B868,5,1)="-",DATE(VALUE(LEFT('Raw Orders'!B868,4)),VALUE(MID('Raw Orders'!B868,6,2)),VALUE(MID('Raw Orders'!B868,9,2))),DATE(VALUE(MID('Raw Orders'!B868,7,4)),VALUE(MID('Raw Orders'!B868,4,2)),VALUE(LEFT('Raw Orders'!B868,2)))))</f>
        <v>46193</v>
      </c>
      <c r="B871" s="36" t="n">
        <f aca="false">IF(A871="","",A871-WEEKDAY(A871,3))</f>
        <v>46188</v>
      </c>
      <c r="C871" s="32" t="n">
        <f aca="false">IF(OR('Raw Orders'!C868&lt;&gt;"Product",'Raw Orders'!K868="Cancelled"),0,'Raw Orders'!G868)</f>
        <v>70</v>
      </c>
      <c r="D871" s="31" t="n">
        <f aca="false">IF(AND('Raw Orders'!C868="Product",'Raw Orders'!K868="Fulfilled",COUNTIFS('Raw Orders'!$A$2:$A868,'Raw Orders'!A868,'Raw Orders'!$C$2:$C868,"Product",'Raw Orders'!$K$2:$K868,"Fulfilled")=1),1,0)</f>
        <v>0</v>
      </c>
      <c r="E871" s="31" t="n">
        <f aca="false">IF(AND('Raw Orders'!C868="Product",'Raw Orders'!K868="Fulfilled"),'Raw Orders'!E868,0)</f>
        <v>2</v>
      </c>
      <c r="F871" s="32" t="n">
        <f aca="false">IF('Raw Orders'!K868="Refunded",'Raw Orders'!G868,0)</f>
        <v>0</v>
      </c>
    </row>
    <row r="872" customFormat="false" ht="15" hidden="false" customHeight="false" outlineLevel="0" collapsed="false">
      <c r="A872" s="36" t="n">
        <f aca="false">IF('Raw Orders'!B869="","",IF(MID('Raw Orders'!B869,5,1)="-",DATE(VALUE(LEFT('Raw Orders'!B869,4)),VALUE(MID('Raw Orders'!B869,6,2)),VALUE(MID('Raw Orders'!B869,9,2))),DATE(VALUE(MID('Raw Orders'!B869,7,4)),VALUE(MID('Raw Orders'!B869,4,2)),VALUE(LEFT('Raw Orders'!B869,2)))))</f>
        <v>46193</v>
      </c>
      <c r="B872" s="36" t="n">
        <f aca="false">IF(A872="","",A872-WEEKDAY(A872,3))</f>
        <v>46188</v>
      </c>
      <c r="C872" s="32" t="n">
        <f aca="false">IF(OR('Raw Orders'!C869&lt;&gt;"Product",'Raw Orders'!K869="Cancelled"),0,'Raw Orders'!G869)</f>
        <v>29</v>
      </c>
      <c r="D872" s="31" t="n">
        <f aca="false">IF(AND('Raw Orders'!C869="Product",'Raw Orders'!K869="Fulfilled",COUNTIFS('Raw Orders'!$A$2:$A869,'Raw Orders'!A869,'Raw Orders'!$C$2:$C869,"Product",'Raw Orders'!$K$2:$K869,"Fulfilled")=1),1,0)</f>
        <v>1</v>
      </c>
      <c r="E872" s="31" t="n">
        <f aca="false">IF(AND('Raw Orders'!C869="Product",'Raw Orders'!K869="Fulfilled"),'Raw Orders'!E869,0)</f>
        <v>1</v>
      </c>
      <c r="F872" s="32" t="n">
        <f aca="false">IF('Raw Orders'!K869="Refunded",'Raw Orders'!G869,0)</f>
        <v>0</v>
      </c>
    </row>
    <row r="873" customFormat="false" ht="15" hidden="false" customHeight="false" outlineLevel="0" collapsed="false">
      <c r="A873" s="36" t="n">
        <f aca="false">IF('Raw Orders'!B870="","",IF(MID('Raw Orders'!B870,5,1)="-",DATE(VALUE(LEFT('Raw Orders'!B870,4)),VALUE(MID('Raw Orders'!B870,6,2)),VALUE(MID('Raw Orders'!B870,9,2))),DATE(VALUE(MID('Raw Orders'!B870,7,4)),VALUE(MID('Raw Orders'!B870,4,2)),VALUE(LEFT('Raw Orders'!B870,2)))))</f>
        <v>46193</v>
      </c>
      <c r="B873" s="36" t="n">
        <f aca="false">IF(A873="","",A873-WEEKDAY(A873,3))</f>
        <v>46188</v>
      </c>
      <c r="C873" s="32" t="n">
        <f aca="false">IF(OR('Raw Orders'!C870&lt;&gt;"Product",'Raw Orders'!K870="Cancelled"),0,'Raw Orders'!G870)</f>
        <v>0</v>
      </c>
      <c r="D873" s="31" t="n">
        <f aca="false">IF(AND('Raw Orders'!C870="Product",'Raw Orders'!K870="Fulfilled",COUNTIFS('Raw Orders'!$A$2:$A870,'Raw Orders'!A870,'Raw Orders'!$C$2:$C870,"Product",'Raw Orders'!$K$2:$K870,"Fulfilled")=1),1,0)</f>
        <v>0</v>
      </c>
      <c r="E873" s="31" t="n">
        <f aca="false">IF(AND('Raw Orders'!C870="Product",'Raw Orders'!K870="Fulfilled"),'Raw Orders'!E870,0)</f>
        <v>0</v>
      </c>
      <c r="F873" s="32" t="n">
        <f aca="false">IF('Raw Orders'!K870="Refunded",'Raw Orders'!G870,0)</f>
        <v>0</v>
      </c>
    </row>
    <row r="874" customFormat="false" ht="15" hidden="false" customHeight="false" outlineLevel="0" collapsed="false">
      <c r="A874" s="36" t="n">
        <f aca="false">IF('Raw Orders'!B871="","",IF(MID('Raw Orders'!B871,5,1)="-",DATE(VALUE(LEFT('Raw Orders'!B871,4)),VALUE(MID('Raw Orders'!B871,6,2)),VALUE(MID('Raw Orders'!B871,9,2))),DATE(VALUE(MID('Raw Orders'!B871,7,4)),VALUE(MID('Raw Orders'!B871,4,2)),VALUE(LEFT('Raw Orders'!B871,2)))))</f>
        <v>46193</v>
      </c>
      <c r="B874" s="36" t="n">
        <f aca="false">IF(A874="","",A874-WEEKDAY(A874,3))</f>
        <v>46188</v>
      </c>
      <c r="C874" s="32" t="n">
        <f aca="false">IF(OR('Raw Orders'!C871&lt;&gt;"Product",'Raw Orders'!K871="Cancelled"),0,'Raw Orders'!G871)</f>
        <v>0</v>
      </c>
      <c r="D874" s="31" t="n">
        <f aca="false">IF(AND('Raw Orders'!C871="Product",'Raw Orders'!K871="Fulfilled",COUNTIFS('Raw Orders'!$A$2:$A871,'Raw Orders'!A871,'Raw Orders'!$C$2:$C871,"Product",'Raw Orders'!$K$2:$K871,"Fulfilled")=1),1,0)</f>
        <v>0</v>
      </c>
      <c r="E874" s="31" t="n">
        <f aca="false">IF(AND('Raw Orders'!C871="Product",'Raw Orders'!K871="Fulfilled"),'Raw Orders'!E871,0)</f>
        <v>0</v>
      </c>
      <c r="F874" s="32" t="n">
        <f aca="false">IF('Raw Orders'!K871="Refunded",'Raw Orders'!G871,0)</f>
        <v>0</v>
      </c>
    </row>
    <row r="875" customFormat="false" ht="15" hidden="false" customHeight="false" outlineLevel="0" collapsed="false">
      <c r="A875" s="36" t="n">
        <f aca="false">IF('Raw Orders'!B872="","",IF(MID('Raw Orders'!B872,5,1)="-",DATE(VALUE(LEFT('Raw Orders'!B872,4)),VALUE(MID('Raw Orders'!B872,6,2)),VALUE(MID('Raw Orders'!B872,9,2))),DATE(VALUE(MID('Raw Orders'!B872,7,4)),VALUE(MID('Raw Orders'!B872,4,2)),VALUE(LEFT('Raw Orders'!B872,2)))))</f>
        <v>46193</v>
      </c>
      <c r="B875" s="36" t="n">
        <f aca="false">IF(A875="","",A875-WEEKDAY(A875,3))</f>
        <v>46188</v>
      </c>
      <c r="C875" s="32" t="n">
        <f aca="false">IF(OR('Raw Orders'!C872&lt;&gt;"Product",'Raw Orders'!K872="Cancelled"),0,'Raw Orders'!G872)</f>
        <v>0</v>
      </c>
      <c r="D875" s="31" t="n">
        <f aca="false">IF(AND('Raw Orders'!C872="Product",'Raw Orders'!K872="Fulfilled",COUNTIFS('Raw Orders'!$A$2:$A872,'Raw Orders'!A872,'Raw Orders'!$C$2:$C872,"Product",'Raw Orders'!$K$2:$K872,"Fulfilled")=1),1,0)</f>
        <v>0</v>
      </c>
      <c r="E875" s="31" t="n">
        <f aca="false">IF(AND('Raw Orders'!C872="Product",'Raw Orders'!K872="Fulfilled"),'Raw Orders'!E872,0)</f>
        <v>0</v>
      </c>
      <c r="F875" s="32" t="n">
        <f aca="false">IF('Raw Orders'!K872="Refunded",'Raw Orders'!G872,0)</f>
        <v>0</v>
      </c>
    </row>
    <row r="876" customFormat="false" ht="15" hidden="false" customHeight="false" outlineLevel="0" collapsed="false">
      <c r="A876" s="36" t="n">
        <f aca="false">IF('Raw Orders'!B873="","",IF(MID('Raw Orders'!B873,5,1)="-",DATE(VALUE(LEFT('Raw Orders'!B873,4)),VALUE(MID('Raw Orders'!B873,6,2)),VALUE(MID('Raw Orders'!B873,9,2))),DATE(VALUE(MID('Raw Orders'!B873,7,4)),VALUE(MID('Raw Orders'!B873,4,2)),VALUE(LEFT('Raw Orders'!B873,2)))))</f>
        <v>46193</v>
      </c>
      <c r="B876" s="36" t="n">
        <f aca="false">IF(A876="","",A876-WEEKDAY(A876,3))</f>
        <v>46188</v>
      </c>
      <c r="C876" s="32" t="n">
        <f aca="false">IF(OR('Raw Orders'!C873&lt;&gt;"Product",'Raw Orders'!K873="Cancelled"),0,'Raw Orders'!G873)</f>
        <v>75</v>
      </c>
      <c r="D876" s="31" t="n">
        <f aca="false">IF(AND('Raw Orders'!C873="Product",'Raw Orders'!K873="Fulfilled",COUNTIFS('Raw Orders'!$A$2:$A873,'Raw Orders'!A873,'Raw Orders'!$C$2:$C873,"Product",'Raw Orders'!$K$2:$K873,"Fulfilled")=1),1,0)</f>
        <v>1</v>
      </c>
      <c r="E876" s="31" t="n">
        <f aca="false">IF(AND('Raw Orders'!C873="Product",'Raw Orders'!K873="Fulfilled"),'Raw Orders'!E873,0)</f>
        <v>1</v>
      </c>
      <c r="F876" s="32" t="n">
        <f aca="false">IF('Raw Orders'!K873="Refunded",'Raw Orders'!G873,0)</f>
        <v>0</v>
      </c>
    </row>
    <row r="877" customFormat="false" ht="15" hidden="false" customHeight="false" outlineLevel="0" collapsed="false">
      <c r="A877" s="36" t="n">
        <f aca="false">IF('Raw Orders'!B874="","",IF(MID('Raw Orders'!B874,5,1)="-",DATE(VALUE(LEFT('Raw Orders'!B874,4)),VALUE(MID('Raw Orders'!B874,6,2)),VALUE(MID('Raw Orders'!B874,9,2))),DATE(VALUE(MID('Raw Orders'!B874,7,4)),VALUE(MID('Raw Orders'!B874,4,2)),VALUE(LEFT('Raw Orders'!B874,2)))))</f>
        <v>46193</v>
      </c>
      <c r="B877" s="36" t="n">
        <f aca="false">IF(A877="","",A877-WEEKDAY(A877,3))</f>
        <v>46188</v>
      </c>
      <c r="C877" s="32" t="n">
        <f aca="false">IF(OR('Raw Orders'!C874&lt;&gt;"Product",'Raw Orders'!K874="Cancelled"),0,'Raw Orders'!G874)</f>
        <v>0</v>
      </c>
      <c r="D877" s="31" t="n">
        <f aca="false">IF(AND('Raw Orders'!C874="Product",'Raw Orders'!K874="Fulfilled",COUNTIFS('Raw Orders'!$A$2:$A874,'Raw Orders'!A874,'Raw Orders'!$C$2:$C874,"Product",'Raw Orders'!$K$2:$K874,"Fulfilled")=1),1,0)</f>
        <v>0</v>
      </c>
      <c r="E877" s="31" t="n">
        <f aca="false">IF(AND('Raw Orders'!C874="Product",'Raw Orders'!K874="Fulfilled"),'Raw Orders'!E874,0)</f>
        <v>0</v>
      </c>
      <c r="F877" s="32" t="n">
        <f aca="false">IF('Raw Orders'!K874="Refunded",'Raw Orders'!G874,0)</f>
        <v>0</v>
      </c>
    </row>
    <row r="878" customFormat="false" ht="15" hidden="false" customHeight="false" outlineLevel="0" collapsed="false">
      <c r="A878" s="36" t="n">
        <f aca="false">IF('Raw Orders'!B875="","",IF(MID('Raw Orders'!B875,5,1)="-",DATE(VALUE(LEFT('Raw Orders'!B875,4)),VALUE(MID('Raw Orders'!B875,6,2)),VALUE(MID('Raw Orders'!B875,9,2))),DATE(VALUE(MID('Raw Orders'!B875,7,4)),VALUE(MID('Raw Orders'!B875,4,2)),VALUE(LEFT('Raw Orders'!B875,2)))))</f>
        <v>46193</v>
      </c>
      <c r="B878" s="36" t="n">
        <f aca="false">IF(A878="","",A878-WEEKDAY(A878,3))</f>
        <v>46188</v>
      </c>
      <c r="C878" s="32" t="n">
        <f aca="false">IF(OR('Raw Orders'!C875&lt;&gt;"Product",'Raw Orders'!K875="Cancelled"),0,'Raw Orders'!G875)</f>
        <v>45</v>
      </c>
      <c r="D878" s="31" t="n">
        <f aca="false">IF(AND('Raw Orders'!C875="Product",'Raw Orders'!K875="Fulfilled",COUNTIFS('Raw Orders'!$A$2:$A875,'Raw Orders'!A875,'Raw Orders'!$C$2:$C875,"Product",'Raw Orders'!$K$2:$K875,"Fulfilled")=1),1,0)</f>
        <v>0</v>
      </c>
      <c r="E878" s="31" t="n">
        <f aca="false">IF(AND('Raw Orders'!C875="Product",'Raw Orders'!K875="Fulfilled"),'Raw Orders'!E875,0)</f>
        <v>1</v>
      </c>
      <c r="F878" s="32" t="n">
        <f aca="false">IF('Raw Orders'!K875="Refunded",'Raw Orders'!G875,0)</f>
        <v>0</v>
      </c>
    </row>
    <row r="879" customFormat="false" ht="15" hidden="false" customHeight="false" outlineLevel="0" collapsed="false">
      <c r="A879" s="36" t="n">
        <f aca="false">IF('Raw Orders'!B876="","",IF(MID('Raw Orders'!B876,5,1)="-",DATE(VALUE(LEFT('Raw Orders'!B876,4)),VALUE(MID('Raw Orders'!B876,6,2)),VALUE(MID('Raw Orders'!B876,9,2))),DATE(VALUE(MID('Raw Orders'!B876,7,4)),VALUE(MID('Raw Orders'!B876,4,2)),VALUE(LEFT('Raw Orders'!B876,2)))))</f>
        <v>46193</v>
      </c>
      <c r="B879" s="36" t="n">
        <f aca="false">IF(A879="","",A879-WEEKDAY(A879,3))</f>
        <v>46188</v>
      </c>
      <c r="C879" s="32" t="n">
        <f aca="false">IF(OR('Raw Orders'!C876&lt;&gt;"Product",'Raw Orders'!K876="Cancelled"),0,'Raw Orders'!G876)</f>
        <v>45</v>
      </c>
      <c r="D879" s="31" t="n">
        <f aca="false">IF(AND('Raw Orders'!C876="Product",'Raw Orders'!K876="Fulfilled",COUNTIFS('Raw Orders'!$A$2:$A876,'Raw Orders'!A876,'Raw Orders'!$C$2:$C876,"Product",'Raw Orders'!$K$2:$K876,"Fulfilled")=1),1,0)</f>
        <v>0</v>
      </c>
      <c r="E879" s="31" t="n">
        <f aca="false">IF(AND('Raw Orders'!C876="Product",'Raw Orders'!K876="Fulfilled"),'Raw Orders'!E876,0)</f>
        <v>1</v>
      </c>
      <c r="F879" s="32" t="n">
        <f aca="false">IF('Raw Orders'!K876="Refunded",'Raw Orders'!G876,0)</f>
        <v>0</v>
      </c>
    </row>
    <row r="880" customFormat="false" ht="15" hidden="false" customHeight="false" outlineLevel="0" collapsed="false">
      <c r="A880" s="36" t="n">
        <f aca="false">IF('Raw Orders'!B877="","",IF(MID('Raw Orders'!B877,5,1)="-",DATE(VALUE(LEFT('Raw Orders'!B877,4)),VALUE(MID('Raw Orders'!B877,6,2)),VALUE(MID('Raw Orders'!B877,9,2))),DATE(VALUE(MID('Raw Orders'!B877,7,4)),VALUE(MID('Raw Orders'!B877,4,2)),VALUE(LEFT('Raw Orders'!B877,2)))))</f>
        <v>46193</v>
      </c>
      <c r="B880" s="36" t="n">
        <f aca="false">IF(A880="","",A880-WEEKDAY(A880,3))</f>
        <v>46188</v>
      </c>
      <c r="C880" s="32" t="n">
        <f aca="false">IF(OR('Raw Orders'!C877&lt;&gt;"Product",'Raw Orders'!K877="Cancelled"),0,'Raw Orders'!G877)</f>
        <v>0</v>
      </c>
      <c r="D880" s="31" t="n">
        <f aca="false">IF(AND('Raw Orders'!C877="Product",'Raw Orders'!K877="Fulfilled",COUNTIFS('Raw Orders'!$A$2:$A877,'Raw Orders'!A877,'Raw Orders'!$C$2:$C877,"Product",'Raw Orders'!$K$2:$K877,"Fulfilled")=1),1,0)</f>
        <v>0</v>
      </c>
      <c r="E880" s="31" t="n">
        <f aca="false">IF(AND('Raw Orders'!C877="Product",'Raw Orders'!K877="Fulfilled"),'Raw Orders'!E877,0)</f>
        <v>0</v>
      </c>
      <c r="F880" s="32" t="n">
        <f aca="false">IF('Raw Orders'!K877="Refunded",'Raw Orders'!G877,0)</f>
        <v>0</v>
      </c>
    </row>
    <row r="881" customFormat="false" ht="15" hidden="false" customHeight="false" outlineLevel="0" collapsed="false">
      <c r="A881" s="36" t="n">
        <f aca="false">IF('Raw Orders'!B878="","",IF(MID('Raw Orders'!B878,5,1)="-",DATE(VALUE(LEFT('Raw Orders'!B878,4)),VALUE(MID('Raw Orders'!B878,6,2)),VALUE(MID('Raw Orders'!B878,9,2))),DATE(VALUE(MID('Raw Orders'!B878,7,4)),VALUE(MID('Raw Orders'!B878,4,2)),VALUE(LEFT('Raw Orders'!B878,2)))))</f>
        <v>46193</v>
      </c>
      <c r="B881" s="36" t="n">
        <f aca="false">IF(A881="","",A881-WEEKDAY(A881,3))</f>
        <v>46188</v>
      </c>
      <c r="C881" s="32" t="n">
        <f aca="false">IF(OR('Raw Orders'!C878&lt;&gt;"Product",'Raw Orders'!K878="Cancelled"),0,'Raw Orders'!G878)</f>
        <v>69</v>
      </c>
      <c r="D881" s="31" t="n">
        <f aca="false">IF(AND('Raw Orders'!C878="Product",'Raw Orders'!K878="Fulfilled",COUNTIFS('Raw Orders'!$A$2:$A878,'Raw Orders'!A878,'Raw Orders'!$C$2:$C878,"Product",'Raw Orders'!$K$2:$K878,"Fulfilled")=1),1,0)</f>
        <v>1</v>
      </c>
      <c r="E881" s="31" t="n">
        <f aca="false">IF(AND('Raw Orders'!C878="Product",'Raw Orders'!K878="Fulfilled"),'Raw Orders'!E878,0)</f>
        <v>1</v>
      </c>
      <c r="F881" s="32" t="n">
        <f aca="false">IF('Raw Orders'!K878="Refunded",'Raw Orders'!G878,0)</f>
        <v>0</v>
      </c>
    </row>
    <row r="882" customFormat="false" ht="15" hidden="false" customHeight="false" outlineLevel="0" collapsed="false">
      <c r="A882" s="36" t="n">
        <f aca="false">IF('Raw Orders'!B879="","",IF(MID('Raw Orders'!B879,5,1)="-",DATE(VALUE(LEFT('Raw Orders'!B879,4)),VALUE(MID('Raw Orders'!B879,6,2)),VALUE(MID('Raw Orders'!B879,9,2))),DATE(VALUE(MID('Raw Orders'!B879,7,4)),VALUE(MID('Raw Orders'!B879,4,2)),VALUE(LEFT('Raw Orders'!B879,2)))))</f>
        <v>46194</v>
      </c>
      <c r="B882" s="36" t="n">
        <f aca="false">IF(A882="","",A882-WEEKDAY(A882,3))</f>
        <v>46188</v>
      </c>
      <c r="C882" s="32" t="n">
        <f aca="false">IF(OR('Raw Orders'!C879&lt;&gt;"Product",'Raw Orders'!K879="Cancelled"),0,'Raw Orders'!G879)</f>
        <v>0</v>
      </c>
      <c r="D882" s="31" t="n">
        <f aca="false">IF(AND('Raw Orders'!C879="Product",'Raw Orders'!K879="Fulfilled",COUNTIFS('Raw Orders'!$A$2:$A879,'Raw Orders'!A879,'Raw Orders'!$C$2:$C879,"Product",'Raw Orders'!$K$2:$K879,"Fulfilled")=1),1,0)</f>
        <v>0</v>
      </c>
      <c r="E882" s="31" t="n">
        <f aca="false">IF(AND('Raw Orders'!C879="Product",'Raw Orders'!K879="Fulfilled"),'Raw Orders'!E879,0)</f>
        <v>0</v>
      </c>
      <c r="F882" s="32" t="n">
        <f aca="false">IF('Raw Orders'!K879="Refunded",'Raw Orders'!G879,0)</f>
        <v>0</v>
      </c>
    </row>
    <row r="883" customFormat="false" ht="15" hidden="false" customHeight="false" outlineLevel="0" collapsed="false">
      <c r="A883" s="36" t="n">
        <f aca="false">IF('Raw Orders'!B880="","",IF(MID('Raw Orders'!B880,5,1)="-",DATE(VALUE(LEFT('Raw Orders'!B880,4)),VALUE(MID('Raw Orders'!B880,6,2)),VALUE(MID('Raw Orders'!B880,9,2))),DATE(VALUE(MID('Raw Orders'!B880,7,4)),VALUE(MID('Raw Orders'!B880,4,2)),VALUE(LEFT('Raw Orders'!B880,2)))))</f>
        <v>46194</v>
      </c>
      <c r="B883" s="36" t="n">
        <f aca="false">IF(A883="","",A883-WEEKDAY(A883,3))</f>
        <v>46188</v>
      </c>
      <c r="C883" s="32" t="n">
        <f aca="false">IF(OR('Raw Orders'!C880&lt;&gt;"Product",'Raw Orders'!K880="Cancelled"),0,'Raw Orders'!G880)</f>
        <v>32</v>
      </c>
      <c r="D883" s="31" t="n">
        <f aca="false">IF(AND('Raw Orders'!C880="Product",'Raw Orders'!K880="Fulfilled",COUNTIFS('Raw Orders'!$A$2:$A880,'Raw Orders'!A880,'Raw Orders'!$C$2:$C880,"Product",'Raw Orders'!$K$2:$K880,"Fulfilled")=1),1,0)</f>
        <v>1</v>
      </c>
      <c r="E883" s="31" t="n">
        <f aca="false">IF(AND('Raw Orders'!C880="Product",'Raw Orders'!K880="Fulfilled"),'Raw Orders'!E880,0)</f>
        <v>1</v>
      </c>
      <c r="F883" s="32" t="n">
        <f aca="false">IF('Raw Orders'!K880="Refunded",'Raw Orders'!G880,0)</f>
        <v>0</v>
      </c>
    </row>
    <row r="884" customFormat="false" ht="15" hidden="false" customHeight="false" outlineLevel="0" collapsed="false">
      <c r="A884" s="36" t="n">
        <f aca="false">IF('Raw Orders'!B881="","",IF(MID('Raw Orders'!B881,5,1)="-",DATE(VALUE(LEFT('Raw Orders'!B881,4)),VALUE(MID('Raw Orders'!B881,6,2)),VALUE(MID('Raw Orders'!B881,9,2))),DATE(VALUE(MID('Raw Orders'!B881,7,4)),VALUE(MID('Raw Orders'!B881,4,2)),VALUE(LEFT('Raw Orders'!B881,2)))))</f>
        <v>46194</v>
      </c>
      <c r="B884" s="36" t="n">
        <f aca="false">IF(A884="","",A884-WEEKDAY(A884,3))</f>
        <v>46188</v>
      </c>
      <c r="C884" s="32" t="n">
        <f aca="false">IF(OR('Raw Orders'!C881&lt;&gt;"Product",'Raw Orders'!K881="Cancelled"),0,'Raw Orders'!G881)</f>
        <v>89</v>
      </c>
      <c r="D884" s="31" t="n">
        <f aca="false">IF(AND('Raw Orders'!C881="Product",'Raw Orders'!K881="Fulfilled",COUNTIFS('Raw Orders'!$A$2:$A881,'Raw Orders'!A881,'Raw Orders'!$C$2:$C881,"Product",'Raw Orders'!$K$2:$K881,"Fulfilled")=1),1,0)</f>
        <v>0</v>
      </c>
      <c r="E884" s="31" t="n">
        <f aca="false">IF(AND('Raw Orders'!C881="Product",'Raw Orders'!K881="Fulfilled"),'Raw Orders'!E881,0)</f>
        <v>1</v>
      </c>
      <c r="F884" s="32" t="n">
        <f aca="false">IF('Raw Orders'!K881="Refunded",'Raw Orders'!G881,0)</f>
        <v>0</v>
      </c>
    </row>
    <row r="885" customFormat="false" ht="15" hidden="false" customHeight="false" outlineLevel="0" collapsed="false">
      <c r="A885" s="36" t="n">
        <f aca="false">IF('Raw Orders'!B882="","",IF(MID('Raw Orders'!B882,5,1)="-",DATE(VALUE(LEFT('Raw Orders'!B882,4)),VALUE(MID('Raw Orders'!B882,6,2)),VALUE(MID('Raw Orders'!B882,9,2))),DATE(VALUE(MID('Raw Orders'!B882,7,4)),VALUE(MID('Raw Orders'!B882,4,2)),VALUE(LEFT('Raw Orders'!B882,2)))))</f>
        <v>46194</v>
      </c>
      <c r="B885" s="36" t="n">
        <f aca="false">IF(A885="","",A885-WEEKDAY(A885,3))</f>
        <v>46188</v>
      </c>
      <c r="C885" s="32" t="n">
        <f aca="false">IF(OR('Raw Orders'!C882&lt;&gt;"Product",'Raw Orders'!K882="Cancelled"),0,'Raw Orders'!G882)</f>
        <v>39</v>
      </c>
      <c r="D885" s="31" t="n">
        <f aca="false">IF(AND('Raw Orders'!C882="Product",'Raw Orders'!K882="Fulfilled",COUNTIFS('Raw Orders'!$A$2:$A882,'Raw Orders'!A882,'Raw Orders'!$C$2:$C882,"Product",'Raw Orders'!$K$2:$K882,"Fulfilled")=1),1,0)</f>
        <v>0</v>
      </c>
      <c r="E885" s="31" t="n">
        <f aca="false">IF(AND('Raw Orders'!C882="Product",'Raw Orders'!K882="Fulfilled"),'Raw Orders'!E882,0)</f>
        <v>1</v>
      </c>
      <c r="F885" s="32" t="n">
        <f aca="false">IF('Raw Orders'!K882="Refunded",'Raw Orders'!G882,0)</f>
        <v>0</v>
      </c>
    </row>
    <row r="886" customFormat="false" ht="15" hidden="false" customHeight="false" outlineLevel="0" collapsed="false">
      <c r="A886" s="36" t="n">
        <f aca="false">IF('Raw Orders'!B883="","",IF(MID('Raw Orders'!B883,5,1)="-",DATE(VALUE(LEFT('Raw Orders'!B883,4)),VALUE(MID('Raw Orders'!B883,6,2)),VALUE(MID('Raw Orders'!B883,9,2))),DATE(VALUE(MID('Raw Orders'!B883,7,4)),VALUE(MID('Raw Orders'!B883,4,2)),VALUE(LEFT('Raw Orders'!B883,2)))))</f>
        <v>46194</v>
      </c>
      <c r="B886" s="36" t="n">
        <f aca="false">IF(A886="","",A886-WEEKDAY(A886,3))</f>
        <v>46188</v>
      </c>
      <c r="C886" s="32" t="n">
        <f aca="false">IF(OR('Raw Orders'!C883&lt;&gt;"Product",'Raw Orders'!K883="Cancelled"),0,'Raw Orders'!G883)</f>
        <v>0</v>
      </c>
      <c r="D886" s="31" t="n">
        <f aca="false">IF(AND('Raw Orders'!C883="Product",'Raw Orders'!K883="Fulfilled",COUNTIFS('Raw Orders'!$A$2:$A883,'Raw Orders'!A883,'Raw Orders'!$C$2:$C883,"Product",'Raw Orders'!$K$2:$K883,"Fulfilled")=1),1,0)</f>
        <v>0</v>
      </c>
      <c r="E886" s="31" t="n">
        <f aca="false">IF(AND('Raw Orders'!C883="Product",'Raw Orders'!K883="Fulfilled"),'Raw Orders'!E883,0)</f>
        <v>0</v>
      </c>
      <c r="F886" s="32" t="n">
        <f aca="false">IF('Raw Orders'!K883="Refunded",'Raw Orders'!G883,0)</f>
        <v>0</v>
      </c>
    </row>
    <row r="887" customFormat="false" ht="15" hidden="false" customHeight="false" outlineLevel="0" collapsed="false">
      <c r="A887" s="36" t="n">
        <f aca="false">IF('Raw Orders'!B884="","",IF(MID('Raw Orders'!B884,5,1)="-",DATE(VALUE(LEFT('Raw Orders'!B884,4)),VALUE(MID('Raw Orders'!B884,6,2)),VALUE(MID('Raw Orders'!B884,9,2))),DATE(VALUE(MID('Raw Orders'!B884,7,4)),VALUE(MID('Raw Orders'!B884,4,2)),VALUE(LEFT('Raw Orders'!B884,2)))))</f>
        <v>46194</v>
      </c>
      <c r="B887" s="36" t="n">
        <f aca="false">IF(A887="","",A887-WEEKDAY(A887,3))</f>
        <v>46188</v>
      </c>
      <c r="C887" s="32" t="n">
        <f aca="false">IF(OR('Raw Orders'!C884&lt;&gt;"Product",'Raw Orders'!K884="Cancelled"),0,'Raw Orders'!G884)</f>
        <v>89</v>
      </c>
      <c r="D887" s="31" t="n">
        <f aca="false">IF(AND('Raw Orders'!C884="Product",'Raw Orders'!K884="Fulfilled",COUNTIFS('Raw Orders'!$A$2:$A884,'Raw Orders'!A884,'Raw Orders'!$C$2:$C884,"Product",'Raw Orders'!$K$2:$K884,"Fulfilled")=1),1,0)</f>
        <v>1</v>
      </c>
      <c r="E887" s="31" t="n">
        <f aca="false">IF(AND('Raw Orders'!C884="Product",'Raw Orders'!K884="Fulfilled"),'Raw Orders'!E884,0)</f>
        <v>1</v>
      </c>
      <c r="F887" s="32" t="n">
        <f aca="false">IF('Raw Orders'!K884="Refunded",'Raw Orders'!G884,0)</f>
        <v>0</v>
      </c>
    </row>
    <row r="888" customFormat="false" ht="15" hidden="false" customHeight="false" outlineLevel="0" collapsed="false">
      <c r="A888" s="36" t="n">
        <f aca="false">IF('Raw Orders'!B885="","",IF(MID('Raw Orders'!B885,5,1)="-",DATE(VALUE(LEFT('Raw Orders'!B885,4)),VALUE(MID('Raw Orders'!B885,6,2)),VALUE(MID('Raw Orders'!B885,9,2))),DATE(VALUE(MID('Raw Orders'!B885,7,4)),VALUE(MID('Raw Orders'!B885,4,2)),VALUE(LEFT('Raw Orders'!B885,2)))))</f>
        <v>46194</v>
      </c>
      <c r="B888" s="36" t="n">
        <f aca="false">IF(A888="","",A888-WEEKDAY(A888,3))</f>
        <v>46188</v>
      </c>
      <c r="C888" s="32" t="n">
        <f aca="false">IF(OR('Raw Orders'!C885&lt;&gt;"Product",'Raw Orders'!K885="Cancelled"),0,'Raw Orders'!G885)</f>
        <v>0</v>
      </c>
      <c r="D888" s="31" t="n">
        <f aca="false">IF(AND('Raw Orders'!C885="Product",'Raw Orders'!K885="Fulfilled",COUNTIFS('Raw Orders'!$A$2:$A885,'Raw Orders'!A885,'Raw Orders'!$C$2:$C885,"Product",'Raw Orders'!$K$2:$K885,"Fulfilled")=1),1,0)</f>
        <v>0</v>
      </c>
      <c r="E888" s="31" t="n">
        <f aca="false">IF(AND('Raw Orders'!C885="Product",'Raw Orders'!K885="Fulfilled"),'Raw Orders'!E885,0)</f>
        <v>0</v>
      </c>
      <c r="F888" s="32" t="n">
        <f aca="false">IF('Raw Orders'!K885="Refunded",'Raw Orders'!G885,0)</f>
        <v>0</v>
      </c>
    </row>
    <row r="889" customFormat="false" ht="15" hidden="false" customHeight="false" outlineLevel="0" collapsed="false">
      <c r="A889" s="36" t="n">
        <f aca="false">IF('Raw Orders'!B886="","",IF(MID('Raw Orders'!B886,5,1)="-",DATE(VALUE(LEFT('Raw Orders'!B886,4)),VALUE(MID('Raw Orders'!B886,6,2)),VALUE(MID('Raw Orders'!B886,9,2))),DATE(VALUE(MID('Raw Orders'!B886,7,4)),VALUE(MID('Raw Orders'!B886,4,2)),VALUE(LEFT('Raw Orders'!B886,2)))))</f>
        <v>46194</v>
      </c>
      <c r="B889" s="36" t="n">
        <f aca="false">IF(A889="","",A889-WEEKDAY(A889,3))</f>
        <v>46188</v>
      </c>
      <c r="C889" s="32" t="n">
        <f aca="false">IF(OR('Raw Orders'!C886&lt;&gt;"Product",'Raw Orders'!K886="Cancelled"),0,'Raw Orders'!G886)</f>
        <v>39</v>
      </c>
      <c r="D889" s="31" t="n">
        <f aca="false">IF(AND('Raw Orders'!C886="Product",'Raw Orders'!K886="Fulfilled",COUNTIFS('Raw Orders'!$A$2:$A886,'Raw Orders'!A886,'Raw Orders'!$C$2:$C886,"Product",'Raw Orders'!$K$2:$K886,"Fulfilled")=1),1,0)</f>
        <v>1</v>
      </c>
      <c r="E889" s="31" t="n">
        <f aca="false">IF(AND('Raw Orders'!C886="Product",'Raw Orders'!K886="Fulfilled"),'Raw Orders'!E886,0)</f>
        <v>1</v>
      </c>
      <c r="F889" s="32" t="n">
        <f aca="false">IF('Raw Orders'!K886="Refunded",'Raw Orders'!G886,0)</f>
        <v>0</v>
      </c>
    </row>
    <row r="890" customFormat="false" ht="15" hidden="false" customHeight="false" outlineLevel="0" collapsed="false">
      <c r="A890" s="36" t="n">
        <f aca="false">IF('Raw Orders'!B887="","",IF(MID('Raw Orders'!B887,5,1)="-",DATE(VALUE(LEFT('Raw Orders'!B887,4)),VALUE(MID('Raw Orders'!B887,6,2)),VALUE(MID('Raw Orders'!B887,9,2))),DATE(VALUE(MID('Raw Orders'!B887,7,4)),VALUE(MID('Raw Orders'!B887,4,2)),VALUE(LEFT('Raw Orders'!B887,2)))))</f>
        <v>46194</v>
      </c>
      <c r="B890" s="36" t="n">
        <f aca="false">IF(A890="","",A890-WEEKDAY(A890,3))</f>
        <v>46188</v>
      </c>
      <c r="C890" s="32" t="n">
        <f aca="false">IF(OR('Raw Orders'!C887&lt;&gt;"Product",'Raw Orders'!K887="Cancelled"),0,'Raw Orders'!G887)</f>
        <v>90</v>
      </c>
      <c r="D890" s="31" t="n">
        <f aca="false">IF(AND('Raw Orders'!C887="Product",'Raw Orders'!K887="Fulfilled",COUNTIFS('Raw Orders'!$A$2:$A887,'Raw Orders'!A887,'Raw Orders'!$C$2:$C887,"Product",'Raw Orders'!$K$2:$K887,"Fulfilled")=1),1,0)</f>
        <v>1</v>
      </c>
      <c r="E890" s="31" t="n">
        <f aca="false">IF(AND('Raw Orders'!C887="Product",'Raw Orders'!K887="Fulfilled"),'Raw Orders'!E887,0)</f>
        <v>2</v>
      </c>
      <c r="F890" s="32" t="n">
        <f aca="false">IF('Raw Orders'!K887="Refunded",'Raw Orders'!G887,0)</f>
        <v>0</v>
      </c>
    </row>
    <row r="891" customFormat="false" ht="15" hidden="false" customHeight="false" outlineLevel="0" collapsed="false">
      <c r="A891" s="36" t="n">
        <f aca="false">IF('Raw Orders'!B888="","",IF(MID('Raw Orders'!B888,5,1)="-",DATE(VALUE(LEFT('Raw Orders'!B888,4)),VALUE(MID('Raw Orders'!B888,6,2)),VALUE(MID('Raw Orders'!B888,9,2))),DATE(VALUE(MID('Raw Orders'!B888,7,4)),VALUE(MID('Raw Orders'!B888,4,2)),VALUE(LEFT('Raw Orders'!B888,2)))))</f>
        <v>46194</v>
      </c>
      <c r="B891" s="36" t="n">
        <f aca="false">IF(A891="","",A891-WEEKDAY(A891,3))</f>
        <v>46188</v>
      </c>
      <c r="C891" s="32" t="n">
        <f aca="false">IF(OR('Raw Orders'!C888&lt;&gt;"Product",'Raw Orders'!K888="Cancelled"),0,'Raw Orders'!G888)</f>
        <v>80.1</v>
      </c>
      <c r="D891" s="31" t="n">
        <f aca="false">IF(AND('Raw Orders'!C888="Product",'Raw Orders'!K888="Fulfilled",COUNTIFS('Raw Orders'!$A$2:$A888,'Raw Orders'!A888,'Raw Orders'!$C$2:$C888,"Product",'Raw Orders'!$K$2:$K888,"Fulfilled")=1),1,0)</f>
        <v>0</v>
      </c>
      <c r="E891" s="31" t="n">
        <f aca="false">IF(AND('Raw Orders'!C888="Product",'Raw Orders'!K888="Fulfilled"),'Raw Orders'!E888,0)</f>
        <v>1</v>
      </c>
      <c r="F891" s="32" t="n">
        <f aca="false">IF('Raw Orders'!K888="Refunded",'Raw Orders'!G888,0)</f>
        <v>0</v>
      </c>
    </row>
    <row r="892" customFormat="false" ht="15" hidden="false" customHeight="false" outlineLevel="0" collapsed="false">
      <c r="A892" s="36" t="n">
        <f aca="false">IF('Raw Orders'!B889="","",IF(MID('Raw Orders'!B889,5,1)="-",DATE(VALUE(LEFT('Raw Orders'!B889,4)),VALUE(MID('Raw Orders'!B889,6,2)),VALUE(MID('Raw Orders'!B889,9,2))),DATE(VALUE(MID('Raw Orders'!B889,7,4)),VALUE(MID('Raw Orders'!B889,4,2)),VALUE(LEFT('Raw Orders'!B889,2)))))</f>
        <v>46194</v>
      </c>
      <c r="B892" s="36" t="n">
        <f aca="false">IF(A892="","",A892-WEEKDAY(A892,3))</f>
        <v>46188</v>
      </c>
      <c r="C892" s="32" t="n">
        <f aca="false">IF(OR('Raw Orders'!C889&lt;&gt;"Product",'Raw Orders'!K889="Cancelled"),0,'Raw Orders'!G889)</f>
        <v>0</v>
      </c>
      <c r="D892" s="31" t="n">
        <f aca="false">IF(AND('Raw Orders'!C889="Product",'Raw Orders'!K889="Fulfilled",COUNTIFS('Raw Orders'!$A$2:$A889,'Raw Orders'!A889,'Raw Orders'!$C$2:$C889,"Product",'Raw Orders'!$K$2:$K889,"Fulfilled")=1),1,0)</f>
        <v>0</v>
      </c>
      <c r="E892" s="31" t="n">
        <f aca="false">IF(AND('Raw Orders'!C889="Product",'Raw Orders'!K889="Fulfilled"),'Raw Orders'!E889,0)</f>
        <v>0</v>
      </c>
      <c r="F892" s="32" t="n">
        <f aca="false">IF('Raw Orders'!K889="Refunded",'Raw Orders'!G889,0)</f>
        <v>0</v>
      </c>
    </row>
    <row r="893" customFormat="false" ht="15" hidden="false" customHeight="false" outlineLevel="0" collapsed="false">
      <c r="A893" s="36" t="n">
        <f aca="false">IF('Raw Orders'!B890="","",IF(MID('Raw Orders'!B890,5,1)="-",DATE(VALUE(LEFT('Raw Orders'!B890,4)),VALUE(MID('Raw Orders'!B890,6,2)),VALUE(MID('Raw Orders'!B890,9,2))),DATE(VALUE(MID('Raw Orders'!B890,7,4)),VALUE(MID('Raw Orders'!B890,4,2)),VALUE(LEFT('Raw Orders'!B890,2)))))</f>
        <v>46194</v>
      </c>
      <c r="B893" s="36" t="n">
        <f aca="false">IF(A893="","",A893-WEEKDAY(A893,3))</f>
        <v>46188</v>
      </c>
      <c r="C893" s="32" t="n">
        <f aca="false">IF(OR('Raw Orders'!C890&lt;&gt;"Product",'Raw Orders'!K890="Cancelled"),0,'Raw Orders'!G890)</f>
        <v>14</v>
      </c>
      <c r="D893" s="31" t="n">
        <f aca="false">IF(AND('Raw Orders'!C890="Product",'Raw Orders'!K890="Fulfilled",COUNTIFS('Raw Orders'!$A$2:$A890,'Raw Orders'!A890,'Raw Orders'!$C$2:$C890,"Product",'Raw Orders'!$K$2:$K890,"Fulfilled")=1),1,0)</f>
        <v>0</v>
      </c>
      <c r="E893" s="31" t="n">
        <f aca="false">IF(AND('Raw Orders'!C890="Product",'Raw Orders'!K890="Fulfilled"),'Raw Orders'!E890,0)</f>
        <v>1</v>
      </c>
      <c r="F893" s="32" t="n">
        <f aca="false">IF('Raw Orders'!K890="Refunded",'Raw Orders'!G890,0)</f>
        <v>0</v>
      </c>
    </row>
    <row r="894" customFormat="false" ht="15" hidden="false" customHeight="false" outlineLevel="0" collapsed="false">
      <c r="A894" s="36" t="n">
        <f aca="false">IF('Raw Orders'!B891="","",IF(MID('Raw Orders'!B891,5,1)="-",DATE(VALUE(LEFT('Raw Orders'!B891,4)),VALUE(MID('Raw Orders'!B891,6,2)),VALUE(MID('Raw Orders'!B891,9,2))),DATE(VALUE(MID('Raw Orders'!B891,7,4)),VALUE(MID('Raw Orders'!B891,4,2)),VALUE(LEFT('Raw Orders'!B891,2)))))</f>
        <v>46194</v>
      </c>
      <c r="B894" s="36" t="n">
        <f aca="false">IF(A894="","",A894-WEEKDAY(A894,3))</f>
        <v>46188</v>
      </c>
      <c r="C894" s="32" t="n">
        <f aca="false">IF(OR('Raw Orders'!C891&lt;&gt;"Product",'Raw Orders'!K891="Cancelled"),0,'Raw Orders'!G891)</f>
        <v>75</v>
      </c>
      <c r="D894" s="31" t="n">
        <f aca="false">IF(AND('Raw Orders'!C891="Product",'Raw Orders'!K891="Fulfilled",COUNTIFS('Raw Orders'!$A$2:$A891,'Raw Orders'!A891,'Raw Orders'!$C$2:$C891,"Product",'Raw Orders'!$K$2:$K891,"Fulfilled")=1),1,0)</f>
        <v>0</v>
      </c>
      <c r="E894" s="31" t="n">
        <f aca="false">IF(AND('Raw Orders'!C891="Product",'Raw Orders'!K891="Fulfilled"),'Raw Orders'!E891,0)</f>
        <v>1</v>
      </c>
      <c r="F894" s="32" t="n">
        <f aca="false">IF('Raw Orders'!K891="Refunded",'Raw Orders'!G891,0)</f>
        <v>0</v>
      </c>
    </row>
    <row r="895" customFormat="false" ht="15" hidden="false" customHeight="false" outlineLevel="0" collapsed="false">
      <c r="A895" s="36" t="n">
        <f aca="false">IF('Raw Orders'!B892="","",IF(MID('Raw Orders'!B892,5,1)="-",DATE(VALUE(LEFT('Raw Orders'!B892,4)),VALUE(MID('Raw Orders'!B892,6,2)),VALUE(MID('Raw Orders'!B892,9,2))),DATE(VALUE(MID('Raw Orders'!B892,7,4)),VALUE(MID('Raw Orders'!B892,4,2)),VALUE(LEFT('Raw Orders'!B892,2)))))</f>
        <v>46194</v>
      </c>
      <c r="B895" s="36" t="n">
        <f aca="false">IF(A895="","",A895-WEEKDAY(A895,3))</f>
        <v>46188</v>
      </c>
      <c r="C895" s="32" t="n">
        <f aca="false">IF(OR('Raw Orders'!C892&lt;&gt;"Product",'Raw Orders'!K892="Cancelled"),0,'Raw Orders'!G892)</f>
        <v>0</v>
      </c>
      <c r="D895" s="31" t="n">
        <f aca="false">IF(AND('Raw Orders'!C892="Product",'Raw Orders'!K892="Fulfilled",COUNTIFS('Raw Orders'!$A$2:$A892,'Raw Orders'!A892,'Raw Orders'!$C$2:$C892,"Product",'Raw Orders'!$K$2:$K892,"Fulfilled")=1),1,0)</f>
        <v>0</v>
      </c>
      <c r="E895" s="31" t="n">
        <f aca="false">IF(AND('Raw Orders'!C892="Product",'Raw Orders'!K892="Fulfilled"),'Raw Orders'!E892,0)</f>
        <v>0</v>
      </c>
      <c r="F895" s="32" t="n">
        <f aca="false">IF('Raw Orders'!K892="Refunded",'Raw Orders'!G892,0)</f>
        <v>0</v>
      </c>
    </row>
    <row r="896" customFormat="false" ht="15" hidden="false" customHeight="false" outlineLevel="0" collapsed="false">
      <c r="A896" s="36" t="n">
        <f aca="false">IF('Raw Orders'!B893="","",IF(MID('Raw Orders'!B893,5,1)="-",DATE(VALUE(LEFT('Raw Orders'!B893,4)),VALUE(MID('Raw Orders'!B893,6,2)),VALUE(MID('Raw Orders'!B893,9,2))),DATE(VALUE(MID('Raw Orders'!B893,7,4)),VALUE(MID('Raw Orders'!B893,4,2)),VALUE(LEFT('Raw Orders'!B893,2)))))</f>
        <v>46194</v>
      </c>
      <c r="B896" s="36" t="n">
        <f aca="false">IF(A896="","",A896-WEEKDAY(A896,3))</f>
        <v>46188</v>
      </c>
      <c r="C896" s="32" t="n">
        <f aca="false">IF(OR('Raw Orders'!C893&lt;&gt;"Product",'Raw Orders'!K893="Cancelled"),0,'Raw Orders'!G893)</f>
        <v>29</v>
      </c>
      <c r="D896" s="31" t="n">
        <f aca="false">IF(AND('Raw Orders'!C893="Product",'Raw Orders'!K893="Fulfilled",COUNTIFS('Raw Orders'!$A$2:$A893,'Raw Orders'!A893,'Raw Orders'!$C$2:$C893,"Product",'Raw Orders'!$K$2:$K893,"Fulfilled")=1),1,0)</f>
        <v>1</v>
      </c>
      <c r="E896" s="31" t="n">
        <f aca="false">IF(AND('Raw Orders'!C893="Product",'Raw Orders'!K893="Fulfilled"),'Raw Orders'!E893,0)</f>
        <v>1</v>
      </c>
      <c r="F896" s="32" t="n">
        <f aca="false">IF('Raw Orders'!K893="Refunded",'Raw Orders'!G893,0)</f>
        <v>0</v>
      </c>
    </row>
    <row r="897" customFormat="false" ht="15" hidden="false" customHeight="false" outlineLevel="0" collapsed="false">
      <c r="A897" s="36" t="n">
        <f aca="false">IF('Raw Orders'!B894="","",IF(MID('Raw Orders'!B894,5,1)="-",DATE(VALUE(LEFT('Raw Orders'!B894,4)),VALUE(MID('Raw Orders'!B894,6,2)),VALUE(MID('Raw Orders'!B894,9,2))),DATE(VALUE(MID('Raw Orders'!B894,7,4)),VALUE(MID('Raw Orders'!B894,4,2)),VALUE(LEFT('Raw Orders'!B894,2)))))</f>
        <v>46194</v>
      </c>
      <c r="B897" s="36" t="n">
        <f aca="false">IF(A897="","",A897-WEEKDAY(A897,3))</f>
        <v>46188</v>
      </c>
      <c r="C897" s="32" t="n">
        <f aca="false">IF(OR('Raw Orders'!C894&lt;&gt;"Product",'Raw Orders'!K894="Cancelled"),0,'Raw Orders'!G894)</f>
        <v>45</v>
      </c>
      <c r="D897" s="31" t="n">
        <f aca="false">IF(AND('Raw Orders'!C894="Product",'Raw Orders'!K894="Fulfilled",COUNTIFS('Raw Orders'!$A$2:$A894,'Raw Orders'!A894,'Raw Orders'!$C$2:$C894,"Product",'Raw Orders'!$K$2:$K894,"Fulfilled")=1),1,0)</f>
        <v>1</v>
      </c>
      <c r="E897" s="31" t="n">
        <f aca="false">IF(AND('Raw Orders'!C894="Product",'Raw Orders'!K894="Fulfilled"),'Raw Orders'!E894,0)</f>
        <v>1</v>
      </c>
      <c r="F897" s="32" t="n">
        <f aca="false">IF('Raw Orders'!K894="Refunded",'Raw Orders'!G894,0)</f>
        <v>0</v>
      </c>
    </row>
    <row r="898" customFormat="false" ht="15" hidden="false" customHeight="false" outlineLevel="0" collapsed="false">
      <c r="A898" s="36" t="n">
        <f aca="false">IF('Raw Orders'!B895="","",IF(MID('Raw Orders'!B895,5,1)="-",DATE(VALUE(LEFT('Raw Orders'!B895,4)),VALUE(MID('Raw Orders'!B895,6,2)),VALUE(MID('Raw Orders'!B895,9,2))),DATE(VALUE(MID('Raw Orders'!B895,7,4)),VALUE(MID('Raw Orders'!B895,4,2)),VALUE(LEFT('Raw Orders'!B895,2)))))</f>
        <v>46194</v>
      </c>
      <c r="B898" s="36" t="n">
        <f aca="false">IF(A898="","",A898-WEEKDAY(A898,3))</f>
        <v>46188</v>
      </c>
      <c r="C898" s="32" t="n">
        <f aca="false">IF(OR('Raw Orders'!C895&lt;&gt;"Product",'Raw Orders'!K895="Cancelled"),0,'Raw Orders'!G895)</f>
        <v>0</v>
      </c>
      <c r="D898" s="31" t="n">
        <f aca="false">IF(AND('Raw Orders'!C895="Product",'Raw Orders'!K895="Fulfilled",COUNTIFS('Raw Orders'!$A$2:$A895,'Raw Orders'!A895,'Raw Orders'!$C$2:$C895,"Product",'Raw Orders'!$K$2:$K895,"Fulfilled")=1),1,0)</f>
        <v>0</v>
      </c>
      <c r="E898" s="31" t="n">
        <f aca="false">IF(AND('Raw Orders'!C895="Product",'Raw Orders'!K895="Fulfilled"),'Raw Orders'!E895,0)</f>
        <v>0</v>
      </c>
      <c r="F898" s="32" t="n">
        <f aca="false">IF('Raw Orders'!K895="Refunded",'Raw Orders'!G895,0)</f>
        <v>0</v>
      </c>
    </row>
    <row r="899" customFormat="false" ht="15" hidden="false" customHeight="false" outlineLevel="0" collapsed="false">
      <c r="A899" s="36" t="n">
        <f aca="false">IF('Raw Orders'!B896="","",IF(MID('Raw Orders'!B896,5,1)="-",DATE(VALUE(LEFT('Raw Orders'!B896,4)),VALUE(MID('Raw Orders'!B896,6,2)),VALUE(MID('Raw Orders'!B896,9,2))),DATE(VALUE(MID('Raw Orders'!B896,7,4)),VALUE(MID('Raw Orders'!B896,4,2)),VALUE(LEFT('Raw Orders'!B896,2)))))</f>
        <v>46194</v>
      </c>
      <c r="B899" s="36" t="n">
        <f aca="false">IF(A899="","",A899-WEEKDAY(A899,3))</f>
        <v>46188</v>
      </c>
      <c r="C899" s="32" t="n">
        <f aca="false">IF(OR('Raw Orders'!C896&lt;&gt;"Product",'Raw Orders'!K896="Cancelled"),0,'Raw Orders'!G896)</f>
        <v>29</v>
      </c>
      <c r="D899" s="31" t="n">
        <f aca="false">IF(AND('Raw Orders'!C896="Product",'Raw Orders'!K896="Fulfilled",COUNTIFS('Raw Orders'!$A$2:$A896,'Raw Orders'!A896,'Raw Orders'!$C$2:$C896,"Product",'Raw Orders'!$K$2:$K896,"Fulfilled")=1),1,0)</f>
        <v>1</v>
      </c>
      <c r="E899" s="31" t="n">
        <f aca="false">IF(AND('Raw Orders'!C896="Product",'Raw Orders'!K896="Fulfilled"),'Raw Orders'!E896,0)</f>
        <v>1</v>
      </c>
      <c r="F899" s="32" t="n">
        <f aca="false">IF('Raw Orders'!K896="Refunded",'Raw Orders'!G896,0)</f>
        <v>0</v>
      </c>
    </row>
    <row r="900" customFormat="false" ht="15" hidden="false" customHeight="false" outlineLevel="0" collapsed="false">
      <c r="A900" s="36" t="n">
        <f aca="false">IF('Raw Orders'!B897="","",IF(MID('Raw Orders'!B897,5,1)="-",DATE(VALUE(LEFT('Raw Orders'!B897,4)),VALUE(MID('Raw Orders'!B897,6,2)),VALUE(MID('Raw Orders'!B897,9,2))),DATE(VALUE(MID('Raw Orders'!B897,7,4)),VALUE(MID('Raw Orders'!B897,4,2)),VALUE(LEFT('Raw Orders'!B897,2)))))</f>
        <v>46194</v>
      </c>
      <c r="B900" s="36" t="n">
        <f aca="false">IF(A900="","",A900-WEEKDAY(A900,3))</f>
        <v>46188</v>
      </c>
      <c r="C900" s="32" t="n">
        <f aca="false">IF(OR('Raw Orders'!C897&lt;&gt;"Product",'Raw Orders'!K897="Cancelled"),0,'Raw Orders'!G897)</f>
        <v>0</v>
      </c>
      <c r="D900" s="31" t="n">
        <f aca="false">IF(AND('Raw Orders'!C897="Product",'Raw Orders'!K897="Fulfilled",COUNTIFS('Raw Orders'!$A$2:$A897,'Raw Orders'!A897,'Raw Orders'!$C$2:$C897,"Product",'Raw Orders'!$K$2:$K897,"Fulfilled")=1),1,0)</f>
        <v>0</v>
      </c>
      <c r="E900" s="31" t="n">
        <f aca="false">IF(AND('Raw Orders'!C897="Product",'Raw Orders'!K897="Fulfilled"),'Raw Orders'!E897,0)</f>
        <v>0</v>
      </c>
      <c r="F900" s="32" t="n">
        <f aca="false">IF('Raw Orders'!K897="Refunded",'Raw Orders'!G897,0)</f>
        <v>0</v>
      </c>
    </row>
    <row r="901" customFormat="false" ht="15" hidden="false" customHeight="false" outlineLevel="0" collapsed="false">
      <c r="A901" s="36" t="n">
        <f aca="false">IF('Raw Orders'!B898="","",IF(MID('Raw Orders'!B898,5,1)="-",DATE(VALUE(LEFT('Raw Orders'!B898,4)),VALUE(MID('Raw Orders'!B898,6,2)),VALUE(MID('Raw Orders'!B898,9,2))),DATE(VALUE(MID('Raw Orders'!B898,7,4)),VALUE(MID('Raw Orders'!B898,4,2)),VALUE(LEFT('Raw Orders'!B898,2)))))</f>
        <v>46194</v>
      </c>
      <c r="B901" s="36" t="n">
        <f aca="false">IF(A901="","",A901-WEEKDAY(A901,3))</f>
        <v>46188</v>
      </c>
      <c r="C901" s="32" t="n">
        <f aca="false">IF(OR('Raw Orders'!C898&lt;&gt;"Product",'Raw Orders'!K898="Cancelled"),0,'Raw Orders'!G898)</f>
        <v>0</v>
      </c>
      <c r="D901" s="31" t="n">
        <f aca="false">IF(AND('Raw Orders'!C898="Product",'Raw Orders'!K898="Fulfilled",COUNTIFS('Raw Orders'!$A$2:$A898,'Raw Orders'!A898,'Raw Orders'!$C$2:$C898,"Product",'Raw Orders'!$K$2:$K898,"Fulfilled")=1),1,0)</f>
        <v>0</v>
      </c>
      <c r="E901" s="31" t="n">
        <f aca="false">IF(AND('Raw Orders'!C898="Product",'Raw Orders'!K898="Fulfilled"),'Raw Orders'!E898,0)</f>
        <v>0</v>
      </c>
      <c r="F901" s="32" t="n">
        <f aca="false">IF('Raw Orders'!K898="Refunded",'Raw Orders'!G898,0)</f>
        <v>0</v>
      </c>
    </row>
    <row r="902" customFormat="false" ht="15" hidden="false" customHeight="false" outlineLevel="0" collapsed="false">
      <c r="A902" s="36" t="n">
        <f aca="false">IF('Raw Orders'!B899="","",IF(MID('Raw Orders'!B899,5,1)="-",DATE(VALUE(LEFT('Raw Orders'!B899,4)),VALUE(MID('Raw Orders'!B899,6,2)),VALUE(MID('Raw Orders'!B899,9,2))),DATE(VALUE(MID('Raw Orders'!B899,7,4)),VALUE(MID('Raw Orders'!B899,4,2)),VALUE(LEFT('Raw Orders'!B899,2)))))</f>
        <v>46194</v>
      </c>
      <c r="B902" s="36" t="n">
        <f aca="false">IF(A902="","",A902-WEEKDAY(A902,3))</f>
        <v>46188</v>
      </c>
      <c r="C902" s="32" t="n">
        <f aca="false">IF(OR('Raw Orders'!C899&lt;&gt;"Product",'Raw Orders'!K899="Cancelled"),0,'Raw Orders'!G899)</f>
        <v>0</v>
      </c>
      <c r="D902" s="31" t="n">
        <f aca="false">IF(AND('Raw Orders'!C899="Product",'Raw Orders'!K899="Fulfilled",COUNTIFS('Raw Orders'!$A$2:$A899,'Raw Orders'!A899,'Raw Orders'!$C$2:$C899,"Product",'Raw Orders'!$K$2:$K899,"Fulfilled")=1),1,0)</f>
        <v>0</v>
      </c>
      <c r="E902" s="31" t="n">
        <f aca="false">IF(AND('Raw Orders'!C899="Product",'Raw Orders'!K899="Fulfilled"),'Raw Orders'!E899,0)</f>
        <v>0</v>
      </c>
      <c r="F902" s="32" t="n">
        <f aca="false">IF('Raw Orders'!K899="Refunded",'Raw Orders'!G899,0)</f>
        <v>0</v>
      </c>
    </row>
    <row r="903" customFormat="false" ht="15" hidden="false" customHeight="false" outlineLevel="0" collapsed="false">
      <c r="A903" s="36" t="n">
        <f aca="false">IF('Raw Orders'!B900="","",IF(MID('Raw Orders'!B900,5,1)="-",DATE(VALUE(LEFT('Raw Orders'!B900,4)),VALUE(MID('Raw Orders'!B900,6,2)),VALUE(MID('Raw Orders'!B900,9,2))),DATE(VALUE(MID('Raw Orders'!B900,7,4)),VALUE(MID('Raw Orders'!B900,4,2)),VALUE(LEFT('Raw Orders'!B900,2)))))</f>
        <v>46194</v>
      </c>
      <c r="B903" s="36" t="n">
        <f aca="false">IF(A903="","",A903-WEEKDAY(A903,3))</f>
        <v>46188</v>
      </c>
      <c r="C903" s="32" t="n">
        <f aca="false">IF(OR('Raw Orders'!C900&lt;&gt;"Product",'Raw Orders'!K900="Cancelled"),0,'Raw Orders'!G900)</f>
        <v>28</v>
      </c>
      <c r="D903" s="31" t="n">
        <f aca="false">IF(AND('Raw Orders'!C900="Product",'Raw Orders'!K900="Fulfilled",COUNTIFS('Raw Orders'!$A$2:$A900,'Raw Orders'!A900,'Raw Orders'!$C$2:$C900,"Product",'Raw Orders'!$K$2:$K900,"Fulfilled")=1),1,0)</f>
        <v>1</v>
      </c>
      <c r="E903" s="31" t="n">
        <f aca="false">IF(AND('Raw Orders'!C900="Product",'Raw Orders'!K900="Fulfilled"),'Raw Orders'!E900,0)</f>
        <v>1</v>
      </c>
      <c r="F903" s="32" t="n">
        <f aca="false">IF('Raw Orders'!K900="Refunded",'Raw Orders'!G900,0)</f>
        <v>0</v>
      </c>
    </row>
    <row r="904" customFormat="false" ht="15" hidden="false" customHeight="false" outlineLevel="0" collapsed="false">
      <c r="A904" s="36" t="n">
        <f aca="false">IF('Raw Orders'!B901="","",IF(MID('Raw Orders'!B901,5,1)="-",DATE(VALUE(LEFT('Raw Orders'!B901,4)),VALUE(MID('Raw Orders'!B901,6,2)),VALUE(MID('Raw Orders'!B901,9,2))),DATE(VALUE(MID('Raw Orders'!B901,7,4)),VALUE(MID('Raw Orders'!B901,4,2)),VALUE(LEFT('Raw Orders'!B901,2)))))</f>
        <v>46194</v>
      </c>
      <c r="B904" s="36" t="n">
        <f aca="false">IF(A904="","",A904-WEEKDAY(A904,3))</f>
        <v>46188</v>
      </c>
      <c r="C904" s="32" t="n">
        <f aca="false">IF(OR('Raw Orders'!C901&lt;&gt;"Product",'Raw Orders'!K901="Cancelled"),0,'Raw Orders'!G901)</f>
        <v>178</v>
      </c>
      <c r="D904" s="31" t="n">
        <f aca="false">IF(AND('Raw Orders'!C901="Product",'Raw Orders'!K901="Fulfilled",COUNTIFS('Raw Orders'!$A$2:$A901,'Raw Orders'!A901,'Raw Orders'!$C$2:$C901,"Product",'Raw Orders'!$K$2:$K901,"Fulfilled")=1),1,0)</f>
        <v>1</v>
      </c>
      <c r="E904" s="31" t="n">
        <f aca="false">IF(AND('Raw Orders'!C901="Product",'Raw Orders'!K901="Fulfilled"),'Raw Orders'!E901,0)</f>
        <v>2</v>
      </c>
      <c r="F904" s="32" t="n">
        <f aca="false">IF('Raw Orders'!K901="Refunded",'Raw Orders'!G901,0)</f>
        <v>0</v>
      </c>
    </row>
    <row r="905" customFormat="false" ht="15" hidden="false" customHeight="false" outlineLevel="0" collapsed="false">
      <c r="A905" s="36" t="n">
        <f aca="false">IF('Raw Orders'!B902="","",IF(MID('Raw Orders'!B902,5,1)="-",DATE(VALUE(LEFT('Raw Orders'!B902,4)),VALUE(MID('Raw Orders'!B902,6,2)),VALUE(MID('Raw Orders'!B902,9,2))),DATE(VALUE(MID('Raw Orders'!B902,7,4)),VALUE(MID('Raw Orders'!B902,4,2)),VALUE(LEFT('Raw Orders'!B902,2)))))</f>
        <v>46194</v>
      </c>
      <c r="B905" s="36" t="n">
        <f aca="false">IF(A905="","",A905-WEEKDAY(A905,3))</f>
        <v>46188</v>
      </c>
      <c r="C905" s="32" t="n">
        <f aca="false">IF(OR('Raw Orders'!C902&lt;&gt;"Product",'Raw Orders'!K902="Cancelled"),0,'Raw Orders'!G902)</f>
        <v>32</v>
      </c>
      <c r="D905" s="31" t="n">
        <f aca="false">IF(AND('Raw Orders'!C902="Product",'Raw Orders'!K902="Fulfilled",COUNTIFS('Raw Orders'!$A$2:$A902,'Raw Orders'!A902,'Raw Orders'!$C$2:$C902,"Product",'Raw Orders'!$K$2:$K902,"Fulfilled")=1),1,0)</f>
        <v>0</v>
      </c>
      <c r="E905" s="31" t="n">
        <f aca="false">IF(AND('Raw Orders'!C902="Product",'Raw Orders'!K902="Fulfilled"),'Raw Orders'!E902,0)</f>
        <v>1</v>
      </c>
      <c r="F905" s="32" t="n">
        <f aca="false">IF('Raw Orders'!K902="Refunded",'Raw Orders'!G902,0)</f>
        <v>0</v>
      </c>
    </row>
    <row r="906" customFormat="false" ht="15" hidden="false" customHeight="false" outlineLevel="0" collapsed="false">
      <c r="A906" s="36" t="n">
        <f aca="false">IF('Raw Orders'!B903="","",IF(MID('Raw Orders'!B903,5,1)="-",DATE(VALUE(LEFT('Raw Orders'!B903,4)),VALUE(MID('Raw Orders'!B903,6,2)),VALUE(MID('Raw Orders'!B903,9,2))),DATE(VALUE(MID('Raw Orders'!B903,7,4)),VALUE(MID('Raw Orders'!B903,4,2)),VALUE(LEFT('Raw Orders'!B903,2)))))</f>
        <v>46194</v>
      </c>
      <c r="B906" s="36" t="n">
        <f aca="false">IF(A906="","",A906-WEEKDAY(A906,3))</f>
        <v>46188</v>
      </c>
      <c r="C906" s="32" t="n">
        <f aca="false">IF(OR('Raw Orders'!C903&lt;&gt;"Product",'Raw Orders'!K903="Cancelled"),0,'Raw Orders'!G903)</f>
        <v>26.1</v>
      </c>
      <c r="D906" s="31" t="n">
        <f aca="false">IF(AND('Raw Orders'!C903="Product",'Raw Orders'!K903="Fulfilled",COUNTIFS('Raw Orders'!$A$2:$A903,'Raw Orders'!A903,'Raw Orders'!$C$2:$C903,"Product",'Raw Orders'!$K$2:$K903,"Fulfilled")=1),1,0)</f>
        <v>0</v>
      </c>
      <c r="E906" s="31" t="n">
        <f aca="false">IF(AND('Raw Orders'!C903="Product",'Raw Orders'!K903="Fulfilled"),'Raw Orders'!E903,0)</f>
        <v>1</v>
      </c>
      <c r="F906" s="32" t="n">
        <f aca="false">IF('Raw Orders'!K903="Refunded",'Raw Orders'!G903,0)</f>
        <v>0</v>
      </c>
    </row>
    <row r="907" customFormat="false" ht="15" hidden="false" customHeight="false" outlineLevel="0" collapsed="false">
      <c r="A907" s="36" t="n">
        <f aca="false">IF('Raw Orders'!B904="","",IF(MID('Raw Orders'!B904,5,1)="-",DATE(VALUE(LEFT('Raw Orders'!B904,4)),VALUE(MID('Raw Orders'!B904,6,2)),VALUE(MID('Raw Orders'!B904,9,2))),DATE(VALUE(MID('Raw Orders'!B904,7,4)),VALUE(MID('Raw Orders'!B904,4,2)),VALUE(LEFT('Raw Orders'!B904,2)))))</f>
        <v>46194</v>
      </c>
      <c r="B907" s="36" t="n">
        <f aca="false">IF(A907="","",A907-WEEKDAY(A907,3))</f>
        <v>46188</v>
      </c>
      <c r="C907" s="32" t="n">
        <f aca="false">IF(OR('Raw Orders'!C904&lt;&gt;"Product",'Raw Orders'!K904="Cancelled"),0,'Raw Orders'!G904)</f>
        <v>35</v>
      </c>
      <c r="D907" s="31" t="n">
        <f aca="false">IF(AND('Raw Orders'!C904="Product",'Raw Orders'!K904="Fulfilled",COUNTIFS('Raw Orders'!$A$2:$A904,'Raw Orders'!A904,'Raw Orders'!$C$2:$C904,"Product",'Raw Orders'!$K$2:$K904,"Fulfilled")=1),1,0)</f>
        <v>0</v>
      </c>
      <c r="E907" s="31" t="n">
        <f aca="false">IF(AND('Raw Orders'!C904="Product",'Raw Orders'!K904="Fulfilled"),'Raw Orders'!E904,0)</f>
        <v>1</v>
      </c>
      <c r="F907" s="32" t="n">
        <f aca="false">IF('Raw Orders'!K904="Refunded",'Raw Orders'!G904,0)</f>
        <v>0</v>
      </c>
    </row>
    <row r="908" customFormat="false" ht="15" hidden="false" customHeight="false" outlineLevel="0" collapsed="false">
      <c r="A908" s="36" t="n">
        <f aca="false">IF('Raw Orders'!B905="","",IF(MID('Raw Orders'!B905,5,1)="-",DATE(VALUE(LEFT('Raw Orders'!B905,4)),VALUE(MID('Raw Orders'!B905,6,2)),VALUE(MID('Raw Orders'!B905,9,2))),DATE(VALUE(MID('Raw Orders'!B905,7,4)),VALUE(MID('Raw Orders'!B905,4,2)),VALUE(LEFT('Raw Orders'!B905,2)))))</f>
        <v>46194</v>
      </c>
      <c r="B908" s="36" t="n">
        <f aca="false">IF(A908="","",A908-WEEKDAY(A908,3))</f>
        <v>46188</v>
      </c>
      <c r="C908" s="32" t="n">
        <f aca="false">IF(OR('Raw Orders'!C905&lt;&gt;"Product",'Raw Orders'!K905="Cancelled"),0,'Raw Orders'!G905)</f>
        <v>0</v>
      </c>
      <c r="D908" s="31" t="n">
        <f aca="false">IF(AND('Raw Orders'!C905="Product",'Raw Orders'!K905="Fulfilled",COUNTIFS('Raw Orders'!$A$2:$A905,'Raw Orders'!A905,'Raw Orders'!$C$2:$C905,"Product",'Raw Orders'!$K$2:$K905,"Fulfilled")=1),1,0)</f>
        <v>0</v>
      </c>
      <c r="E908" s="31" t="n">
        <f aca="false">IF(AND('Raw Orders'!C905="Product",'Raw Orders'!K905="Fulfilled"),'Raw Orders'!E905,0)</f>
        <v>0</v>
      </c>
      <c r="F908" s="32" t="n">
        <f aca="false">IF('Raw Orders'!K905="Refunded",'Raw Orders'!G905,0)</f>
        <v>0</v>
      </c>
    </row>
    <row r="909" customFormat="false" ht="15" hidden="false" customHeight="false" outlineLevel="0" collapsed="false">
      <c r="A909" s="36" t="n">
        <f aca="false">IF('Raw Orders'!B906="","",IF(MID('Raw Orders'!B906,5,1)="-",DATE(VALUE(LEFT('Raw Orders'!B906,4)),VALUE(MID('Raw Orders'!B906,6,2)),VALUE(MID('Raw Orders'!B906,9,2))),DATE(VALUE(MID('Raw Orders'!B906,7,4)),VALUE(MID('Raw Orders'!B906,4,2)),VALUE(LEFT('Raw Orders'!B906,2)))))</f>
        <v>46194</v>
      </c>
      <c r="B909" s="36" t="n">
        <f aca="false">IF(A909="","",A909-WEEKDAY(A909,3))</f>
        <v>46188</v>
      </c>
      <c r="C909" s="32" t="n">
        <f aca="false">IF(OR('Raw Orders'!C906&lt;&gt;"Product",'Raw Orders'!K906="Cancelled"),0,'Raw Orders'!G906)</f>
        <v>0</v>
      </c>
      <c r="D909" s="31" t="n">
        <f aca="false">IF(AND('Raw Orders'!C906="Product",'Raw Orders'!K906="Fulfilled",COUNTIFS('Raw Orders'!$A$2:$A906,'Raw Orders'!A906,'Raw Orders'!$C$2:$C906,"Product",'Raw Orders'!$K$2:$K906,"Fulfilled")=1),1,0)</f>
        <v>0</v>
      </c>
      <c r="E909" s="31" t="n">
        <f aca="false">IF(AND('Raw Orders'!C906="Product",'Raw Orders'!K906="Fulfilled"),'Raw Orders'!E906,0)</f>
        <v>0</v>
      </c>
      <c r="F909" s="32" t="n">
        <f aca="false">IF('Raw Orders'!K906="Refunded",'Raw Orders'!G906,0)</f>
        <v>0</v>
      </c>
    </row>
    <row r="910" customFormat="false" ht="15" hidden="false" customHeight="false" outlineLevel="0" collapsed="false">
      <c r="A910" s="36" t="n">
        <f aca="false">IF('Raw Orders'!B907="","",IF(MID('Raw Orders'!B907,5,1)="-",DATE(VALUE(LEFT('Raw Orders'!B907,4)),VALUE(MID('Raw Orders'!B907,6,2)),VALUE(MID('Raw Orders'!B907,9,2))),DATE(VALUE(MID('Raw Orders'!B907,7,4)),VALUE(MID('Raw Orders'!B907,4,2)),VALUE(LEFT('Raw Orders'!B907,2)))))</f>
        <v>46195</v>
      </c>
      <c r="B910" s="36" t="n">
        <f aca="false">IF(A910="","",A910-WEEKDAY(A910,3))</f>
        <v>46195</v>
      </c>
      <c r="C910" s="32" t="n">
        <f aca="false">IF(OR('Raw Orders'!C907&lt;&gt;"Product",'Raw Orders'!K907="Cancelled"),0,'Raw Orders'!G907)</f>
        <v>89</v>
      </c>
      <c r="D910" s="31" t="n">
        <f aca="false">IF(AND('Raw Orders'!C907="Product",'Raw Orders'!K907="Fulfilled",COUNTIFS('Raw Orders'!$A$2:$A907,'Raw Orders'!A907,'Raw Orders'!$C$2:$C907,"Product",'Raw Orders'!$K$2:$K907,"Fulfilled")=1),1,0)</f>
        <v>1</v>
      </c>
      <c r="E910" s="31" t="n">
        <f aca="false">IF(AND('Raw Orders'!C907="Product",'Raw Orders'!K907="Fulfilled"),'Raw Orders'!E907,0)</f>
        <v>1</v>
      </c>
      <c r="F910" s="32" t="n">
        <f aca="false">IF('Raw Orders'!K907="Refunded",'Raw Orders'!G907,0)</f>
        <v>0</v>
      </c>
    </row>
    <row r="911" customFormat="false" ht="15" hidden="false" customHeight="false" outlineLevel="0" collapsed="false">
      <c r="A911" s="36" t="n">
        <f aca="false">IF('Raw Orders'!B908="","",IF(MID('Raw Orders'!B908,5,1)="-",DATE(VALUE(LEFT('Raw Orders'!B908,4)),VALUE(MID('Raw Orders'!B908,6,2)),VALUE(MID('Raw Orders'!B908,9,2))),DATE(VALUE(MID('Raw Orders'!B908,7,4)),VALUE(MID('Raw Orders'!B908,4,2)),VALUE(LEFT('Raw Orders'!B908,2)))))</f>
        <v>46195</v>
      </c>
      <c r="B911" s="36" t="n">
        <f aca="false">IF(A911="","",A911-WEEKDAY(A911,3))</f>
        <v>46195</v>
      </c>
      <c r="C911" s="32" t="n">
        <f aca="false">IF(OR('Raw Orders'!C908&lt;&gt;"Product",'Raw Orders'!K908="Cancelled"),0,'Raw Orders'!G908)</f>
        <v>25.6</v>
      </c>
      <c r="D911" s="31" t="n">
        <f aca="false">IF(AND('Raw Orders'!C908="Product",'Raw Orders'!K908="Fulfilled",COUNTIFS('Raw Orders'!$A$2:$A908,'Raw Orders'!A908,'Raw Orders'!$C$2:$C908,"Product",'Raw Orders'!$K$2:$K908,"Fulfilled")=1),1,0)</f>
        <v>0</v>
      </c>
      <c r="E911" s="31" t="n">
        <f aca="false">IF(AND('Raw Orders'!C908="Product",'Raw Orders'!K908="Fulfilled"),'Raw Orders'!E908,0)</f>
        <v>1</v>
      </c>
      <c r="F911" s="32" t="n">
        <f aca="false">IF('Raw Orders'!K908="Refunded",'Raw Orders'!G908,0)</f>
        <v>0</v>
      </c>
    </row>
    <row r="912" customFormat="false" ht="15" hidden="false" customHeight="false" outlineLevel="0" collapsed="false">
      <c r="A912" s="36" t="n">
        <f aca="false">IF('Raw Orders'!B909="","",IF(MID('Raw Orders'!B909,5,1)="-",DATE(VALUE(LEFT('Raw Orders'!B909,4)),VALUE(MID('Raw Orders'!B909,6,2)),VALUE(MID('Raw Orders'!B909,9,2))),DATE(VALUE(MID('Raw Orders'!B909,7,4)),VALUE(MID('Raw Orders'!B909,4,2)),VALUE(LEFT('Raw Orders'!B909,2)))))</f>
        <v>46195</v>
      </c>
      <c r="B912" s="36" t="n">
        <f aca="false">IF(A912="","",A912-WEEKDAY(A912,3))</f>
        <v>46195</v>
      </c>
      <c r="C912" s="32" t="n">
        <f aca="false">IF(OR('Raw Orders'!C909&lt;&gt;"Product",'Raw Orders'!K909="Cancelled"),0,'Raw Orders'!G909)</f>
        <v>0</v>
      </c>
      <c r="D912" s="31" t="n">
        <f aca="false">IF(AND('Raw Orders'!C909="Product",'Raw Orders'!K909="Fulfilled",COUNTIFS('Raw Orders'!$A$2:$A909,'Raw Orders'!A909,'Raw Orders'!$C$2:$C909,"Product",'Raw Orders'!$K$2:$K909,"Fulfilled")=1),1,0)</f>
        <v>0</v>
      </c>
      <c r="E912" s="31" t="n">
        <f aca="false">IF(AND('Raw Orders'!C909="Product",'Raw Orders'!K909="Fulfilled"),'Raw Orders'!E909,0)</f>
        <v>0</v>
      </c>
      <c r="F912" s="32" t="n">
        <f aca="false">IF('Raw Orders'!K909="Refunded",'Raw Orders'!G909,0)</f>
        <v>0</v>
      </c>
    </row>
    <row r="913" customFormat="false" ht="15" hidden="false" customHeight="false" outlineLevel="0" collapsed="false">
      <c r="A913" s="36" t="n">
        <f aca="false">IF('Raw Orders'!B910="","",IF(MID('Raw Orders'!B910,5,1)="-",DATE(VALUE(LEFT('Raw Orders'!B910,4)),VALUE(MID('Raw Orders'!B910,6,2)),VALUE(MID('Raw Orders'!B910,9,2))),DATE(VALUE(MID('Raw Orders'!B910,7,4)),VALUE(MID('Raw Orders'!B910,4,2)),VALUE(LEFT('Raw Orders'!B910,2)))))</f>
        <v>46195</v>
      </c>
      <c r="B913" s="36" t="n">
        <f aca="false">IF(A913="","",A913-WEEKDAY(A913,3))</f>
        <v>46195</v>
      </c>
      <c r="C913" s="32" t="n">
        <f aca="false">IF(OR('Raw Orders'!C910&lt;&gt;"Product",'Raw Orders'!K910="Cancelled"),0,'Raw Orders'!G910)</f>
        <v>0</v>
      </c>
      <c r="D913" s="31" t="n">
        <f aca="false">IF(AND('Raw Orders'!C910="Product",'Raw Orders'!K910="Fulfilled",COUNTIFS('Raw Orders'!$A$2:$A910,'Raw Orders'!A910,'Raw Orders'!$C$2:$C910,"Product",'Raw Orders'!$K$2:$K910,"Fulfilled")=1),1,0)</f>
        <v>0</v>
      </c>
      <c r="E913" s="31" t="n">
        <f aca="false">IF(AND('Raw Orders'!C910="Product",'Raw Orders'!K910="Fulfilled"),'Raw Orders'!E910,0)</f>
        <v>0</v>
      </c>
      <c r="F913" s="32" t="n">
        <f aca="false">IF('Raw Orders'!K910="Refunded",'Raw Orders'!G910,0)</f>
        <v>0</v>
      </c>
    </row>
    <row r="914" customFormat="false" ht="15" hidden="false" customHeight="false" outlineLevel="0" collapsed="false">
      <c r="A914" s="36" t="n">
        <f aca="false">IF('Raw Orders'!B911="","",IF(MID('Raw Orders'!B911,5,1)="-",DATE(VALUE(LEFT('Raw Orders'!B911,4)),VALUE(MID('Raw Orders'!B911,6,2)),VALUE(MID('Raw Orders'!B911,9,2))),DATE(VALUE(MID('Raw Orders'!B911,7,4)),VALUE(MID('Raw Orders'!B911,4,2)),VALUE(LEFT('Raw Orders'!B911,2)))))</f>
        <v>46195</v>
      </c>
      <c r="B914" s="36" t="n">
        <f aca="false">IF(A914="","",A914-WEEKDAY(A914,3))</f>
        <v>46195</v>
      </c>
      <c r="C914" s="32" t="n">
        <f aca="false">IF(OR('Raw Orders'!C911&lt;&gt;"Product",'Raw Orders'!K911="Cancelled"),0,'Raw Orders'!G911)</f>
        <v>89</v>
      </c>
      <c r="D914" s="31" t="n">
        <f aca="false">IF(AND('Raw Orders'!C911="Product",'Raw Orders'!K911="Fulfilled",COUNTIFS('Raw Orders'!$A$2:$A911,'Raw Orders'!A911,'Raw Orders'!$C$2:$C911,"Product",'Raw Orders'!$K$2:$K911,"Fulfilled")=1),1,0)</f>
        <v>1</v>
      </c>
      <c r="E914" s="31" t="n">
        <f aca="false">IF(AND('Raw Orders'!C911="Product",'Raw Orders'!K911="Fulfilled"),'Raw Orders'!E911,0)</f>
        <v>1</v>
      </c>
      <c r="F914" s="32" t="n">
        <f aca="false">IF('Raw Orders'!K911="Refunded",'Raw Orders'!G911,0)</f>
        <v>0</v>
      </c>
    </row>
    <row r="915" customFormat="false" ht="15" hidden="false" customHeight="false" outlineLevel="0" collapsed="false">
      <c r="A915" s="36" t="n">
        <f aca="false">IF('Raw Orders'!B912="","",IF(MID('Raw Orders'!B912,5,1)="-",DATE(VALUE(LEFT('Raw Orders'!B912,4)),VALUE(MID('Raw Orders'!B912,6,2)),VALUE(MID('Raw Orders'!B912,9,2))),DATE(VALUE(MID('Raw Orders'!B912,7,4)),VALUE(MID('Raw Orders'!B912,4,2)),VALUE(LEFT('Raw Orders'!B912,2)))))</f>
        <v>46195</v>
      </c>
      <c r="B915" s="36" t="n">
        <f aca="false">IF(A915="","",A915-WEEKDAY(A915,3))</f>
        <v>46195</v>
      </c>
      <c r="C915" s="32" t="n">
        <f aca="false">IF(OR('Raw Orders'!C912&lt;&gt;"Product",'Raw Orders'!K912="Cancelled"),0,'Raw Orders'!G912)</f>
        <v>69</v>
      </c>
      <c r="D915" s="31" t="n">
        <f aca="false">IF(AND('Raw Orders'!C912="Product",'Raw Orders'!K912="Fulfilled",COUNTIFS('Raw Orders'!$A$2:$A912,'Raw Orders'!A912,'Raw Orders'!$C$2:$C912,"Product",'Raw Orders'!$K$2:$K912,"Fulfilled")=1),1,0)</f>
        <v>0</v>
      </c>
      <c r="E915" s="31" t="n">
        <f aca="false">IF(AND('Raw Orders'!C912="Product",'Raw Orders'!K912="Fulfilled"),'Raw Orders'!E912,0)</f>
        <v>1</v>
      </c>
      <c r="F915" s="32" t="n">
        <f aca="false">IF('Raw Orders'!K912="Refunded",'Raw Orders'!G912,0)</f>
        <v>0</v>
      </c>
    </row>
    <row r="916" customFormat="false" ht="15" hidden="false" customHeight="false" outlineLevel="0" collapsed="false">
      <c r="A916" s="36" t="n">
        <f aca="false">IF('Raw Orders'!B913="","",IF(MID('Raw Orders'!B913,5,1)="-",DATE(VALUE(LEFT('Raw Orders'!B913,4)),VALUE(MID('Raw Orders'!B913,6,2)),VALUE(MID('Raw Orders'!B913,9,2))),DATE(VALUE(MID('Raw Orders'!B913,7,4)),VALUE(MID('Raw Orders'!B913,4,2)),VALUE(LEFT('Raw Orders'!B913,2)))))</f>
        <v>46195</v>
      </c>
      <c r="B916" s="36" t="n">
        <f aca="false">IF(A916="","",A916-WEEKDAY(A916,3))</f>
        <v>46195</v>
      </c>
      <c r="C916" s="32" t="n">
        <f aca="false">IF(OR('Raw Orders'!C913&lt;&gt;"Product",'Raw Orders'!K913="Cancelled"),0,'Raw Orders'!G913)</f>
        <v>78</v>
      </c>
      <c r="D916" s="31" t="n">
        <f aca="false">IF(AND('Raw Orders'!C913="Product",'Raw Orders'!K913="Fulfilled",COUNTIFS('Raw Orders'!$A$2:$A913,'Raw Orders'!A913,'Raw Orders'!$C$2:$C913,"Product",'Raw Orders'!$K$2:$K913,"Fulfilled")=1),1,0)</f>
        <v>1</v>
      </c>
      <c r="E916" s="31" t="n">
        <f aca="false">IF(AND('Raw Orders'!C913="Product",'Raw Orders'!K913="Fulfilled"),'Raw Orders'!E913,0)</f>
        <v>2</v>
      </c>
      <c r="F916" s="32" t="n">
        <f aca="false">IF('Raw Orders'!K913="Refunded",'Raw Orders'!G913,0)</f>
        <v>0</v>
      </c>
    </row>
    <row r="917" customFormat="false" ht="15" hidden="false" customHeight="false" outlineLevel="0" collapsed="false">
      <c r="A917" s="36" t="n">
        <f aca="false">IF('Raw Orders'!B914="","",IF(MID('Raw Orders'!B914,5,1)="-",DATE(VALUE(LEFT('Raw Orders'!B914,4)),VALUE(MID('Raw Orders'!B914,6,2)),VALUE(MID('Raw Orders'!B914,9,2))),DATE(VALUE(MID('Raw Orders'!B914,7,4)),VALUE(MID('Raw Orders'!B914,4,2)),VALUE(LEFT('Raw Orders'!B914,2)))))</f>
        <v>46195</v>
      </c>
      <c r="B917" s="36" t="n">
        <f aca="false">IF(A917="","",A917-WEEKDAY(A917,3))</f>
        <v>46195</v>
      </c>
      <c r="C917" s="32" t="n">
        <f aca="false">IF(OR('Raw Orders'!C914&lt;&gt;"Product",'Raw Orders'!K914="Cancelled"),0,'Raw Orders'!G914)</f>
        <v>0</v>
      </c>
      <c r="D917" s="31" t="n">
        <f aca="false">IF(AND('Raw Orders'!C914="Product",'Raw Orders'!K914="Fulfilled",COUNTIFS('Raw Orders'!$A$2:$A914,'Raw Orders'!A914,'Raw Orders'!$C$2:$C914,"Product",'Raw Orders'!$K$2:$K914,"Fulfilled")=1),1,0)</f>
        <v>0</v>
      </c>
      <c r="E917" s="31" t="n">
        <f aca="false">IF(AND('Raw Orders'!C914="Product",'Raw Orders'!K914="Fulfilled"),'Raw Orders'!E914,0)</f>
        <v>0</v>
      </c>
      <c r="F917" s="32" t="n">
        <f aca="false">IF('Raw Orders'!K914="Refunded",'Raw Orders'!G914,0)</f>
        <v>0</v>
      </c>
    </row>
    <row r="918" customFormat="false" ht="15" hidden="false" customHeight="false" outlineLevel="0" collapsed="false">
      <c r="A918" s="36" t="n">
        <f aca="false">IF('Raw Orders'!B915="","",IF(MID('Raw Orders'!B915,5,1)="-",DATE(VALUE(LEFT('Raw Orders'!B915,4)),VALUE(MID('Raw Orders'!B915,6,2)),VALUE(MID('Raw Orders'!B915,9,2))),DATE(VALUE(MID('Raw Orders'!B915,7,4)),VALUE(MID('Raw Orders'!B915,4,2)),VALUE(LEFT('Raw Orders'!B915,2)))))</f>
        <v>46196</v>
      </c>
      <c r="B918" s="36" t="n">
        <f aca="false">IF(A918="","",A918-WEEKDAY(A918,3))</f>
        <v>46195</v>
      </c>
      <c r="C918" s="32" t="n">
        <f aca="false">IF(OR('Raw Orders'!C915&lt;&gt;"Product",'Raw Orders'!K915="Cancelled"),0,'Raw Orders'!G915)</f>
        <v>80.1</v>
      </c>
      <c r="D918" s="31" t="n">
        <f aca="false">IF(AND('Raw Orders'!C915="Product",'Raw Orders'!K915="Fulfilled",COUNTIFS('Raw Orders'!$A$2:$A915,'Raw Orders'!A915,'Raw Orders'!$C$2:$C915,"Product",'Raw Orders'!$K$2:$K915,"Fulfilled")=1),1,0)</f>
        <v>1</v>
      </c>
      <c r="E918" s="31" t="n">
        <f aca="false">IF(AND('Raw Orders'!C915="Product",'Raw Orders'!K915="Fulfilled"),'Raw Orders'!E915,0)</f>
        <v>1</v>
      </c>
      <c r="F918" s="32" t="n">
        <f aca="false">IF('Raw Orders'!K915="Refunded",'Raw Orders'!G915,0)</f>
        <v>0</v>
      </c>
    </row>
    <row r="919" customFormat="false" ht="15" hidden="false" customHeight="false" outlineLevel="0" collapsed="false">
      <c r="A919" s="36" t="n">
        <f aca="false">IF('Raw Orders'!B916="","",IF(MID('Raw Orders'!B916,5,1)="-",DATE(VALUE(LEFT('Raw Orders'!B916,4)),VALUE(MID('Raw Orders'!B916,6,2)),VALUE(MID('Raw Orders'!B916,9,2))),DATE(VALUE(MID('Raw Orders'!B916,7,4)),VALUE(MID('Raw Orders'!B916,4,2)),VALUE(LEFT('Raw Orders'!B916,2)))))</f>
        <v>46196</v>
      </c>
      <c r="B919" s="36" t="n">
        <f aca="false">IF(A919="","",A919-WEEKDAY(A919,3))</f>
        <v>46195</v>
      </c>
      <c r="C919" s="32" t="n">
        <f aca="false">IF(OR('Raw Orders'!C916&lt;&gt;"Product",'Raw Orders'!K916="Cancelled"),0,'Raw Orders'!G916)</f>
        <v>52</v>
      </c>
      <c r="D919" s="31" t="n">
        <f aca="false">IF(AND('Raw Orders'!C916="Product",'Raw Orders'!K916="Fulfilled",COUNTIFS('Raw Orders'!$A$2:$A916,'Raw Orders'!A916,'Raw Orders'!$C$2:$C916,"Product",'Raw Orders'!$K$2:$K916,"Fulfilled")=1),1,0)</f>
        <v>1</v>
      </c>
      <c r="E919" s="31" t="n">
        <f aca="false">IF(AND('Raw Orders'!C916="Product",'Raw Orders'!K916="Fulfilled"),'Raw Orders'!E916,0)</f>
        <v>2</v>
      </c>
      <c r="F919" s="32" t="n">
        <f aca="false">IF('Raw Orders'!K916="Refunded",'Raw Orders'!G916,0)</f>
        <v>0</v>
      </c>
    </row>
    <row r="920" customFormat="false" ht="15" hidden="false" customHeight="false" outlineLevel="0" collapsed="false">
      <c r="A920" s="36" t="n">
        <f aca="false">IF('Raw Orders'!B917="","",IF(MID('Raw Orders'!B917,5,1)="-",DATE(VALUE(LEFT('Raw Orders'!B917,4)),VALUE(MID('Raw Orders'!B917,6,2)),VALUE(MID('Raw Orders'!B917,9,2))),DATE(VALUE(MID('Raw Orders'!B917,7,4)),VALUE(MID('Raw Orders'!B917,4,2)),VALUE(LEFT('Raw Orders'!B917,2)))))</f>
        <v>46196</v>
      </c>
      <c r="B920" s="36" t="n">
        <f aca="false">IF(A920="","",A920-WEEKDAY(A920,3))</f>
        <v>46195</v>
      </c>
      <c r="C920" s="32" t="n">
        <f aca="false">IF(OR('Raw Orders'!C917&lt;&gt;"Product",'Raw Orders'!K917="Cancelled"),0,'Raw Orders'!G917)</f>
        <v>0</v>
      </c>
      <c r="D920" s="31" t="n">
        <f aca="false">IF(AND('Raw Orders'!C917="Product",'Raw Orders'!K917="Fulfilled",COUNTIFS('Raw Orders'!$A$2:$A917,'Raw Orders'!A917,'Raw Orders'!$C$2:$C917,"Product",'Raw Orders'!$K$2:$K917,"Fulfilled")=1),1,0)</f>
        <v>0</v>
      </c>
      <c r="E920" s="31" t="n">
        <f aca="false">IF(AND('Raw Orders'!C917="Product",'Raw Orders'!K917="Fulfilled"),'Raw Orders'!E917,0)</f>
        <v>0</v>
      </c>
      <c r="F920" s="32" t="n">
        <f aca="false">IF('Raw Orders'!K917="Refunded",'Raw Orders'!G917,0)</f>
        <v>0</v>
      </c>
    </row>
    <row r="921" customFormat="false" ht="15" hidden="false" customHeight="false" outlineLevel="0" collapsed="false">
      <c r="A921" s="36" t="n">
        <f aca="false">IF('Raw Orders'!B918="","",IF(MID('Raw Orders'!B918,5,1)="-",DATE(VALUE(LEFT('Raw Orders'!B918,4)),VALUE(MID('Raw Orders'!B918,6,2)),VALUE(MID('Raw Orders'!B918,9,2))),DATE(VALUE(MID('Raw Orders'!B918,7,4)),VALUE(MID('Raw Orders'!B918,4,2)),VALUE(LEFT('Raw Orders'!B918,2)))))</f>
        <v>46196</v>
      </c>
      <c r="B921" s="36" t="n">
        <f aca="false">IF(A921="","",A921-WEEKDAY(A921,3))</f>
        <v>46195</v>
      </c>
      <c r="C921" s="32" t="n">
        <f aca="false">IF(OR('Raw Orders'!C918&lt;&gt;"Product",'Raw Orders'!K918="Cancelled"),0,'Raw Orders'!G918)</f>
        <v>89</v>
      </c>
      <c r="D921" s="31" t="n">
        <f aca="false">IF(AND('Raw Orders'!C918="Product",'Raw Orders'!K918="Fulfilled",COUNTIFS('Raw Orders'!$A$2:$A918,'Raw Orders'!A918,'Raw Orders'!$C$2:$C918,"Product",'Raw Orders'!$K$2:$K918,"Fulfilled")=1),1,0)</f>
        <v>0</v>
      </c>
      <c r="E921" s="31" t="n">
        <f aca="false">IF(AND('Raw Orders'!C918="Product",'Raw Orders'!K918="Fulfilled"),'Raw Orders'!E918,0)</f>
        <v>1</v>
      </c>
      <c r="F921" s="32" t="n">
        <f aca="false">IF('Raw Orders'!K918="Refunded",'Raw Orders'!G918,0)</f>
        <v>0</v>
      </c>
    </row>
    <row r="922" customFormat="false" ht="15" hidden="false" customHeight="false" outlineLevel="0" collapsed="false">
      <c r="A922" s="36" t="n">
        <f aca="false">IF('Raw Orders'!B919="","",IF(MID('Raw Orders'!B919,5,1)="-",DATE(VALUE(LEFT('Raw Orders'!B919,4)),VALUE(MID('Raw Orders'!B919,6,2)),VALUE(MID('Raw Orders'!B919,9,2))),DATE(VALUE(MID('Raw Orders'!B919,7,4)),VALUE(MID('Raw Orders'!B919,4,2)),VALUE(LEFT('Raw Orders'!B919,2)))))</f>
        <v>46196</v>
      </c>
      <c r="B922" s="36" t="n">
        <f aca="false">IF(A922="","",A922-WEEKDAY(A922,3))</f>
        <v>46195</v>
      </c>
      <c r="C922" s="32" t="n">
        <f aca="false">IF(OR('Raw Orders'!C919&lt;&gt;"Product",'Raw Orders'!K919="Cancelled"),0,'Raw Orders'!G919)</f>
        <v>39</v>
      </c>
      <c r="D922" s="31" t="n">
        <f aca="false">IF(AND('Raw Orders'!C919="Product",'Raw Orders'!K919="Fulfilled",COUNTIFS('Raw Orders'!$A$2:$A919,'Raw Orders'!A919,'Raw Orders'!$C$2:$C919,"Product",'Raw Orders'!$K$2:$K919,"Fulfilled")=1),1,0)</f>
        <v>1</v>
      </c>
      <c r="E922" s="31" t="n">
        <f aca="false">IF(AND('Raw Orders'!C919="Product",'Raw Orders'!K919="Fulfilled"),'Raw Orders'!E919,0)</f>
        <v>1</v>
      </c>
      <c r="F922" s="32" t="n">
        <f aca="false">IF('Raw Orders'!K919="Refunded",'Raw Orders'!G919,0)</f>
        <v>0</v>
      </c>
    </row>
    <row r="923" customFormat="false" ht="15" hidden="false" customHeight="false" outlineLevel="0" collapsed="false">
      <c r="A923" s="36" t="n">
        <f aca="false">IF('Raw Orders'!B920="","",IF(MID('Raw Orders'!B920,5,1)="-",DATE(VALUE(LEFT('Raw Orders'!B920,4)),VALUE(MID('Raw Orders'!B920,6,2)),VALUE(MID('Raw Orders'!B920,9,2))),DATE(VALUE(MID('Raw Orders'!B920,7,4)),VALUE(MID('Raw Orders'!B920,4,2)),VALUE(LEFT('Raw Orders'!B920,2)))))</f>
        <v>46196</v>
      </c>
      <c r="B923" s="36" t="n">
        <f aca="false">IF(A923="","",A923-WEEKDAY(A923,3))</f>
        <v>46195</v>
      </c>
      <c r="C923" s="32" t="n">
        <f aca="false">IF(OR('Raw Orders'!C920&lt;&gt;"Product",'Raw Orders'!K920="Cancelled"),0,'Raw Orders'!G920)</f>
        <v>89</v>
      </c>
      <c r="D923" s="31" t="n">
        <f aca="false">IF(AND('Raw Orders'!C920="Product",'Raw Orders'!K920="Fulfilled",COUNTIFS('Raw Orders'!$A$2:$A920,'Raw Orders'!A920,'Raw Orders'!$C$2:$C920,"Product",'Raw Orders'!$K$2:$K920,"Fulfilled")=1),1,0)</f>
        <v>1</v>
      </c>
      <c r="E923" s="31" t="n">
        <f aca="false">IF(AND('Raw Orders'!C920="Product",'Raw Orders'!K920="Fulfilled"),'Raw Orders'!E920,0)</f>
        <v>1</v>
      </c>
      <c r="F923" s="32" t="n">
        <f aca="false">IF('Raw Orders'!K920="Refunded",'Raw Orders'!G920,0)</f>
        <v>0</v>
      </c>
    </row>
    <row r="924" customFormat="false" ht="15" hidden="false" customHeight="false" outlineLevel="0" collapsed="false">
      <c r="A924" s="36" t="n">
        <f aca="false">IF('Raw Orders'!B921="","",IF(MID('Raw Orders'!B921,5,1)="-",DATE(VALUE(LEFT('Raw Orders'!B921,4)),VALUE(MID('Raw Orders'!B921,6,2)),VALUE(MID('Raw Orders'!B921,9,2))),DATE(VALUE(MID('Raw Orders'!B921,7,4)),VALUE(MID('Raw Orders'!B921,4,2)),VALUE(LEFT('Raw Orders'!B921,2)))))</f>
        <v>46196</v>
      </c>
      <c r="B924" s="36" t="n">
        <f aca="false">IF(A924="","",A924-WEEKDAY(A924,3))</f>
        <v>46195</v>
      </c>
      <c r="C924" s="32" t="n">
        <f aca="false">IF(OR('Raw Orders'!C921&lt;&gt;"Product",'Raw Orders'!K921="Cancelled"),0,'Raw Orders'!G921)</f>
        <v>90</v>
      </c>
      <c r="D924" s="31" t="n">
        <f aca="false">IF(AND('Raw Orders'!C921="Product",'Raw Orders'!K921="Fulfilled",COUNTIFS('Raw Orders'!$A$2:$A921,'Raw Orders'!A921,'Raw Orders'!$C$2:$C921,"Product",'Raw Orders'!$K$2:$K921,"Fulfilled")=1),1,0)</f>
        <v>1</v>
      </c>
      <c r="E924" s="31" t="n">
        <f aca="false">IF(AND('Raw Orders'!C921="Product",'Raw Orders'!K921="Fulfilled"),'Raw Orders'!E921,0)</f>
        <v>2</v>
      </c>
      <c r="F924" s="32" t="n">
        <f aca="false">IF('Raw Orders'!K921="Refunded",'Raw Orders'!G921,0)</f>
        <v>0</v>
      </c>
    </row>
    <row r="925" customFormat="false" ht="15" hidden="false" customHeight="false" outlineLevel="0" collapsed="false">
      <c r="A925" s="36" t="n">
        <f aca="false">IF('Raw Orders'!B922="","",IF(MID('Raw Orders'!B922,5,1)="-",DATE(VALUE(LEFT('Raw Orders'!B922,4)),VALUE(MID('Raw Orders'!B922,6,2)),VALUE(MID('Raw Orders'!B922,9,2))),DATE(VALUE(MID('Raw Orders'!B922,7,4)),VALUE(MID('Raw Orders'!B922,4,2)),VALUE(LEFT('Raw Orders'!B922,2)))))</f>
        <v>46196</v>
      </c>
      <c r="B925" s="36" t="n">
        <f aca="false">IF(A925="","",A925-WEEKDAY(A925,3))</f>
        <v>46195</v>
      </c>
      <c r="C925" s="32" t="n">
        <f aca="false">IF(OR('Raw Orders'!C922&lt;&gt;"Product",'Raw Orders'!K922="Cancelled"),0,'Raw Orders'!G922)</f>
        <v>0</v>
      </c>
      <c r="D925" s="31" t="n">
        <f aca="false">IF(AND('Raw Orders'!C922="Product",'Raw Orders'!K922="Fulfilled",COUNTIFS('Raw Orders'!$A$2:$A922,'Raw Orders'!A922,'Raw Orders'!$C$2:$C922,"Product",'Raw Orders'!$K$2:$K922,"Fulfilled")=1),1,0)</f>
        <v>0</v>
      </c>
      <c r="E925" s="31" t="n">
        <f aca="false">IF(AND('Raw Orders'!C922="Product",'Raw Orders'!K922="Fulfilled"),'Raw Orders'!E922,0)</f>
        <v>0</v>
      </c>
      <c r="F925" s="32" t="n">
        <f aca="false">IF('Raw Orders'!K922="Refunded",'Raw Orders'!G922,0)</f>
        <v>0</v>
      </c>
    </row>
    <row r="926" customFormat="false" ht="15" hidden="false" customHeight="false" outlineLevel="0" collapsed="false">
      <c r="A926" s="36" t="n">
        <f aca="false">IF('Raw Orders'!B923="","",IF(MID('Raw Orders'!B923,5,1)="-",DATE(VALUE(LEFT('Raw Orders'!B923,4)),VALUE(MID('Raw Orders'!B923,6,2)),VALUE(MID('Raw Orders'!B923,9,2))),DATE(VALUE(MID('Raw Orders'!B923,7,4)),VALUE(MID('Raw Orders'!B923,4,2)),VALUE(LEFT('Raw Orders'!B923,2)))))</f>
        <v>46196</v>
      </c>
      <c r="B926" s="36" t="n">
        <f aca="false">IF(A926="","",A926-WEEKDAY(A926,3))</f>
        <v>46195</v>
      </c>
      <c r="C926" s="32" t="n">
        <f aca="false">IF(OR('Raw Orders'!C923&lt;&gt;"Product",'Raw Orders'!K923="Cancelled"),0,'Raw Orders'!G923)</f>
        <v>89</v>
      </c>
      <c r="D926" s="31" t="n">
        <f aca="false">IF(AND('Raw Orders'!C923="Product",'Raw Orders'!K923="Fulfilled",COUNTIFS('Raw Orders'!$A$2:$A923,'Raw Orders'!A923,'Raw Orders'!$C$2:$C923,"Product",'Raw Orders'!$K$2:$K923,"Fulfilled")=1),1,0)</f>
        <v>1</v>
      </c>
      <c r="E926" s="31" t="n">
        <f aca="false">IF(AND('Raw Orders'!C923="Product",'Raw Orders'!K923="Fulfilled"),'Raw Orders'!E923,0)</f>
        <v>1</v>
      </c>
      <c r="F926" s="32" t="n">
        <f aca="false">IF('Raw Orders'!K923="Refunded",'Raw Orders'!G923,0)</f>
        <v>0</v>
      </c>
    </row>
    <row r="927" customFormat="false" ht="15" hidden="false" customHeight="false" outlineLevel="0" collapsed="false">
      <c r="A927" s="36" t="n">
        <f aca="false">IF('Raw Orders'!B924="","",IF(MID('Raw Orders'!B924,5,1)="-",DATE(VALUE(LEFT('Raw Orders'!B924,4)),VALUE(MID('Raw Orders'!B924,6,2)),VALUE(MID('Raw Orders'!B924,9,2))),DATE(VALUE(MID('Raw Orders'!B924,7,4)),VALUE(MID('Raw Orders'!B924,4,2)),VALUE(LEFT('Raw Orders'!B924,2)))))</f>
        <v>46196</v>
      </c>
      <c r="B927" s="36" t="n">
        <f aca="false">IF(A927="","",A927-WEEKDAY(A927,3))</f>
        <v>46195</v>
      </c>
      <c r="C927" s="32" t="n">
        <f aca="false">IF(OR('Raw Orders'!C924&lt;&gt;"Product",'Raw Orders'!K924="Cancelled"),0,'Raw Orders'!G924)</f>
        <v>105</v>
      </c>
      <c r="D927" s="31" t="n">
        <f aca="false">IF(AND('Raw Orders'!C924="Product",'Raw Orders'!K924="Fulfilled",COUNTIFS('Raw Orders'!$A$2:$A924,'Raw Orders'!A924,'Raw Orders'!$C$2:$C924,"Product",'Raw Orders'!$K$2:$K924,"Fulfilled")=1),1,0)</f>
        <v>0</v>
      </c>
      <c r="E927" s="31" t="n">
        <f aca="false">IF(AND('Raw Orders'!C924="Product",'Raw Orders'!K924="Fulfilled"),'Raw Orders'!E924,0)</f>
        <v>3</v>
      </c>
      <c r="F927" s="32" t="n">
        <f aca="false">IF('Raw Orders'!K924="Refunded",'Raw Orders'!G924,0)</f>
        <v>0</v>
      </c>
    </row>
    <row r="928" customFormat="false" ht="15" hidden="false" customHeight="false" outlineLevel="0" collapsed="false">
      <c r="A928" s="36" t="n">
        <f aca="false">IF('Raw Orders'!B925="","",IF(MID('Raw Orders'!B925,5,1)="-",DATE(VALUE(LEFT('Raw Orders'!B925,4)),VALUE(MID('Raw Orders'!B925,6,2)),VALUE(MID('Raw Orders'!B925,9,2))),DATE(VALUE(MID('Raw Orders'!B925,7,4)),VALUE(MID('Raw Orders'!B925,4,2)),VALUE(LEFT('Raw Orders'!B925,2)))))</f>
        <v>46196</v>
      </c>
      <c r="B928" s="36" t="n">
        <f aca="false">IF(A928="","",A928-WEEKDAY(A928,3))</f>
        <v>46195</v>
      </c>
      <c r="C928" s="32" t="n">
        <f aca="false">IF(OR('Raw Orders'!C925&lt;&gt;"Product",'Raw Orders'!K925="Cancelled"),0,'Raw Orders'!G925)</f>
        <v>0</v>
      </c>
      <c r="D928" s="31" t="n">
        <f aca="false">IF(AND('Raw Orders'!C925="Product",'Raw Orders'!K925="Fulfilled",COUNTIFS('Raw Orders'!$A$2:$A925,'Raw Orders'!A925,'Raw Orders'!$C$2:$C925,"Product",'Raw Orders'!$K$2:$K925,"Fulfilled")=1),1,0)</f>
        <v>0</v>
      </c>
      <c r="E928" s="31" t="n">
        <f aca="false">IF(AND('Raw Orders'!C925="Product",'Raw Orders'!K925="Fulfilled"),'Raw Orders'!E925,0)</f>
        <v>0</v>
      </c>
      <c r="F928" s="32" t="n">
        <f aca="false">IF('Raw Orders'!K925="Refunded",'Raw Orders'!G925,0)</f>
        <v>0</v>
      </c>
    </row>
    <row r="929" customFormat="false" ht="15" hidden="false" customHeight="false" outlineLevel="0" collapsed="false">
      <c r="A929" s="36" t="n">
        <f aca="false">IF('Raw Orders'!B926="","",IF(MID('Raw Orders'!B926,5,1)="-",DATE(VALUE(LEFT('Raw Orders'!B926,4)),VALUE(MID('Raw Orders'!B926,6,2)),VALUE(MID('Raw Orders'!B926,9,2))),DATE(VALUE(MID('Raw Orders'!B926,7,4)),VALUE(MID('Raw Orders'!B926,4,2)),VALUE(LEFT('Raw Orders'!B926,2)))))</f>
        <v>46196</v>
      </c>
      <c r="B929" s="36" t="n">
        <f aca="false">IF(A929="","",A929-WEEKDAY(A929,3))</f>
        <v>46195</v>
      </c>
      <c r="C929" s="32" t="n">
        <f aca="false">IF(OR('Raw Orders'!C926&lt;&gt;"Product",'Raw Orders'!K926="Cancelled"),0,'Raw Orders'!G926)</f>
        <v>0</v>
      </c>
      <c r="D929" s="31" t="n">
        <f aca="false">IF(AND('Raw Orders'!C926="Product",'Raw Orders'!K926="Fulfilled",COUNTIFS('Raw Orders'!$A$2:$A926,'Raw Orders'!A926,'Raw Orders'!$C$2:$C926,"Product",'Raw Orders'!$K$2:$K926,"Fulfilled")=1),1,0)</f>
        <v>0</v>
      </c>
      <c r="E929" s="31" t="n">
        <f aca="false">IF(AND('Raw Orders'!C926="Product",'Raw Orders'!K926="Fulfilled"),'Raw Orders'!E926,0)</f>
        <v>0</v>
      </c>
      <c r="F929" s="32" t="n">
        <f aca="false">IF('Raw Orders'!K926="Refunded",'Raw Orders'!G926,0)</f>
        <v>0</v>
      </c>
    </row>
    <row r="930" customFormat="false" ht="15" hidden="false" customHeight="false" outlineLevel="0" collapsed="false">
      <c r="A930" s="36" t="n">
        <f aca="false">IF('Raw Orders'!B927="","",IF(MID('Raw Orders'!B927,5,1)="-",DATE(VALUE(LEFT('Raw Orders'!B927,4)),VALUE(MID('Raw Orders'!B927,6,2)),VALUE(MID('Raw Orders'!B927,9,2))),DATE(VALUE(MID('Raw Orders'!B927,7,4)),VALUE(MID('Raw Orders'!B927,4,2)),VALUE(LEFT('Raw Orders'!B927,2)))))</f>
        <v>46196</v>
      </c>
      <c r="B930" s="36" t="n">
        <f aca="false">IF(A930="","",A930-WEEKDAY(A930,3))</f>
        <v>46195</v>
      </c>
      <c r="C930" s="32" t="n">
        <f aca="false">IF(OR('Raw Orders'!C927&lt;&gt;"Product",'Raw Orders'!K927="Cancelled"),0,'Raw Orders'!G927)</f>
        <v>39</v>
      </c>
      <c r="D930" s="31" t="n">
        <f aca="false">IF(AND('Raw Orders'!C927="Product",'Raw Orders'!K927="Fulfilled",COUNTIFS('Raw Orders'!$A$2:$A927,'Raw Orders'!A927,'Raw Orders'!$C$2:$C927,"Product",'Raw Orders'!$K$2:$K927,"Fulfilled")=1),1,0)</f>
        <v>1</v>
      </c>
      <c r="E930" s="31" t="n">
        <f aca="false">IF(AND('Raw Orders'!C927="Product",'Raw Orders'!K927="Fulfilled"),'Raw Orders'!E927,0)</f>
        <v>1</v>
      </c>
      <c r="F930" s="32" t="n">
        <f aca="false">IF('Raw Orders'!K927="Refunded",'Raw Orders'!G927,0)</f>
        <v>0</v>
      </c>
    </row>
    <row r="931" customFormat="false" ht="15" hidden="false" customHeight="false" outlineLevel="0" collapsed="false">
      <c r="A931" s="36" t="n">
        <f aca="false">IF('Raw Orders'!B928="","",IF(MID('Raw Orders'!B928,5,1)="-",DATE(VALUE(LEFT('Raw Orders'!B928,4)),VALUE(MID('Raw Orders'!B928,6,2)),VALUE(MID('Raw Orders'!B928,9,2))),DATE(VALUE(MID('Raw Orders'!B928,7,4)),VALUE(MID('Raw Orders'!B928,4,2)),VALUE(LEFT('Raw Orders'!B928,2)))))</f>
        <v>46196</v>
      </c>
      <c r="B931" s="36" t="n">
        <f aca="false">IF(A931="","",A931-WEEKDAY(A931,3))</f>
        <v>46195</v>
      </c>
      <c r="C931" s="32" t="n">
        <f aca="false">IF(OR('Raw Orders'!C928&lt;&gt;"Product",'Raw Orders'!K928="Cancelled"),0,'Raw Orders'!G928)</f>
        <v>0</v>
      </c>
      <c r="D931" s="31" t="n">
        <f aca="false">IF(AND('Raw Orders'!C928="Product",'Raw Orders'!K928="Fulfilled",COUNTIFS('Raw Orders'!$A$2:$A928,'Raw Orders'!A928,'Raw Orders'!$C$2:$C928,"Product",'Raw Orders'!$K$2:$K928,"Fulfilled")=1),1,0)</f>
        <v>0</v>
      </c>
      <c r="E931" s="31" t="n">
        <f aca="false">IF(AND('Raw Orders'!C928="Product",'Raw Orders'!K928="Fulfilled"),'Raw Orders'!E928,0)</f>
        <v>0</v>
      </c>
      <c r="F931" s="32" t="n">
        <f aca="false">IF('Raw Orders'!K928="Refunded",'Raw Orders'!G928,0)</f>
        <v>0</v>
      </c>
    </row>
    <row r="932" customFormat="false" ht="15" hidden="false" customHeight="false" outlineLevel="0" collapsed="false">
      <c r="A932" s="36" t="n">
        <f aca="false">IF('Raw Orders'!B929="","",IF(MID('Raw Orders'!B929,5,1)="-",DATE(VALUE(LEFT('Raw Orders'!B929,4)),VALUE(MID('Raw Orders'!B929,6,2)),VALUE(MID('Raw Orders'!B929,9,2))),DATE(VALUE(MID('Raw Orders'!B929,7,4)),VALUE(MID('Raw Orders'!B929,4,2)),VALUE(LEFT('Raw Orders'!B929,2)))))</f>
        <v>46196</v>
      </c>
      <c r="B932" s="36" t="n">
        <f aca="false">IF(A932="","",A932-WEEKDAY(A932,3))</f>
        <v>46195</v>
      </c>
      <c r="C932" s="32" t="n">
        <f aca="false">IF(OR('Raw Orders'!C929&lt;&gt;"Product",'Raw Orders'!K929="Cancelled"),0,'Raw Orders'!G929)</f>
        <v>0</v>
      </c>
      <c r="D932" s="31" t="n">
        <f aca="false">IF(AND('Raw Orders'!C929="Product",'Raw Orders'!K929="Fulfilled",COUNTIFS('Raw Orders'!$A$2:$A929,'Raw Orders'!A929,'Raw Orders'!$C$2:$C929,"Product",'Raw Orders'!$K$2:$K929,"Fulfilled")=1),1,0)</f>
        <v>0</v>
      </c>
      <c r="E932" s="31" t="n">
        <f aca="false">IF(AND('Raw Orders'!C929="Product",'Raw Orders'!K929="Fulfilled"),'Raw Orders'!E929,0)</f>
        <v>0</v>
      </c>
      <c r="F932" s="32" t="n">
        <f aca="false">IF('Raw Orders'!K929="Refunded",'Raw Orders'!G929,0)</f>
        <v>0</v>
      </c>
    </row>
    <row r="933" customFormat="false" ht="15" hidden="false" customHeight="false" outlineLevel="0" collapsed="false">
      <c r="A933" s="36" t="n">
        <f aca="false">IF('Raw Orders'!B930="","",IF(MID('Raw Orders'!B930,5,1)="-",DATE(VALUE(LEFT('Raw Orders'!B930,4)),VALUE(MID('Raw Orders'!B930,6,2)),VALUE(MID('Raw Orders'!B930,9,2))),DATE(VALUE(MID('Raw Orders'!B930,7,4)),VALUE(MID('Raw Orders'!B930,4,2)),VALUE(LEFT('Raw Orders'!B930,2)))))</f>
        <v>46196</v>
      </c>
      <c r="B933" s="36" t="n">
        <f aca="false">IF(A933="","",A933-WEEKDAY(A933,3))</f>
        <v>46195</v>
      </c>
      <c r="C933" s="32" t="n">
        <f aca="false">IF(OR('Raw Orders'!C930&lt;&gt;"Product",'Raw Orders'!K930="Cancelled"),0,'Raw Orders'!G930)</f>
        <v>45</v>
      </c>
      <c r="D933" s="31" t="n">
        <f aca="false">IF(AND('Raw Orders'!C930="Product",'Raw Orders'!K930="Fulfilled",COUNTIFS('Raw Orders'!$A$2:$A930,'Raw Orders'!A930,'Raw Orders'!$C$2:$C930,"Product",'Raw Orders'!$K$2:$K930,"Fulfilled")=1),1,0)</f>
        <v>1</v>
      </c>
      <c r="E933" s="31" t="n">
        <f aca="false">IF(AND('Raw Orders'!C930="Product",'Raw Orders'!K930="Fulfilled"),'Raw Orders'!E930,0)</f>
        <v>1</v>
      </c>
      <c r="F933" s="32" t="n">
        <f aca="false">IF('Raw Orders'!K930="Refunded",'Raw Orders'!G930,0)</f>
        <v>0</v>
      </c>
    </row>
    <row r="934" customFormat="false" ht="15" hidden="false" customHeight="false" outlineLevel="0" collapsed="false">
      <c r="A934" s="36" t="n">
        <f aca="false">IF('Raw Orders'!B931="","",IF(MID('Raw Orders'!B931,5,1)="-",DATE(VALUE(LEFT('Raw Orders'!B931,4)),VALUE(MID('Raw Orders'!B931,6,2)),VALUE(MID('Raw Orders'!B931,9,2))),DATE(VALUE(MID('Raw Orders'!B931,7,4)),VALUE(MID('Raw Orders'!B931,4,2)),VALUE(LEFT('Raw Orders'!B931,2)))))</f>
        <v>46196</v>
      </c>
      <c r="B934" s="36" t="n">
        <f aca="false">IF(A934="","",A934-WEEKDAY(A934,3))</f>
        <v>46195</v>
      </c>
      <c r="C934" s="32" t="n">
        <f aca="false">IF(OR('Raw Orders'!C931&lt;&gt;"Product",'Raw Orders'!K931="Cancelled"),0,'Raw Orders'!G931)</f>
        <v>89</v>
      </c>
      <c r="D934" s="31" t="n">
        <f aca="false">IF(AND('Raw Orders'!C931="Product",'Raw Orders'!K931="Fulfilled",COUNTIFS('Raw Orders'!$A$2:$A931,'Raw Orders'!A931,'Raw Orders'!$C$2:$C931,"Product",'Raw Orders'!$K$2:$K931,"Fulfilled")=1),1,0)</f>
        <v>0</v>
      </c>
      <c r="E934" s="31" t="n">
        <f aca="false">IF(AND('Raw Orders'!C931="Product",'Raw Orders'!K931="Fulfilled"),'Raw Orders'!E931,0)</f>
        <v>1</v>
      </c>
      <c r="F934" s="32" t="n">
        <f aca="false">IF('Raw Orders'!K931="Refunded",'Raw Orders'!G931,0)</f>
        <v>0</v>
      </c>
    </row>
    <row r="935" customFormat="false" ht="15" hidden="false" customHeight="false" outlineLevel="0" collapsed="false">
      <c r="A935" s="36" t="n">
        <f aca="false">IF('Raw Orders'!B932="","",IF(MID('Raw Orders'!B932,5,1)="-",DATE(VALUE(LEFT('Raw Orders'!B932,4)),VALUE(MID('Raw Orders'!B932,6,2)),VALUE(MID('Raw Orders'!B932,9,2))),DATE(VALUE(MID('Raw Orders'!B932,7,4)),VALUE(MID('Raw Orders'!B932,4,2)),VALUE(LEFT('Raw Orders'!B932,2)))))</f>
        <v>46196</v>
      </c>
      <c r="B935" s="36" t="n">
        <f aca="false">IF(A935="","",A935-WEEKDAY(A935,3))</f>
        <v>46195</v>
      </c>
      <c r="C935" s="32" t="n">
        <f aca="false">IF(OR('Raw Orders'!C932&lt;&gt;"Product",'Raw Orders'!K932="Cancelled"),0,'Raw Orders'!G932)</f>
        <v>0</v>
      </c>
      <c r="D935" s="31" t="n">
        <f aca="false">IF(AND('Raw Orders'!C932="Product",'Raw Orders'!K932="Fulfilled",COUNTIFS('Raw Orders'!$A$2:$A932,'Raw Orders'!A932,'Raw Orders'!$C$2:$C932,"Product",'Raw Orders'!$K$2:$K932,"Fulfilled")=1),1,0)</f>
        <v>0</v>
      </c>
      <c r="E935" s="31" t="n">
        <f aca="false">IF(AND('Raw Orders'!C932="Product",'Raw Orders'!K932="Fulfilled"),'Raw Orders'!E932,0)</f>
        <v>0</v>
      </c>
      <c r="F935" s="32" t="n">
        <f aca="false">IF('Raw Orders'!K932="Refunded",'Raw Orders'!G932,0)</f>
        <v>0</v>
      </c>
    </row>
    <row r="936" customFormat="false" ht="15" hidden="false" customHeight="false" outlineLevel="0" collapsed="false">
      <c r="A936" s="36" t="n">
        <f aca="false">IF('Raw Orders'!B933="","",IF(MID('Raw Orders'!B933,5,1)="-",DATE(VALUE(LEFT('Raw Orders'!B933,4)),VALUE(MID('Raw Orders'!B933,6,2)),VALUE(MID('Raw Orders'!B933,9,2))),DATE(VALUE(MID('Raw Orders'!B933,7,4)),VALUE(MID('Raw Orders'!B933,4,2)),VALUE(LEFT('Raw Orders'!B933,2)))))</f>
        <v>46196</v>
      </c>
      <c r="B936" s="36" t="n">
        <f aca="false">IF(A936="","",A936-WEEKDAY(A936,3))</f>
        <v>46195</v>
      </c>
      <c r="C936" s="32" t="n">
        <f aca="false">IF(OR('Raw Orders'!C933&lt;&gt;"Product",'Raw Orders'!K933="Cancelled"),0,'Raw Orders'!G933)</f>
        <v>52</v>
      </c>
      <c r="D936" s="31" t="n">
        <f aca="false">IF(AND('Raw Orders'!C933="Product",'Raw Orders'!K933="Fulfilled",COUNTIFS('Raw Orders'!$A$2:$A933,'Raw Orders'!A933,'Raw Orders'!$C$2:$C933,"Product",'Raw Orders'!$K$2:$K933,"Fulfilled")=1),1,0)</f>
        <v>1</v>
      </c>
      <c r="E936" s="31" t="n">
        <f aca="false">IF(AND('Raw Orders'!C933="Product",'Raw Orders'!K933="Fulfilled"),'Raw Orders'!E933,0)</f>
        <v>2</v>
      </c>
      <c r="F936" s="32" t="n">
        <f aca="false">IF('Raw Orders'!K933="Refunded",'Raw Orders'!G933,0)</f>
        <v>0</v>
      </c>
    </row>
    <row r="937" customFormat="false" ht="15" hidden="false" customHeight="false" outlineLevel="0" collapsed="false">
      <c r="A937" s="36" t="n">
        <f aca="false">IF('Raw Orders'!B934="","",IF(MID('Raw Orders'!B934,5,1)="-",DATE(VALUE(LEFT('Raw Orders'!B934,4)),VALUE(MID('Raw Orders'!B934,6,2)),VALUE(MID('Raw Orders'!B934,9,2))),DATE(VALUE(MID('Raw Orders'!B934,7,4)),VALUE(MID('Raw Orders'!B934,4,2)),VALUE(LEFT('Raw Orders'!B934,2)))))</f>
        <v>46196</v>
      </c>
      <c r="B937" s="36" t="n">
        <f aca="false">IF(A937="","",A937-WEEKDAY(A937,3))</f>
        <v>46195</v>
      </c>
      <c r="C937" s="32" t="n">
        <f aca="false">IF(OR('Raw Orders'!C934&lt;&gt;"Product",'Raw Orders'!K934="Cancelled"),0,'Raw Orders'!G934)</f>
        <v>0</v>
      </c>
      <c r="D937" s="31" t="n">
        <f aca="false">IF(AND('Raw Orders'!C934="Product",'Raw Orders'!K934="Fulfilled",COUNTIFS('Raw Orders'!$A$2:$A934,'Raw Orders'!A934,'Raw Orders'!$C$2:$C934,"Product",'Raw Orders'!$K$2:$K934,"Fulfilled")=1),1,0)</f>
        <v>0</v>
      </c>
      <c r="E937" s="31" t="n">
        <f aca="false">IF(AND('Raw Orders'!C934="Product",'Raw Orders'!K934="Fulfilled"),'Raw Orders'!E934,0)</f>
        <v>0</v>
      </c>
      <c r="F937" s="32" t="n">
        <f aca="false">IF('Raw Orders'!K934="Refunded",'Raw Orders'!G934,0)</f>
        <v>0</v>
      </c>
    </row>
    <row r="938" customFormat="false" ht="15" hidden="false" customHeight="false" outlineLevel="0" collapsed="false">
      <c r="A938" s="36" t="n">
        <f aca="false">IF('Raw Orders'!B935="","",IF(MID('Raw Orders'!B935,5,1)="-",DATE(VALUE(LEFT('Raw Orders'!B935,4)),VALUE(MID('Raw Orders'!B935,6,2)),VALUE(MID('Raw Orders'!B935,9,2))),DATE(VALUE(MID('Raw Orders'!B935,7,4)),VALUE(MID('Raw Orders'!B935,4,2)),VALUE(LEFT('Raw Orders'!B935,2)))))</f>
        <v>46196</v>
      </c>
      <c r="B938" s="36" t="n">
        <f aca="false">IF(A938="","",A938-WEEKDAY(A938,3))</f>
        <v>46195</v>
      </c>
      <c r="C938" s="32" t="n">
        <f aca="false">IF(OR('Raw Orders'!C935&lt;&gt;"Product",'Raw Orders'!K935="Cancelled"),0,'Raw Orders'!G935)</f>
        <v>75</v>
      </c>
      <c r="D938" s="31" t="n">
        <f aca="false">IF(AND('Raw Orders'!C935="Product",'Raw Orders'!K935="Fulfilled",COUNTIFS('Raw Orders'!$A$2:$A935,'Raw Orders'!A935,'Raw Orders'!$C$2:$C935,"Product",'Raw Orders'!$K$2:$K935,"Fulfilled")=1),1,0)</f>
        <v>1</v>
      </c>
      <c r="E938" s="31" t="n">
        <f aca="false">IF(AND('Raw Orders'!C935="Product",'Raw Orders'!K935="Fulfilled"),'Raw Orders'!E935,0)</f>
        <v>1</v>
      </c>
      <c r="F938" s="32" t="n">
        <f aca="false">IF('Raw Orders'!K935="Refunded",'Raw Orders'!G935,0)</f>
        <v>0</v>
      </c>
    </row>
    <row r="939" customFormat="false" ht="15" hidden="false" customHeight="false" outlineLevel="0" collapsed="false">
      <c r="A939" s="36" t="n">
        <f aca="false">IF('Raw Orders'!B936="","",IF(MID('Raw Orders'!B936,5,1)="-",DATE(VALUE(LEFT('Raw Orders'!B936,4)),VALUE(MID('Raw Orders'!B936,6,2)),VALUE(MID('Raw Orders'!B936,9,2))),DATE(VALUE(MID('Raw Orders'!B936,7,4)),VALUE(MID('Raw Orders'!B936,4,2)),VALUE(LEFT('Raw Orders'!B936,2)))))</f>
        <v>46196</v>
      </c>
      <c r="B939" s="36" t="n">
        <f aca="false">IF(A939="","",A939-WEEKDAY(A939,3))</f>
        <v>46195</v>
      </c>
      <c r="C939" s="32" t="n">
        <f aca="false">IF(OR('Raw Orders'!C936&lt;&gt;"Product",'Raw Orders'!K936="Cancelled"),0,'Raw Orders'!G936)</f>
        <v>45</v>
      </c>
      <c r="D939" s="31" t="n">
        <f aca="false">IF(AND('Raw Orders'!C936="Product",'Raw Orders'!K936="Fulfilled",COUNTIFS('Raw Orders'!$A$2:$A936,'Raw Orders'!A936,'Raw Orders'!$C$2:$C936,"Product",'Raw Orders'!$K$2:$K936,"Fulfilled")=1),1,0)</f>
        <v>0</v>
      </c>
      <c r="E939" s="31" t="n">
        <f aca="false">IF(AND('Raw Orders'!C936="Product",'Raw Orders'!K936="Fulfilled"),'Raw Orders'!E936,0)</f>
        <v>1</v>
      </c>
      <c r="F939" s="32" t="n">
        <f aca="false">IF('Raw Orders'!K936="Refunded",'Raw Orders'!G936,0)</f>
        <v>0</v>
      </c>
    </row>
    <row r="940" customFormat="false" ht="15" hidden="false" customHeight="false" outlineLevel="0" collapsed="false">
      <c r="A940" s="36" t="n">
        <f aca="false">IF('Raw Orders'!B937="","",IF(MID('Raw Orders'!B937,5,1)="-",DATE(VALUE(LEFT('Raw Orders'!B937,4)),VALUE(MID('Raw Orders'!B937,6,2)),VALUE(MID('Raw Orders'!B937,9,2))),DATE(VALUE(MID('Raw Orders'!B937,7,4)),VALUE(MID('Raw Orders'!B937,4,2)),VALUE(LEFT('Raw Orders'!B937,2)))))</f>
        <v>46196</v>
      </c>
      <c r="B940" s="36" t="n">
        <f aca="false">IF(A940="","",A940-WEEKDAY(A940,3))</f>
        <v>46195</v>
      </c>
      <c r="C940" s="32" t="n">
        <f aca="false">IF(OR('Raw Orders'!C937&lt;&gt;"Product",'Raw Orders'!K937="Cancelled"),0,'Raw Orders'!G937)</f>
        <v>44</v>
      </c>
      <c r="D940" s="31" t="n">
        <f aca="false">IF(AND('Raw Orders'!C937="Product",'Raw Orders'!K937="Fulfilled",COUNTIFS('Raw Orders'!$A$2:$A937,'Raw Orders'!A937,'Raw Orders'!$C$2:$C937,"Product",'Raw Orders'!$K$2:$K937,"Fulfilled")=1),1,0)</f>
        <v>1</v>
      </c>
      <c r="E940" s="31" t="n">
        <f aca="false">IF(AND('Raw Orders'!C937="Product",'Raw Orders'!K937="Fulfilled"),'Raw Orders'!E937,0)</f>
        <v>2</v>
      </c>
      <c r="F940" s="32" t="n">
        <f aca="false">IF('Raw Orders'!K937="Refunded",'Raw Orders'!G937,0)</f>
        <v>0</v>
      </c>
    </row>
    <row r="941" customFormat="false" ht="15" hidden="false" customHeight="false" outlineLevel="0" collapsed="false">
      <c r="A941" s="36" t="n">
        <f aca="false">IF('Raw Orders'!B938="","",IF(MID('Raw Orders'!B938,5,1)="-",DATE(VALUE(LEFT('Raw Orders'!B938,4)),VALUE(MID('Raw Orders'!B938,6,2)),VALUE(MID('Raw Orders'!B938,9,2))),DATE(VALUE(MID('Raw Orders'!B938,7,4)),VALUE(MID('Raw Orders'!B938,4,2)),VALUE(LEFT('Raw Orders'!B938,2)))))</f>
        <v>46196</v>
      </c>
      <c r="B941" s="36" t="n">
        <f aca="false">IF(A941="","",A941-WEEKDAY(A941,3))</f>
        <v>46195</v>
      </c>
      <c r="C941" s="32" t="n">
        <f aca="false">IF(OR('Raw Orders'!C938&lt;&gt;"Product",'Raw Orders'!K938="Cancelled"),0,'Raw Orders'!G938)</f>
        <v>0</v>
      </c>
      <c r="D941" s="31" t="n">
        <f aca="false">IF(AND('Raw Orders'!C938="Product",'Raw Orders'!K938="Fulfilled",COUNTIFS('Raw Orders'!$A$2:$A938,'Raw Orders'!A938,'Raw Orders'!$C$2:$C938,"Product",'Raw Orders'!$K$2:$K938,"Fulfilled")=1),1,0)</f>
        <v>0</v>
      </c>
      <c r="E941" s="31" t="n">
        <f aca="false">IF(AND('Raw Orders'!C938="Product",'Raw Orders'!K938="Fulfilled"),'Raw Orders'!E938,0)</f>
        <v>0</v>
      </c>
      <c r="F941" s="32" t="n">
        <f aca="false">IF('Raw Orders'!K938="Refunded",'Raw Orders'!G938,0)</f>
        <v>0</v>
      </c>
    </row>
    <row r="942" customFormat="false" ht="15" hidden="false" customHeight="false" outlineLevel="0" collapsed="false">
      <c r="A942" s="36" t="n">
        <f aca="false">IF('Raw Orders'!B939="","",IF(MID('Raw Orders'!B939,5,1)="-",DATE(VALUE(LEFT('Raw Orders'!B939,4)),VALUE(MID('Raw Orders'!B939,6,2)),VALUE(MID('Raw Orders'!B939,9,2))),DATE(VALUE(MID('Raw Orders'!B939,7,4)),VALUE(MID('Raw Orders'!B939,4,2)),VALUE(LEFT('Raw Orders'!B939,2)))))</f>
        <v>46196</v>
      </c>
      <c r="B942" s="36" t="n">
        <f aca="false">IF(A942="","",A942-WEEKDAY(A942,3))</f>
        <v>46195</v>
      </c>
      <c r="C942" s="32" t="n">
        <f aca="false">IF(OR('Raw Orders'!C939&lt;&gt;"Product",'Raw Orders'!K939="Cancelled"),0,'Raw Orders'!G939)</f>
        <v>62.4</v>
      </c>
      <c r="D942" s="31" t="n">
        <f aca="false">IF(AND('Raw Orders'!C939="Product",'Raw Orders'!K939="Fulfilled",COUNTIFS('Raw Orders'!$A$2:$A939,'Raw Orders'!A939,'Raw Orders'!$C$2:$C939,"Product",'Raw Orders'!$K$2:$K939,"Fulfilled")=1),1,0)</f>
        <v>0</v>
      </c>
      <c r="E942" s="31" t="n">
        <f aca="false">IF(AND('Raw Orders'!C939="Product",'Raw Orders'!K939="Fulfilled"),'Raw Orders'!E939,0)</f>
        <v>2</v>
      </c>
      <c r="F942" s="32" t="n">
        <f aca="false">IF('Raw Orders'!K939="Refunded",'Raw Orders'!G939,0)</f>
        <v>0</v>
      </c>
    </row>
    <row r="943" customFormat="false" ht="15" hidden="false" customHeight="false" outlineLevel="0" collapsed="false">
      <c r="A943" s="36" t="n">
        <f aca="false">IF('Raw Orders'!B940="","",IF(MID('Raw Orders'!B940,5,1)="-",DATE(VALUE(LEFT('Raw Orders'!B940,4)),VALUE(MID('Raw Orders'!B940,6,2)),VALUE(MID('Raw Orders'!B940,9,2))),DATE(VALUE(MID('Raw Orders'!B940,7,4)),VALUE(MID('Raw Orders'!B940,4,2)),VALUE(LEFT('Raw Orders'!B940,2)))))</f>
        <v>46196</v>
      </c>
      <c r="B943" s="36" t="n">
        <f aca="false">IF(A943="","",A943-WEEKDAY(A943,3))</f>
        <v>46195</v>
      </c>
      <c r="C943" s="32" t="n">
        <f aca="false">IF(OR('Raw Orders'!C940&lt;&gt;"Product",'Raw Orders'!K940="Cancelled"),0,'Raw Orders'!G940)</f>
        <v>29</v>
      </c>
      <c r="D943" s="31" t="n">
        <f aca="false">IF(AND('Raw Orders'!C940="Product",'Raw Orders'!K940="Fulfilled",COUNTIFS('Raw Orders'!$A$2:$A940,'Raw Orders'!A940,'Raw Orders'!$C$2:$C940,"Product",'Raw Orders'!$K$2:$K940,"Fulfilled")=1),1,0)</f>
        <v>1</v>
      </c>
      <c r="E943" s="31" t="n">
        <f aca="false">IF(AND('Raw Orders'!C940="Product",'Raw Orders'!K940="Fulfilled"),'Raw Orders'!E940,0)</f>
        <v>1</v>
      </c>
      <c r="F943" s="32" t="n">
        <f aca="false">IF('Raw Orders'!K940="Refunded",'Raw Orders'!G940,0)</f>
        <v>0</v>
      </c>
    </row>
    <row r="944" customFormat="false" ht="15" hidden="false" customHeight="false" outlineLevel="0" collapsed="false">
      <c r="A944" s="36" t="n">
        <f aca="false">IF('Raw Orders'!B941="","",IF(MID('Raw Orders'!B941,5,1)="-",DATE(VALUE(LEFT('Raw Orders'!B941,4)),VALUE(MID('Raw Orders'!B941,6,2)),VALUE(MID('Raw Orders'!B941,9,2))),DATE(VALUE(MID('Raw Orders'!B941,7,4)),VALUE(MID('Raw Orders'!B941,4,2)),VALUE(LEFT('Raw Orders'!B941,2)))))</f>
        <v>46196</v>
      </c>
      <c r="B944" s="36" t="n">
        <f aca="false">IF(A944="","",A944-WEEKDAY(A944,3))</f>
        <v>46195</v>
      </c>
      <c r="C944" s="32" t="n">
        <f aca="false">IF(OR('Raw Orders'!C941&lt;&gt;"Product",'Raw Orders'!K941="Cancelled"),0,'Raw Orders'!G941)</f>
        <v>0</v>
      </c>
      <c r="D944" s="31" t="n">
        <f aca="false">IF(AND('Raw Orders'!C941="Product",'Raw Orders'!K941="Fulfilled",COUNTIFS('Raw Orders'!$A$2:$A941,'Raw Orders'!A941,'Raw Orders'!$C$2:$C941,"Product",'Raw Orders'!$K$2:$K941,"Fulfilled")=1),1,0)</f>
        <v>0</v>
      </c>
      <c r="E944" s="31" t="n">
        <f aca="false">IF(AND('Raw Orders'!C941="Product",'Raw Orders'!K941="Fulfilled"),'Raw Orders'!E941,0)</f>
        <v>0</v>
      </c>
      <c r="F944" s="32" t="n">
        <f aca="false">IF('Raw Orders'!K941="Refunded",'Raw Orders'!G941,0)</f>
        <v>0</v>
      </c>
    </row>
    <row r="945" customFormat="false" ht="15" hidden="false" customHeight="false" outlineLevel="0" collapsed="false">
      <c r="A945" s="36" t="n">
        <f aca="false">IF('Raw Orders'!B942="","",IF(MID('Raw Orders'!B942,5,1)="-",DATE(VALUE(LEFT('Raw Orders'!B942,4)),VALUE(MID('Raw Orders'!B942,6,2)),VALUE(MID('Raw Orders'!B942,9,2))),DATE(VALUE(MID('Raw Orders'!B942,7,4)),VALUE(MID('Raw Orders'!B942,4,2)),VALUE(LEFT('Raw Orders'!B942,2)))))</f>
        <v>46196</v>
      </c>
      <c r="B945" s="36" t="n">
        <f aca="false">IF(A945="","",A945-WEEKDAY(A945,3))</f>
        <v>46195</v>
      </c>
      <c r="C945" s="32" t="n">
        <f aca="false">IF(OR('Raw Orders'!C942&lt;&gt;"Product",'Raw Orders'!K942="Cancelled"),0,'Raw Orders'!G942)</f>
        <v>156</v>
      </c>
      <c r="D945" s="31" t="n">
        <f aca="false">IF(AND('Raw Orders'!C942="Product",'Raw Orders'!K942="Fulfilled",COUNTIFS('Raw Orders'!$A$2:$A942,'Raw Orders'!A942,'Raw Orders'!$C$2:$C942,"Product",'Raw Orders'!$K$2:$K942,"Fulfilled")=1),1,0)</f>
        <v>0</v>
      </c>
      <c r="E945" s="31" t="n">
        <f aca="false">IF(AND('Raw Orders'!C942="Product",'Raw Orders'!K942="Fulfilled"),'Raw Orders'!E942,0)</f>
        <v>4</v>
      </c>
      <c r="F945" s="32" t="n">
        <f aca="false">IF('Raw Orders'!K942="Refunded",'Raw Orders'!G942,0)</f>
        <v>0</v>
      </c>
    </row>
    <row r="946" customFormat="false" ht="15" hidden="false" customHeight="false" outlineLevel="0" collapsed="false">
      <c r="A946" s="36" t="n">
        <f aca="false">IF('Raw Orders'!B943="","",IF(MID('Raw Orders'!B943,5,1)="-",DATE(VALUE(LEFT('Raw Orders'!B943,4)),VALUE(MID('Raw Orders'!B943,6,2)),VALUE(MID('Raw Orders'!B943,9,2))),DATE(VALUE(MID('Raw Orders'!B943,7,4)),VALUE(MID('Raw Orders'!B943,4,2)),VALUE(LEFT('Raw Orders'!B943,2)))))</f>
        <v>46196</v>
      </c>
      <c r="B946" s="36" t="n">
        <f aca="false">IF(A946="","",A946-WEEKDAY(A946,3))</f>
        <v>46195</v>
      </c>
      <c r="C946" s="32" t="n">
        <f aca="false">IF(OR('Raw Orders'!C943&lt;&gt;"Product",'Raw Orders'!K943="Cancelled"),0,'Raw Orders'!G943)</f>
        <v>0</v>
      </c>
      <c r="D946" s="31" t="n">
        <f aca="false">IF(AND('Raw Orders'!C943="Product",'Raw Orders'!K943="Fulfilled",COUNTIFS('Raw Orders'!$A$2:$A943,'Raw Orders'!A943,'Raw Orders'!$C$2:$C943,"Product",'Raw Orders'!$K$2:$K943,"Fulfilled")=1),1,0)</f>
        <v>0</v>
      </c>
      <c r="E946" s="31" t="n">
        <f aca="false">IF(AND('Raw Orders'!C943="Product",'Raw Orders'!K943="Fulfilled"),'Raw Orders'!E943,0)</f>
        <v>0</v>
      </c>
      <c r="F946" s="32" t="n">
        <f aca="false">IF('Raw Orders'!K943="Refunded",'Raw Orders'!G943,0)</f>
        <v>0</v>
      </c>
    </row>
    <row r="947" customFormat="false" ht="15" hidden="false" customHeight="false" outlineLevel="0" collapsed="false">
      <c r="A947" s="36" t="n">
        <f aca="false">IF('Raw Orders'!B944="","",IF(MID('Raw Orders'!B944,5,1)="-",DATE(VALUE(LEFT('Raw Orders'!B944,4)),VALUE(MID('Raw Orders'!B944,6,2)),VALUE(MID('Raw Orders'!B944,9,2))),DATE(VALUE(MID('Raw Orders'!B944,7,4)),VALUE(MID('Raw Orders'!B944,4,2)),VALUE(LEFT('Raw Orders'!B944,2)))))</f>
        <v>46196</v>
      </c>
      <c r="B947" s="36" t="n">
        <f aca="false">IF(A947="","",A947-WEEKDAY(A947,3))</f>
        <v>46195</v>
      </c>
      <c r="C947" s="32" t="n">
        <f aca="false">IF(OR('Raw Orders'!C944&lt;&gt;"Product",'Raw Orders'!K944="Cancelled"),0,'Raw Orders'!G944)</f>
        <v>105</v>
      </c>
      <c r="D947" s="31" t="n">
        <f aca="false">IF(AND('Raw Orders'!C944="Product",'Raw Orders'!K944="Fulfilled",COUNTIFS('Raw Orders'!$A$2:$A944,'Raw Orders'!A944,'Raw Orders'!$C$2:$C944,"Product",'Raw Orders'!$K$2:$K944,"Fulfilled")=1),1,0)</f>
        <v>1</v>
      </c>
      <c r="E947" s="31" t="n">
        <f aca="false">IF(AND('Raw Orders'!C944="Product",'Raw Orders'!K944="Fulfilled"),'Raw Orders'!E944,0)</f>
        <v>3</v>
      </c>
      <c r="F947" s="32" t="n">
        <f aca="false">IF('Raw Orders'!K944="Refunded",'Raw Orders'!G944,0)</f>
        <v>0</v>
      </c>
    </row>
    <row r="948" customFormat="false" ht="15" hidden="false" customHeight="false" outlineLevel="0" collapsed="false">
      <c r="A948" s="36" t="n">
        <f aca="false">IF('Raw Orders'!B945="","",IF(MID('Raw Orders'!B945,5,1)="-",DATE(VALUE(LEFT('Raw Orders'!B945,4)),VALUE(MID('Raw Orders'!B945,6,2)),VALUE(MID('Raw Orders'!B945,9,2))),DATE(VALUE(MID('Raw Orders'!B945,7,4)),VALUE(MID('Raw Orders'!B945,4,2)),VALUE(LEFT('Raw Orders'!B945,2)))))</f>
        <v>46196</v>
      </c>
      <c r="B948" s="36" t="n">
        <f aca="false">IF(A948="","",A948-WEEKDAY(A948,3))</f>
        <v>46195</v>
      </c>
      <c r="C948" s="32" t="n">
        <f aca="false">IF(OR('Raw Orders'!C945&lt;&gt;"Product",'Raw Orders'!K945="Cancelled"),0,'Raw Orders'!G945)</f>
        <v>0</v>
      </c>
      <c r="D948" s="31" t="n">
        <f aca="false">IF(AND('Raw Orders'!C945="Product",'Raw Orders'!K945="Fulfilled",COUNTIFS('Raw Orders'!$A$2:$A945,'Raw Orders'!A945,'Raw Orders'!$C$2:$C945,"Product",'Raw Orders'!$K$2:$K945,"Fulfilled")=1),1,0)</f>
        <v>0</v>
      </c>
      <c r="E948" s="31" t="n">
        <f aca="false">IF(AND('Raw Orders'!C945="Product",'Raw Orders'!K945="Fulfilled"),'Raw Orders'!E945,0)</f>
        <v>0</v>
      </c>
      <c r="F948" s="32" t="n">
        <f aca="false">IF('Raw Orders'!K945="Refunded",'Raw Orders'!G945,0)</f>
        <v>0</v>
      </c>
    </row>
    <row r="949" customFormat="false" ht="15" hidden="false" customHeight="false" outlineLevel="0" collapsed="false">
      <c r="A949" s="36" t="n">
        <f aca="false">IF('Raw Orders'!B946="","",IF(MID('Raw Orders'!B946,5,1)="-",DATE(VALUE(LEFT('Raw Orders'!B946,4)),VALUE(MID('Raw Orders'!B946,6,2)),VALUE(MID('Raw Orders'!B946,9,2))),DATE(VALUE(MID('Raw Orders'!B946,7,4)),VALUE(MID('Raw Orders'!B946,4,2)),VALUE(LEFT('Raw Orders'!B946,2)))))</f>
        <v>46196</v>
      </c>
      <c r="B949" s="36" t="n">
        <f aca="false">IF(A949="","",A949-WEEKDAY(A949,3))</f>
        <v>46195</v>
      </c>
      <c r="C949" s="32" t="n">
        <f aca="false">IF(OR('Raw Orders'!C946&lt;&gt;"Product",'Raw Orders'!K946="Cancelled"),0,'Raw Orders'!G946)</f>
        <v>39</v>
      </c>
      <c r="D949" s="31" t="n">
        <f aca="false">IF(AND('Raw Orders'!C946="Product",'Raw Orders'!K946="Fulfilled",COUNTIFS('Raw Orders'!$A$2:$A946,'Raw Orders'!A946,'Raw Orders'!$C$2:$C946,"Product",'Raw Orders'!$K$2:$K946,"Fulfilled")=1),1,0)</f>
        <v>1</v>
      </c>
      <c r="E949" s="31" t="n">
        <f aca="false">IF(AND('Raw Orders'!C946="Product",'Raw Orders'!K946="Fulfilled"),'Raw Orders'!E946,0)</f>
        <v>1</v>
      </c>
      <c r="F949" s="32" t="n">
        <f aca="false">IF('Raw Orders'!K946="Refunded",'Raw Orders'!G946,0)</f>
        <v>0</v>
      </c>
    </row>
    <row r="950" customFormat="false" ht="15" hidden="false" customHeight="false" outlineLevel="0" collapsed="false">
      <c r="A950" s="36" t="n">
        <f aca="false">IF('Raw Orders'!B947="","",IF(MID('Raw Orders'!B947,5,1)="-",DATE(VALUE(LEFT('Raw Orders'!B947,4)),VALUE(MID('Raw Orders'!B947,6,2)),VALUE(MID('Raw Orders'!B947,9,2))),DATE(VALUE(MID('Raw Orders'!B947,7,4)),VALUE(MID('Raw Orders'!B947,4,2)),VALUE(LEFT('Raw Orders'!B947,2)))))</f>
        <v>46196</v>
      </c>
      <c r="B950" s="36" t="n">
        <f aca="false">IF(A950="","",A950-WEEKDAY(A950,3))</f>
        <v>46195</v>
      </c>
      <c r="C950" s="32" t="n">
        <f aca="false">IF(OR('Raw Orders'!C947&lt;&gt;"Product",'Raw Orders'!K947="Cancelled"),0,'Raw Orders'!G947)</f>
        <v>-29</v>
      </c>
      <c r="D950" s="31" t="n">
        <f aca="false">IF(AND('Raw Orders'!C947="Product",'Raw Orders'!K947="Fulfilled",COUNTIFS('Raw Orders'!$A$2:$A947,'Raw Orders'!A947,'Raw Orders'!$C$2:$C947,"Product",'Raw Orders'!$K$2:$K947,"Fulfilled")=1),1,0)</f>
        <v>0</v>
      </c>
      <c r="E950" s="31" t="n">
        <f aca="false">IF(AND('Raw Orders'!C947="Product",'Raw Orders'!K947="Fulfilled"),'Raw Orders'!E947,0)</f>
        <v>0</v>
      </c>
      <c r="F950" s="32" t="n">
        <f aca="false">IF('Raw Orders'!K947="Refunded",'Raw Orders'!G947,0)</f>
        <v>-29</v>
      </c>
    </row>
    <row r="951" customFormat="false" ht="15" hidden="false" customHeight="false" outlineLevel="0" collapsed="false">
      <c r="A951" s="36" t="n">
        <f aca="false">IF('Raw Orders'!B948="","",IF(MID('Raw Orders'!B948,5,1)="-",DATE(VALUE(LEFT('Raw Orders'!B948,4)),VALUE(MID('Raw Orders'!B948,6,2)),VALUE(MID('Raw Orders'!B948,9,2))),DATE(VALUE(MID('Raw Orders'!B948,7,4)),VALUE(MID('Raw Orders'!B948,4,2)),VALUE(LEFT('Raw Orders'!B948,2)))))</f>
        <v>46196</v>
      </c>
      <c r="B951" s="36" t="n">
        <f aca="false">IF(A951="","",A951-WEEKDAY(A951,3))</f>
        <v>46195</v>
      </c>
      <c r="C951" s="32" t="n">
        <f aca="false">IF(OR('Raw Orders'!C948&lt;&gt;"Product",'Raw Orders'!K948="Cancelled"),0,'Raw Orders'!G948)</f>
        <v>44</v>
      </c>
      <c r="D951" s="31" t="n">
        <f aca="false">IF(AND('Raw Orders'!C948="Product",'Raw Orders'!K948="Fulfilled",COUNTIFS('Raw Orders'!$A$2:$A948,'Raw Orders'!A948,'Raw Orders'!$C$2:$C948,"Product",'Raw Orders'!$K$2:$K948,"Fulfilled")=1),1,0)</f>
        <v>1</v>
      </c>
      <c r="E951" s="31" t="n">
        <f aca="false">IF(AND('Raw Orders'!C948="Product",'Raw Orders'!K948="Fulfilled"),'Raw Orders'!E948,0)</f>
        <v>2</v>
      </c>
      <c r="F951" s="32" t="n">
        <f aca="false">IF('Raw Orders'!K948="Refunded",'Raw Orders'!G948,0)</f>
        <v>0</v>
      </c>
    </row>
    <row r="952" customFormat="false" ht="15" hidden="false" customHeight="false" outlineLevel="0" collapsed="false">
      <c r="A952" s="36" t="n">
        <f aca="false">IF('Raw Orders'!B949="","",IF(MID('Raw Orders'!B949,5,1)="-",DATE(VALUE(LEFT('Raw Orders'!B949,4)),VALUE(MID('Raw Orders'!B949,6,2)),VALUE(MID('Raw Orders'!B949,9,2))),DATE(VALUE(MID('Raw Orders'!B949,7,4)),VALUE(MID('Raw Orders'!B949,4,2)),VALUE(LEFT('Raw Orders'!B949,2)))))</f>
        <v>46196</v>
      </c>
      <c r="B952" s="36" t="n">
        <f aca="false">IF(A952="","",A952-WEEKDAY(A952,3))</f>
        <v>46195</v>
      </c>
      <c r="C952" s="32" t="n">
        <f aca="false">IF(OR('Raw Orders'!C949&lt;&gt;"Product",'Raw Orders'!K949="Cancelled"),0,'Raw Orders'!G949)</f>
        <v>0</v>
      </c>
      <c r="D952" s="31" t="n">
        <f aca="false">IF(AND('Raw Orders'!C949="Product",'Raw Orders'!K949="Fulfilled",COUNTIFS('Raw Orders'!$A$2:$A949,'Raw Orders'!A949,'Raw Orders'!$C$2:$C949,"Product",'Raw Orders'!$K$2:$K949,"Fulfilled")=1),1,0)</f>
        <v>0</v>
      </c>
      <c r="E952" s="31" t="n">
        <f aca="false">IF(AND('Raw Orders'!C949="Product",'Raw Orders'!K949="Fulfilled"),'Raw Orders'!E949,0)</f>
        <v>0</v>
      </c>
      <c r="F952" s="32" t="n">
        <f aca="false">IF('Raw Orders'!K949="Refunded",'Raw Orders'!G949,0)</f>
        <v>0</v>
      </c>
    </row>
    <row r="953" customFormat="false" ht="15" hidden="false" customHeight="false" outlineLevel="0" collapsed="false">
      <c r="A953" s="36" t="n">
        <f aca="false">IF('Raw Orders'!B950="","",IF(MID('Raw Orders'!B950,5,1)="-",DATE(VALUE(LEFT('Raw Orders'!B950,4)),VALUE(MID('Raw Orders'!B950,6,2)),VALUE(MID('Raw Orders'!B950,9,2))),DATE(VALUE(MID('Raw Orders'!B950,7,4)),VALUE(MID('Raw Orders'!B950,4,2)),VALUE(LEFT('Raw Orders'!B950,2)))))</f>
        <v>46196</v>
      </c>
      <c r="B953" s="36" t="n">
        <f aca="false">IF(A953="","",A953-WEEKDAY(A953,3))</f>
        <v>46195</v>
      </c>
      <c r="C953" s="32" t="n">
        <f aca="false">IF(OR('Raw Orders'!C950&lt;&gt;"Product",'Raw Orders'!K950="Cancelled"),0,'Raw Orders'!G950)</f>
        <v>150</v>
      </c>
      <c r="D953" s="31" t="n">
        <f aca="false">IF(AND('Raw Orders'!C950="Product",'Raw Orders'!K950="Fulfilled",COUNTIFS('Raw Orders'!$A$2:$A950,'Raw Orders'!A950,'Raw Orders'!$C$2:$C950,"Product",'Raw Orders'!$K$2:$K950,"Fulfilled")=1),1,0)</f>
        <v>1</v>
      </c>
      <c r="E953" s="31" t="n">
        <f aca="false">IF(AND('Raw Orders'!C950="Product",'Raw Orders'!K950="Fulfilled"),'Raw Orders'!E950,0)</f>
        <v>2</v>
      </c>
      <c r="F953" s="32" t="n">
        <f aca="false">IF('Raw Orders'!K950="Refunded",'Raw Orders'!G950,0)</f>
        <v>0</v>
      </c>
    </row>
    <row r="954" customFormat="false" ht="15" hidden="false" customHeight="false" outlineLevel="0" collapsed="false">
      <c r="A954" s="36" t="n">
        <f aca="false">IF('Raw Orders'!B951="","",IF(MID('Raw Orders'!B951,5,1)="-",DATE(VALUE(LEFT('Raw Orders'!B951,4)),VALUE(MID('Raw Orders'!B951,6,2)),VALUE(MID('Raw Orders'!B951,9,2))),DATE(VALUE(MID('Raw Orders'!B951,7,4)),VALUE(MID('Raw Orders'!B951,4,2)),VALUE(LEFT('Raw Orders'!B951,2)))))</f>
        <v>46196</v>
      </c>
      <c r="B954" s="36" t="n">
        <f aca="false">IF(A954="","",A954-WEEKDAY(A954,3))</f>
        <v>46195</v>
      </c>
      <c r="C954" s="32" t="n">
        <f aca="false">IF(OR('Raw Orders'!C951&lt;&gt;"Product",'Raw Orders'!K951="Cancelled"),0,'Raw Orders'!G951)</f>
        <v>29</v>
      </c>
      <c r="D954" s="31" t="n">
        <f aca="false">IF(AND('Raw Orders'!C951="Product",'Raw Orders'!K951="Fulfilled",COUNTIFS('Raw Orders'!$A$2:$A951,'Raw Orders'!A951,'Raw Orders'!$C$2:$C951,"Product",'Raw Orders'!$K$2:$K951,"Fulfilled")=1),1,0)</f>
        <v>1</v>
      </c>
      <c r="E954" s="31" t="n">
        <f aca="false">IF(AND('Raw Orders'!C951="Product",'Raw Orders'!K951="Fulfilled"),'Raw Orders'!E951,0)</f>
        <v>1</v>
      </c>
      <c r="F954" s="32" t="n">
        <f aca="false">IF('Raw Orders'!K951="Refunded",'Raw Orders'!G951,0)</f>
        <v>0</v>
      </c>
    </row>
    <row r="955" customFormat="false" ht="15" hidden="false" customHeight="false" outlineLevel="0" collapsed="false">
      <c r="A955" s="36" t="n">
        <f aca="false">IF('Raw Orders'!B952="","",IF(MID('Raw Orders'!B952,5,1)="-",DATE(VALUE(LEFT('Raw Orders'!B952,4)),VALUE(MID('Raw Orders'!B952,6,2)),VALUE(MID('Raw Orders'!B952,9,2))),DATE(VALUE(MID('Raw Orders'!B952,7,4)),VALUE(MID('Raw Orders'!B952,4,2)),VALUE(LEFT('Raw Orders'!B952,2)))))</f>
        <v>46196</v>
      </c>
      <c r="B955" s="36" t="n">
        <f aca="false">IF(A955="","",A955-WEEKDAY(A955,3))</f>
        <v>46195</v>
      </c>
      <c r="C955" s="32" t="n">
        <f aca="false">IF(OR('Raw Orders'!C952&lt;&gt;"Product",'Raw Orders'!K952="Cancelled"),0,'Raw Orders'!G952)</f>
        <v>45</v>
      </c>
      <c r="D955" s="31" t="n">
        <f aca="false">IF(AND('Raw Orders'!C952="Product",'Raw Orders'!K952="Fulfilled",COUNTIFS('Raw Orders'!$A$2:$A952,'Raw Orders'!A952,'Raw Orders'!$C$2:$C952,"Product",'Raw Orders'!$K$2:$K952,"Fulfilled")=1),1,0)</f>
        <v>0</v>
      </c>
      <c r="E955" s="31" t="n">
        <f aca="false">IF(AND('Raw Orders'!C952="Product",'Raw Orders'!K952="Fulfilled"),'Raw Orders'!E952,0)</f>
        <v>1</v>
      </c>
      <c r="F955" s="32" t="n">
        <f aca="false">IF('Raw Orders'!K952="Refunded",'Raw Orders'!G952,0)</f>
        <v>0</v>
      </c>
    </row>
    <row r="956" customFormat="false" ht="15" hidden="false" customHeight="false" outlineLevel="0" collapsed="false">
      <c r="A956" s="36" t="n">
        <f aca="false">IF('Raw Orders'!B953="","",IF(MID('Raw Orders'!B953,5,1)="-",DATE(VALUE(LEFT('Raw Orders'!B953,4)),VALUE(MID('Raw Orders'!B953,6,2)),VALUE(MID('Raw Orders'!B953,9,2))),DATE(VALUE(MID('Raw Orders'!B953,7,4)),VALUE(MID('Raw Orders'!B953,4,2)),VALUE(LEFT('Raw Orders'!B953,2)))))</f>
        <v>46196</v>
      </c>
      <c r="B956" s="36" t="n">
        <f aca="false">IF(A956="","",A956-WEEKDAY(A956,3))</f>
        <v>46195</v>
      </c>
      <c r="C956" s="32" t="n">
        <f aca="false">IF(OR('Raw Orders'!C953&lt;&gt;"Product",'Raw Orders'!K953="Cancelled"),0,'Raw Orders'!G953)</f>
        <v>39</v>
      </c>
      <c r="D956" s="31" t="n">
        <f aca="false">IF(AND('Raw Orders'!C953="Product",'Raw Orders'!K953="Fulfilled",COUNTIFS('Raw Orders'!$A$2:$A953,'Raw Orders'!A953,'Raw Orders'!$C$2:$C953,"Product",'Raw Orders'!$K$2:$K953,"Fulfilled")=1),1,0)</f>
        <v>1</v>
      </c>
      <c r="E956" s="31" t="n">
        <f aca="false">IF(AND('Raw Orders'!C953="Product",'Raw Orders'!K953="Fulfilled"),'Raw Orders'!E953,0)</f>
        <v>1</v>
      </c>
      <c r="F956" s="32" t="n">
        <f aca="false">IF('Raw Orders'!K953="Refunded",'Raw Orders'!G953,0)</f>
        <v>0</v>
      </c>
    </row>
    <row r="957" customFormat="false" ht="15" hidden="false" customHeight="false" outlineLevel="0" collapsed="false">
      <c r="A957" s="36" t="n">
        <f aca="false">IF('Raw Orders'!B954="","",IF(MID('Raw Orders'!B954,5,1)="-",DATE(VALUE(LEFT('Raw Orders'!B954,4)),VALUE(MID('Raw Orders'!B954,6,2)),VALUE(MID('Raw Orders'!B954,9,2))),DATE(VALUE(MID('Raw Orders'!B954,7,4)),VALUE(MID('Raw Orders'!B954,4,2)),VALUE(LEFT('Raw Orders'!B954,2)))))</f>
        <v>46196</v>
      </c>
      <c r="B957" s="36" t="n">
        <f aca="false">IF(A957="","",A957-WEEKDAY(A957,3))</f>
        <v>46195</v>
      </c>
      <c r="C957" s="32" t="n">
        <f aca="false">IF(OR('Raw Orders'!C954&lt;&gt;"Product",'Raw Orders'!K954="Cancelled"),0,'Raw Orders'!G954)</f>
        <v>26</v>
      </c>
      <c r="D957" s="31" t="n">
        <f aca="false">IF(AND('Raw Orders'!C954="Product",'Raw Orders'!K954="Fulfilled",COUNTIFS('Raw Orders'!$A$2:$A954,'Raw Orders'!A954,'Raw Orders'!$C$2:$C954,"Product",'Raw Orders'!$K$2:$K954,"Fulfilled")=1),1,0)</f>
        <v>1</v>
      </c>
      <c r="E957" s="31" t="n">
        <f aca="false">IF(AND('Raw Orders'!C954="Product",'Raw Orders'!K954="Fulfilled"),'Raw Orders'!E954,0)</f>
        <v>1</v>
      </c>
      <c r="F957" s="32" t="n">
        <f aca="false">IF('Raw Orders'!K954="Refunded",'Raw Orders'!G954,0)</f>
        <v>0</v>
      </c>
    </row>
    <row r="958" customFormat="false" ht="15" hidden="false" customHeight="false" outlineLevel="0" collapsed="false">
      <c r="A958" s="36" t="n">
        <f aca="false">IF('Raw Orders'!B955="","",IF(MID('Raw Orders'!B955,5,1)="-",DATE(VALUE(LEFT('Raw Orders'!B955,4)),VALUE(MID('Raw Orders'!B955,6,2)),VALUE(MID('Raw Orders'!B955,9,2))),DATE(VALUE(MID('Raw Orders'!B955,7,4)),VALUE(MID('Raw Orders'!B955,4,2)),VALUE(LEFT('Raw Orders'!B955,2)))))</f>
        <v>46196</v>
      </c>
      <c r="B958" s="36" t="n">
        <f aca="false">IF(A958="","",A958-WEEKDAY(A958,3))</f>
        <v>46195</v>
      </c>
      <c r="C958" s="32" t="n">
        <f aca="false">IF(OR('Raw Orders'!C955&lt;&gt;"Product",'Raw Orders'!K955="Cancelled"),0,'Raw Orders'!G955)</f>
        <v>0</v>
      </c>
      <c r="D958" s="31" t="n">
        <f aca="false">IF(AND('Raw Orders'!C955="Product",'Raw Orders'!K955="Fulfilled",COUNTIFS('Raw Orders'!$A$2:$A955,'Raw Orders'!A955,'Raw Orders'!$C$2:$C955,"Product",'Raw Orders'!$K$2:$K955,"Fulfilled")=1),1,0)</f>
        <v>0</v>
      </c>
      <c r="E958" s="31" t="n">
        <f aca="false">IF(AND('Raw Orders'!C955="Product",'Raw Orders'!K955="Fulfilled"),'Raw Orders'!E955,0)</f>
        <v>0</v>
      </c>
      <c r="F958" s="32" t="n">
        <f aca="false">IF('Raw Orders'!K955="Refunded",'Raw Orders'!G955,0)</f>
        <v>0</v>
      </c>
    </row>
    <row r="959" customFormat="false" ht="15" hidden="false" customHeight="false" outlineLevel="0" collapsed="false">
      <c r="A959" s="36" t="n">
        <f aca="false">IF('Raw Orders'!B956="","",IF(MID('Raw Orders'!B956,5,1)="-",DATE(VALUE(LEFT('Raw Orders'!B956,4)),VALUE(MID('Raw Orders'!B956,6,2)),VALUE(MID('Raw Orders'!B956,9,2))),DATE(VALUE(MID('Raw Orders'!B956,7,4)),VALUE(MID('Raw Orders'!B956,4,2)),VALUE(LEFT('Raw Orders'!B956,2)))))</f>
        <v>46196</v>
      </c>
      <c r="B959" s="36" t="n">
        <f aca="false">IF(A959="","",A959-WEEKDAY(A959,3))</f>
        <v>46195</v>
      </c>
      <c r="C959" s="32" t="n">
        <f aca="false">IF(OR('Raw Orders'!C956&lt;&gt;"Product",'Raw Orders'!K956="Cancelled"),0,'Raw Orders'!G956)</f>
        <v>0</v>
      </c>
      <c r="D959" s="31" t="n">
        <f aca="false">IF(AND('Raw Orders'!C956="Product",'Raw Orders'!K956="Fulfilled",COUNTIFS('Raw Orders'!$A$2:$A956,'Raw Orders'!A956,'Raw Orders'!$C$2:$C956,"Product",'Raw Orders'!$K$2:$K956,"Fulfilled")=1),1,0)</f>
        <v>0</v>
      </c>
      <c r="E959" s="31" t="n">
        <f aca="false">IF(AND('Raw Orders'!C956="Product",'Raw Orders'!K956="Fulfilled"),'Raw Orders'!E956,0)</f>
        <v>0</v>
      </c>
      <c r="F959" s="32" t="n">
        <f aca="false">IF('Raw Orders'!K956="Refunded",'Raw Orders'!G956,0)</f>
        <v>0</v>
      </c>
    </row>
    <row r="960" customFormat="false" ht="15" hidden="false" customHeight="false" outlineLevel="0" collapsed="false">
      <c r="A960" s="36" t="n">
        <f aca="false">IF('Raw Orders'!B957="","",IF(MID('Raw Orders'!B957,5,1)="-",DATE(VALUE(LEFT('Raw Orders'!B957,4)),VALUE(MID('Raw Orders'!B957,6,2)),VALUE(MID('Raw Orders'!B957,9,2))),DATE(VALUE(MID('Raw Orders'!B957,7,4)),VALUE(MID('Raw Orders'!B957,4,2)),VALUE(LEFT('Raw Orders'!B957,2)))))</f>
        <v>46196</v>
      </c>
      <c r="B960" s="36" t="n">
        <f aca="false">IF(A960="","",A960-WEEKDAY(A960,3))</f>
        <v>46195</v>
      </c>
      <c r="C960" s="32" t="n">
        <f aca="false">IF(OR('Raw Orders'!C957&lt;&gt;"Product",'Raw Orders'!K957="Cancelled"),0,'Raw Orders'!G957)</f>
        <v>178</v>
      </c>
      <c r="D960" s="31" t="n">
        <f aca="false">IF(AND('Raw Orders'!C957="Product",'Raw Orders'!K957="Fulfilled",COUNTIFS('Raw Orders'!$A$2:$A957,'Raw Orders'!A957,'Raw Orders'!$C$2:$C957,"Product",'Raw Orders'!$K$2:$K957,"Fulfilled")=1),1,0)</f>
        <v>1</v>
      </c>
      <c r="E960" s="31" t="n">
        <f aca="false">IF(AND('Raw Orders'!C957="Product",'Raw Orders'!K957="Fulfilled"),'Raw Orders'!E957,0)</f>
        <v>2</v>
      </c>
      <c r="F960" s="32" t="n">
        <f aca="false">IF('Raw Orders'!K957="Refunded",'Raw Orders'!G957,0)</f>
        <v>0</v>
      </c>
    </row>
    <row r="961" customFormat="false" ht="15" hidden="false" customHeight="false" outlineLevel="0" collapsed="false">
      <c r="A961" s="36" t="n">
        <f aca="false">IF('Raw Orders'!B958="","",IF(MID('Raw Orders'!B958,5,1)="-",DATE(VALUE(LEFT('Raw Orders'!B958,4)),VALUE(MID('Raw Orders'!B958,6,2)),VALUE(MID('Raw Orders'!B958,9,2))),DATE(VALUE(MID('Raw Orders'!B958,7,4)),VALUE(MID('Raw Orders'!B958,4,2)),VALUE(LEFT('Raw Orders'!B958,2)))))</f>
        <v>46197</v>
      </c>
      <c r="B961" s="36" t="n">
        <f aca="false">IF(A961="","",A961-WEEKDAY(A961,3))</f>
        <v>46195</v>
      </c>
      <c r="C961" s="32" t="n">
        <f aca="false">IF(OR('Raw Orders'!C958&lt;&gt;"Product",'Raw Orders'!K958="Cancelled"),0,'Raw Orders'!G958)</f>
        <v>45</v>
      </c>
      <c r="D961" s="31" t="n">
        <f aca="false">IF(AND('Raw Orders'!C958="Product",'Raw Orders'!K958="Fulfilled",COUNTIFS('Raw Orders'!$A$2:$A958,'Raw Orders'!A958,'Raw Orders'!$C$2:$C958,"Product",'Raw Orders'!$K$2:$K958,"Fulfilled")=1),1,0)</f>
        <v>1</v>
      </c>
      <c r="E961" s="31" t="n">
        <f aca="false">IF(AND('Raw Orders'!C958="Product",'Raw Orders'!K958="Fulfilled"),'Raw Orders'!E958,0)</f>
        <v>1</v>
      </c>
      <c r="F961" s="32" t="n">
        <f aca="false">IF('Raw Orders'!K958="Refunded",'Raw Orders'!G958,0)</f>
        <v>0</v>
      </c>
    </row>
    <row r="962" customFormat="false" ht="15" hidden="false" customHeight="false" outlineLevel="0" collapsed="false">
      <c r="A962" s="36" t="n">
        <f aca="false">IF('Raw Orders'!B959="","",IF(MID('Raw Orders'!B959,5,1)="-",DATE(VALUE(LEFT('Raw Orders'!B959,4)),VALUE(MID('Raw Orders'!B959,6,2)),VALUE(MID('Raw Orders'!B959,9,2))),DATE(VALUE(MID('Raw Orders'!B959,7,4)),VALUE(MID('Raw Orders'!B959,4,2)),VALUE(LEFT('Raw Orders'!B959,2)))))</f>
        <v>46197</v>
      </c>
      <c r="B962" s="36" t="n">
        <f aca="false">IF(A962="","",A962-WEEKDAY(A962,3))</f>
        <v>46195</v>
      </c>
      <c r="C962" s="32" t="n">
        <f aca="false">IF(OR('Raw Orders'!C959&lt;&gt;"Product",'Raw Orders'!K959="Cancelled"),0,'Raw Orders'!G959)</f>
        <v>75</v>
      </c>
      <c r="D962" s="31" t="n">
        <f aca="false">IF(AND('Raw Orders'!C959="Product",'Raw Orders'!K959="Fulfilled",COUNTIFS('Raw Orders'!$A$2:$A959,'Raw Orders'!A959,'Raw Orders'!$C$2:$C959,"Product",'Raw Orders'!$K$2:$K959,"Fulfilled")=1),1,0)</f>
        <v>0</v>
      </c>
      <c r="E962" s="31" t="n">
        <f aca="false">IF(AND('Raw Orders'!C959="Product",'Raw Orders'!K959="Fulfilled"),'Raw Orders'!E959,0)</f>
        <v>1</v>
      </c>
      <c r="F962" s="32" t="n">
        <f aca="false">IF('Raw Orders'!K959="Refunded",'Raw Orders'!G959,0)</f>
        <v>0</v>
      </c>
    </row>
    <row r="963" customFormat="false" ht="15" hidden="false" customHeight="false" outlineLevel="0" collapsed="false">
      <c r="A963" s="36" t="n">
        <f aca="false">IF('Raw Orders'!B960="","",IF(MID('Raw Orders'!B960,5,1)="-",DATE(VALUE(LEFT('Raw Orders'!B960,4)),VALUE(MID('Raw Orders'!B960,6,2)),VALUE(MID('Raw Orders'!B960,9,2))),DATE(VALUE(MID('Raw Orders'!B960,7,4)),VALUE(MID('Raw Orders'!B960,4,2)),VALUE(LEFT('Raw Orders'!B960,2)))))</f>
        <v>46197</v>
      </c>
      <c r="B963" s="36" t="n">
        <f aca="false">IF(A963="","",A963-WEEKDAY(A963,3))</f>
        <v>46195</v>
      </c>
      <c r="C963" s="32" t="n">
        <f aca="false">IF(OR('Raw Orders'!C960&lt;&gt;"Product",'Raw Orders'!K960="Cancelled"),0,'Raw Orders'!G960)</f>
        <v>64</v>
      </c>
      <c r="D963" s="31" t="n">
        <f aca="false">IF(AND('Raw Orders'!C960="Product",'Raw Orders'!K960="Fulfilled",COUNTIFS('Raw Orders'!$A$2:$A960,'Raw Orders'!A960,'Raw Orders'!$C$2:$C960,"Product",'Raw Orders'!$K$2:$K960,"Fulfilled")=1),1,0)</f>
        <v>1</v>
      </c>
      <c r="E963" s="31" t="n">
        <f aca="false">IF(AND('Raw Orders'!C960="Product",'Raw Orders'!K960="Fulfilled"),'Raw Orders'!E960,0)</f>
        <v>2</v>
      </c>
      <c r="F963" s="32" t="n">
        <f aca="false">IF('Raw Orders'!K960="Refunded",'Raw Orders'!G960,0)</f>
        <v>0</v>
      </c>
    </row>
    <row r="964" customFormat="false" ht="15" hidden="false" customHeight="false" outlineLevel="0" collapsed="false">
      <c r="A964" s="36" t="n">
        <f aca="false">IF('Raw Orders'!B961="","",IF(MID('Raw Orders'!B961,5,1)="-",DATE(VALUE(LEFT('Raw Orders'!B961,4)),VALUE(MID('Raw Orders'!B961,6,2)),VALUE(MID('Raw Orders'!B961,9,2))),DATE(VALUE(MID('Raw Orders'!B961,7,4)),VALUE(MID('Raw Orders'!B961,4,2)),VALUE(LEFT('Raw Orders'!B961,2)))))</f>
        <v>46197</v>
      </c>
      <c r="B964" s="36" t="n">
        <f aca="false">IF(A964="","",A964-WEEKDAY(A964,3))</f>
        <v>46195</v>
      </c>
      <c r="C964" s="32" t="n">
        <f aca="false">IF(OR('Raw Orders'!C961&lt;&gt;"Product",'Raw Orders'!K961="Cancelled"),0,'Raw Orders'!G961)</f>
        <v>0</v>
      </c>
      <c r="D964" s="31" t="n">
        <f aca="false">IF(AND('Raw Orders'!C961="Product",'Raw Orders'!K961="Fulfilled",COUNTIFS('Raw Orders'!$A$2:$A961,'Raw Orders'!A961,'Raw Orders'!$C$2:$C961,"Product",'Raw Orders'!$K$2:$K961,"Fulfilled")=1),1,0)</f>
        <v>0</v>
      </c>
      <c r="E964" s="31" t="n">
        <f aca="false">IF(AND('Raw Orders'!C961="Product",'Raw Orders'!K961="Fulfilled"),'Raw Orders'!E961,0)</f>
        <v>0</v>
      </c>
      <c r="F964" s="32" t="n">
        <f aca="false">IF('Raw Orders'!K961="Refunded",'Raw Orders'!G961,0)</f>
        <v>0</v>
      </c>
    </row>
    <row r="965" customFormat="false" ht="15" hidden="false" customHeight="false" outlineLevel="0" collapsed="false">
      <c r="A965" s="36" t="n">
        <f aca="false">IF('Raw Orders'!B962="","",IF(MID('Raw Orders'!B962,5,1)="-",DATE(VALUE(LEFT('Raw Orders'!B962,4)),VALUE(MID('Raw Orders'!B962,6,2)),VALUE(MID('Raw Orders'!B962,9,2))),DATE(VALUE(MID('Raw Orders'!B962,7,4)),VALUE(MID('Raw Orders'!B962,4,2)),VALUE(LEFT('Raw Orders'!B962,2)))))</f>
        <v>46197</v>
      </c>
      <c r="B965" s="36" t="n">
        <f aca="false">IF(A965="","",A965-WEEKDAY(A965,3))</f>
        <v>46195</v>
      </c>
      <c r="C965" s="32" t="n">
        <f aca="false">IF(OR('Raw Orders'!C962&lt;&gt;"Product",'Raw Orders'!K962="Cancelled"),0,'Raw Orders'!G962)</f>
        <v>0</v>
      </c>
      <c r="D965" s="31" t="n">
        <f aca="false">IF(AND('Raw Orders'!C962="Product",'Raw Orders'!K962="Fulfilled",COUNTIFS('Raw Orders'!$A$2:$A962,'Raw Orders'!A962,'Raw Orders'!$C$2:$C962,"Product",'Raw Orders'!$K$2:$K962,"Fulfilled")=1),1,0)</f>
        <v>0</v>
      </c>
      <c r="E965" s="31" t="n">
        <f aca="false">IF(AND('Raw Orders'!C962="Product",'Raw Orders'!K962="Fulfilled"),'Raw Orders'!E962,0)</f>
        <v>0</v>
      </c>
      <c r="F965" s="32" t="n">
        <f aca="false">IF('Raw Orders'!K962="Refunded",'Raw Orders'!G962,0)</f>
        <v>0</v>
      </c>
    </row>
    <row r="966" customFormat="false" ht="15" hidden="false" customHeight="false" outlineLevel="0" collapsed="false">
      <c r="A966" s="36" t="n">
        <f aca="false">IF('Raw Orders'!B963="","",IF(MID('Raw Orders'!B963,5,1)="-",DATE(VALUE(LEFT('Raw Orders'!B963,4)),VALUE(MID('Raw Orders'!B963,6,2)),VALUE(MID('Raw Orders'!B963,9,2))),DATE(VALUE(MID('Raw Orders'!B963,7,4)),VALUE(MID('Raw Orders'!B963,4,2)),VALUE(LEFT('Raw Orders'!B963,2)))))</f>
        <v>46197</v>
      </c>
      <c r="B966" s="36" t="n">
        <f aca="false">IF(A966="","",A966-WEEKDAY(A966,3))</f>
        <v>46195</v>
      </c>
      <c r="C966" s="32" t="n">
        <f aca="false">IF(OR('Raw Orders'!C963&lt;&gt;"Product",'Raw Orders'!K963="Cancelled"),0,'Raw Orders'!G963)</f>
        <v>0</v>
      </c>
      <c r="D966" s="31" t="n">
        <f aca="false">IF(AND('Raw Orders'!C963="Product",'Raw Orders'!K963="Fulfilled",COUNTIFS('Raw Orders'!$A$2:$A963,'Raw Orders'!A963,'Raw Orders'!$C$2:$C963,"Product",'Raw Orders'!$K$2:$K963,"Fulfilled")=1),1,0)</f>
        <v>0</v>
      </c>
      <c r="E966" s="31" t="n">
        <f aca="false">IF(AND('Raw Orders'!C963="Product",'Raw Orders'!K963="Fulfilled"),'Raw Orders'!E963,0)</f>
        <v>0</v>
      </c>
      <c r="F966" s="32" t="n">
        <f aca="false">IF('Raw Orders'!K963="Refunded",'Raw Orders'!G963,0)</f>
        <v>0</v>
      </c>
    </row>
    <row r="967" customFormat="false" ht="15" hidden="false" customHeight="false" outlineLevel="0" collapsed="false">
      <c r="A967" s="36" t="n">
        <f aca="false">IF('Raw Orders'!B964="","",IF(MID('Raw Orders'!B964,5,1)="-",DATE(VALUE(LEFT('Raw Orders'!B964,4)),VALUE(MID('Raw Orders'!B964,6,2)),VALUE(MID('Raw Orders'!B964,9,2))),DATE(VALUE(MID('Raw Orders'!B964,7,4)),VALUE(MID('Raw Orders'!B964,4,2)),VALUE(LEFT('Raw Orders'!B964,2)))))</f>
        <v>46197</v>
      </c>
      <c r="B967" s="36" t="n">
        <f aca="false">IF(A967="","",A967-WEEKDAY(A967,3))</f>
        <v>46195</v>
      </c>
      <c r="C967" s="32" t="n">
        <f aca="false">IF(OR('Raw Orders'!C964&lt;&gt;"Product",'Raw Orders'!K964="Cancelled"),0,'Raw Orders'!G964)</f>
        <v>56</v>
      </c>
      <c r="D967" s="31" t="n">
        <f aca="false">IF(AND('Raw Orders'!C964="Product",'Raw Orders'!K964="Fulfilled",COUNTIFS('Raw Orders'!$A$2:$A964,'Raw Orders'!A964,'Raw Orders'!$C$2:$C964,"Product",'Raw Orders'!$K$2:$K964,"Fulfilled")=1),1,0)</f>
        <v>1</v>
      </c>
      <c r="E967" s="31" t="n">
        <f aca="false">IF(AND('Raw Orders'!C964="Product",'Raw Orders'!K964="Fulfilled"),'Raw Orders'!E964,0)</f>
        <v>2</v>
      </c>
      <c r="F967" s="32" t="n">
        <f aca="false">IF('Raw Orders'!K964="Refunded",'Raw Orders'!G964,0)</f>
        <v>0</v>
      </c>
    </row>
    <row r="968" customFormat="false" ht="15" hidden="false" customHeight="false" outlineLevel="0" collapsed="false">
      <c r="A968" s="36" t="n">
        <f aca="false">IF('Raw Orders'!B965="","",IF(MID('Raw Orders'!B965,5,1)="-",DATE(VALUE(LEFT('Raw Orders'!B965,4)),VALUE(MID('Raw Orders'!B965,6,2)),VALUE(MID('Raw Orders'!B965,9,2))),DATE(VALUE(MID('Raw Orders'!B965,7,4)),VALUE(MID('Raw Orders'!B965,4,2)),VALUE(LEFT('Raw Orders'!B965,2)))))</f>
        <v>46197</v>
      </c>
      <c r="B968" s="36" t="n">
        <f aca="false">IF(A968="","",A968-WEEKDAY(A968,3))</f>
        <v>46195</v>
      </c>
      <c r="C968" s="32" t="n">
        <f aca="false">IF(OR('Raw Orders'!C965&lt;&gt;"Product",'Raw Orders'!K965="Cancelled"),0,'Raw Orders'!G965)</f>
        <v>89</v>
      </c>
      <c r="D968" s="31" t="n">
        <f aca="false">IF(AND('Raw Orders'!C965="Product",'Raw Orders'!K965="Fulfilled",COUNTIFS('Raw Orders'!$A$2:$A965,'Raw Orders'!A965,'Raw Orders'!$C$2:$C965,"Product",'Raw Orders'!$K$2:$K965,"Fulfilled")=1),1,0)</f>
        <v>0</v>
      </c>
      <c r="E968" s="31" t="n">
        <f aca="false">IF(AND('Raw Orders'!C965="Product",'Raw Orders'!K965="Fulfilled"),'Raw Orders'!E965,0)</f>
        <v>1</v>
      </c>
      <c r="F968" s="32" t="n">
        <f aca="false">IF('Raw Orders'!K965="Refunded",'Raw Orders'!G965,0)</f>
        <v>0</v>
      </c>
    </row>
    <row r="969" customFormat="false" ht="15" hidden="false" customHeight="false" outlineLevel="0" collapsed="false">
      <c r="A969" s="36" t="n">
        <f aca="false">IF('Raw Orders'!B966="","",IF(MID('Raw Orders'!B966,5,1)="-",DATE(VALUE(LEFT('Raw Orders'!B966,4)),VALUE(MID('Raw Orders'!B966,6,2)),VALUE(MID('Raw Orders'!B966,9,2))),DATE(VALUE(MID('Raw Orders'!B966,7,4)),VALUE(MID('Raw Orders'!B966,4,2)),VALUE(LEFT('Raw Orders'!B966,2)))))</f>
        <v>46197</v>
      </c>
      <c r="B969" s="36" t="n">
        <f aca="false">IF(A969="","",A969-WEEKDAY(A969,3))</f>
        <v>46195</v>
      </c>
      <c r="C969" s="32" t="n">
        <f aca="false">IF(OR('Raw Orders'!C966&lt;&gt;"Product",'Raw Orders'!K966="Cancelled"),0,'Raw Orders'!G966)</f>
        <v>150</v>
      </c>
      <c r="D969" s="31" t="n">
        <f aca="false">IF(AND('Raw Orders'!C966="Product",'Raw Orders'!K966="Fulfilled",COUNTIFS('Raw Orders'!$A$2:$A966,'Raw Orders'!A966,'Raw Orders'!$C$2:$C966,"Product",'Raw Orders'!$K$2:$K966,"Fulfilled")=1),1,0)</f>
        <v>1</v>
      </c>
      <c r="E969" s="31" t="n">
        <f aca="false">IF(AND('Raw Orders'!C966="Product",'Raw Orders'!K966="Fulfilled"),'Raw Orders'!E966,0)</f>
        <v>2</v>
      </c>
      <c r="F969" s="32" t="n">
        <f aca="false">IF('Raw Orders'!K966="Refunded",'Raw Orders'!G966,0)</f>
        <v>0</v>
      </c>
    </row>
    <row r="970" customFormat="false" ht="15" hidden="false" customHeight="false" outlineLevel="0" collapsed="false">
      <c r="A970" s="36" t="n">
        <f aca="false">IF('Raw Orders'!B967="","",IF(MID('Raw Orders'!B967,5,1)="-",DATE(VALUE(LEFT('Raw Orders'!B967,4)),VALUE(MID('Raw Orders'!B967,6,2)),VALUE(MID('Raw Orders'!B967,9,2))),DATE(VALUE(MID('Raw Orders'!B967,7,4)),VALUE(MID('Raw Orders'!B967,4,2)),VALUE(LEFT('Raw Orders'!B967,2)))))</f>
        <v>46197</v>
      </c>
      <c r="B970" s="36" t="n">
        <f aca="false">IF(A970="","",A970-WEEKDAY(A970,3))</f>
        <v>46195</v>
      </c>
      <c r="C970" s="32" t="n">
        <f aca="false">IF(OR('Raw Orders'!C967&lt;&gt;"Product",'Raw Orders'!K967="Cancelled"),0,'Raw Orders'!G967)</f>
        <v>69</v>
      </c>
      <c r="D970" s="31" t="n">
        <f aca="false">IF(AND('Raw Orders'!C967="Product",'Raw Orders'!K967="Fulfilled",COUNTIFS('Raw Orders'!$A$2:$A967,'Raw Orders'!A967,'Raw Orders'!$C$2:$C967,"Product",'Raw Orders'!$K$2:$K967,"Fulfilled")=1),1,0)</f>
        <v>0</v>
      </c>
      <c r="E970" s="31" t="n">
        <f aca="false">IF(AND('Raw Orders'!C967="Product",'Raw Orders'!K967="Fulfilled"),'Raw Orders'!E967,0)</f>
        <v>1</v>
      </c>
      <c r="F970" s="32" t="n">
        <f aca="false">IF('Raw Orders'!K967="Refunded",'Raw Orders'!G967,0)</f>
        <v>0</v>
      </c>
    </row>
    <row r="971" customFormat="false" ht="15" hidden="false" customHeight="false" outlineLevel="0" collapsed="false">
      <c r="A971" s="36" t="n">
        <f aca="false">IF('Raw Orders'!B968="","",IF(MID('Raw Orders'!B968,5,1)="-",DATE(VALUE(LEFT('Raw Orders'!B968,4)),VALUE(MID('Raw Orders'!B968,6,2)),VALUE(MID('Raw Orders'!B968,9,2))),DATE(VALUE(MID('Raw Orders'!B968,7,4)),VALUE(MID('Raw Orders'!B968,4,2)),VALUE(LEFT('Raw Orders'!B968,2)))))</f>
        <v>46197</v>
      </c>
      <c r="B971" s="36" t="n">
        <f aca="false">IF(A971="","",A971-WEEKDAY(A971,3))</f>
        <v>46195</v>
      </c>
      <c r="C971" s="32" t="n">
        <f aca="false">IF(OR('Raw Orders'!C968&lt;&gt;"Product",'Raw Orders'!K968="Cancelled"),0,'Raw Orders'!G968)</f>
        <v>0</v>
      </c>
      <c r="D971" s="31" t="n">
        <f aca="false">IF(AND('Raw Orders'!C968="Product",'Raw Orders'!K968="Fulfilled",COUNTIFS('Raw Orders'!$A$2:$A968,'Raw Orders'!A968,'Raw Orders'!$C$2:$C968,"Product",'Raw Orders'!$K$2:$K968,"Fulfilled")=1),1,0)</f>
        <v>0</v>
      </c>
      <c r="E971" s="31" t="n">
        <f aca="false">IF(AND('Raw Orders'!C968="Product",'Raw Orders'!K968="Fulfilled"),'Raw Orders'!E968,0)</f>
        <v>0</v>
      </c>
      <c r="F971" s="32" t="n">
        <f aca="false">IF('Raw Orders'!K968="Refunded",'Raw Orders'!G968,0)</f>
        <v>0</v>
      </c>
    </row>
    <row r="972" customFormat="false" ht="15" hidden="false" customHeight="false" outlineLevel="0" collapsed="false">
      <c r="A972" s="36" t="n">
        <f aca="false">IF('Raw Orders'!B969="","",IF(MID('Raw Orders'!B969,5,1)="-",DATE(VALUE(LEFT('Raw Orders'!B969,4)),VALUE(MID('Raw Orders'!B969,6,2)),VALUE(MID('Raw Orders'!B969,9,2))),DATE(VALUE(MID('Raw Orders'!B969,7,4)),VALUE(MID('Raw Orders'!B969,4,2)),VALUE(LEFT('Raw Orders'!B969,2)))))</f>
        <v>46197</v>
      </c>
      <c r="B972" s="36" t="n">
        <f aca="false">IF(A972="","",A972-WEEKDAY(A972,3))</f>
        <v>46195</v>
      </c>
      <c r="C972" s="32" t="n">
        <f aca="false">IF(OR('Raw Orders'!C969&lt;&gt;"Product",'Raw Orders'!K969="Cancelled"),0,'Raw Orders'!G969)</f>
        <v>39</v>
      </c>
      <c r="D972" s="31" t="n">
        <f aca="false">IF(AND('Raw Orders'!C969="Product",'Raw Orders'!K969="Fulfilled",COUNTIFS('Raw Orders'!$A$2:$A969,'Raw Orders'!A969,'Raw Orders'!$C$2:$C969,"Product",'Raw Orders'!$K$2:$K969,"Fulfilled")=1),1,0)</f>
        <v>0</v>
      </c>
      <c r="E972" s="31" t="n">
        <f aca="false">IF(AND('Raw Orders'!C969="Product",'Raw Orders'!K969="Fulfilled"),'Raw Orders'!E969,0)</f>
        <v>1</v>
      </c>
      <c r="F972" s="32" t="n">
        <f aca="false">IF('Raw Orders'!K969="Refunded",'Raw Orders'!G969,0)</f>
        <v>0</v>
      </c>
    </row>
    <row r="973" customFormat="false" ht="15" hidden="false" customHeight="false" outlineLevel="0" collapsed="false">
      <c r="A973" s="36" t="n">
        <f aca="false">IF('Raw Orders'!B970="","",IF(MID('Raw Orders'!B970,5,1)="-",DATE(VALUE(LEFT('Raw Orders'!B970,4)),VALUE(MID('Raw Orders'!B970,6,2)),VALUE(MID('Raw Orders'!B970,9,2))),DATE(VALUE(MID('Raw Orders'!B970,7,4)),VALUE(MID('Raw Orders'!B970,4,2)),VALUE(LEFT('Raw Orders'!B970,2)))))</f>
        <v>46197</v>
      </c>
      <c r="B973" s="36" t="n">
        <f aca="false">IF(A973="","",A973-WEEKDAY(A973,3))</f>
        <v>46195</v>
      </c>
      <c r="C973" s="32" t="n">
        <f aca="false">IF(OR('Raw Orders'!C970&lt;&gt;"Product",'Raw Orders'!K970="Cancelled"),0,'Raw Orders'!G970)</f>
        <v>0</v>
      </c>
      <c r="D973" s="31" t="n">
        <f aca="false">IF(AND('Raw Orders'!C970="Product",'Raw Orders'!K970="Fulfilled",COUNTIFS('Raw Orders'!$A$2:$A970,'Raw Orders'!A970,'Raw Orders'!$C$2:$C970,"Product",'Raw Orders'!$K$2:$K970,"Fulfilled")=1),1,0)</f>
        <v>0</v>
      </c>
      <c r="E973" s="31" t="n">
        <f aca="false">IF(AND('Raw Orders'!C970="Product",'Raw Orders'!K970="Fulfilled"),'Raw Orders'!E970,0)</f>
        <v>0</v>
      </c>
      <c r="F973" s="32" t="n">
        <f aca="false">IF('Raw Orders'!K970="Refunded",'Raw Orders'!G970,0)</f>
        <v>0</v>
      </c>
    </row>
    <row r="974" customFormat="false" ht="15" hidden="false" customHeight="false" outlineLevel="0" collapsed="false">
      <c r="A974" s="36" t="n">
        <f aca="false">IF('Raw Orders'!B971="","",IF(MID('Raw Orders'!B971,5,1)="-",DATE(VALUE(LEFT('Raw Orders'!B971,4)),VALUE(MID('Raw Orders'!B971,6,2)),VALUE(MID('Raw Orders'!B971,9,2))),DATE(VALUE(MID('Raw Orders'!B971,7,4)),VALUE(MID('Raw Orders'!B971,4,2)),VALUE(LEFT('Raw Orders'!B971,2)))))</f>
        <v>46197</v>
      </c>
      <c r="B974" s="36" t="n">
        <f aca="false">IF(A974="","",A974-WEEKDAY(A974,3))</f>
        <v>46195</v>
      </c>
      <c r="C974" s="32" t="n">
        <f aca="false">IF(OR('Raw Orders'!C971&lt;&gt;"Product",'Raw Orders'!K971="Cancelled"),0,'Raw Orders'!G971)</f>
        <v>0</v>
      </c>
      <c r="D974" s="31" t="n">
        <f aca="false">IF(AND('Raw Orders'!C971="Product",'Raw Orders'!K971="Fulfilled",COUNTIFS('Raw Orders'!$A$2:$A971,'Raw Orders'!A971,'Raw Orders'!$C$2:$C971,"Product",'Raw Orders'!$K$2:$K971,"Fulfilled")=1),1,0)</f>
        <v>0</v>
      </c>
      <c r="E974" s="31" t="n">
        <f aca="false">IF(AND('Raw Orders'!C971="Product",'Raw Orders'!K971="Fulfilled"),'Raw Orders'!E971,0)</f>
        <v>0</v>
      </c>
      <c r="F974" s="32" t="n">
        <f aca="false">IF('Raw Orders'!K971="Refunded",'Raw Orders'!G971,0)</f>
        <v>0</v>
      </c>
    </row>
    <row r="975" customFormat="false" ht="15" hidden="false" customHeight="false" outlineLevel="0" collapsed="false">
      <c r="A975" s="36" t="n">
        <f aca="false">IF('Raw Orders'!B972="","",IF(MID('Raw Orders'!B972,5,1)="-",DATE(VALUE(LEFT('Raw Orders'!B972,4)),VALUE(MID('Raw Orders'!B972,6,2)),VALUE(MID('Raw Orders'!B972,9,2))),DATE(VALUE(MID('Raw Orders'!B972,7,4)),VALUE(MID('Raw Orders'!B972,4,2)),VALUE(LEFT('Raw Orders'!B972,2)))))</f>
        <v>46197</v>
      </c>
      <c r="B975" s="36" t="n">
        <f aca="false">IF(A975="","",A975-WEEKDAY(A975,3))</f>
        <v>46195</v>
      </c>
      <c r="C975" s="32" t="n">
        <f aca="false">IF(OR('Raw Orders'!C972&lt;&gt;"Product",'Raw Orders'!K972="Cancelled"),0,'Raw Orders'!G972)</f>
        <v>69</v>
      </c>
      <c r="D975" s="31" t="n">
        <f aca="false">IF(AND('Raw Orders'!C972="Product",'Raw Orders'!K972="Fulfilled",COUNTIFS('Raw Orders'!$A$2:$A972,'Raw Orders'!A972,'Raw Orders'!$C$2:$C972,"Product",'Raw Orders'!$K$2:$K972,"Fulfilled")=1),1,0)</f>
        <v>1</v>
      </c>
      <c r="E975" s="31" t="n">
        <f aca="false">IF(AND('Raw Orders'!C972="Product",'Raw Orders'!K972="Fulfilled"),'Raw Orders'!E972,0)</f>
        <v>1</v>
      </c>
      <c r="F975" s="32" t="n">
        <f aca="false">IF('Raw Orders'!K972="Refunded",'Raw Orders'!G972,0)</f>
        <v>0</v>
      </c>
    </row>
    <row r="976" customFormat="false" ht="15" hidden="false" customHeight="false" outlineLevel="0" collapsed="false">
      <c r="A976" s="36" t="n">
        <f aca="false">IF('Raw Orders'!B973="","",IF(MID('Raw Orders'!B973,5,1)="-",DATE(VALUE(LEFT('Raw Orders'!B973,4)),VALUE(MID('Raw Orders'!B973,6,2)),VALUE(MID('Raw Orders'!B973,9,2))),DATE(VALUE(MID('Raw Orders'!B973,7,4)),VALUE(MID('Raw Orders'!B973,4,2)),VALUE(LEFT('Raw Orders'!B973,2)))))</f>
        <v>46197</v>
      </c>
      <c r="B976" s="36" t="n">
        <f aca="false">IF(A976="","",A976-WEEKDAY(A976,3))</f>
        <v>46195</v>
      </c>
      <c r="C976" s="32" t="n">
        <f aca="false">IF(OR('Raw Orders'!C973&lt;&gt;"Product",'Raw Orders'!K973="Cancelled"),0,'Raw Orders'!G973)</f>
        <v>39</v>
      </c>
      <c r="D976" s="31" t="n">
        <f aca="false">IF(AND('Raw Orders'!C973="Product",'Raw Orders'!K973="Fulfilled",COUNTIFS('Raw Orders'!$A$2:$A973,'Raw Orders'!A973,'Raw Orders'!$C$2:$C973,"Product",'Raw Orders'!$K$2:$K973,"Fulfilled")=1),1,0)</f>
        <v>0</v>
      </c>
      <c r="E976" s="31" t="n">
        <f aca="false">IF(AND('Raw Orders'!C973="Product",'Raw Orders'!K973="Fulfilled"),'Raw Orders'!E973,0)</f>
        <v>1</v>
      </c>
      <c r="F976" s="32" t="n">
        <f aca="false">IF('Raw Orders'!K973="Refunded",'Raw Orders'!G973,0)</f>
        <v>0</v>
      </c>
    </row>
    <row r="977" customFormat="false" ht="15" hidden="false" customHeight="false" outlineLevel="0" collapsed="false">
      <c r="A977" s="36" t="n">
        <f aca="false">IF('Raw Orders'!B974="","",IF(MID('Raw Orders'!B974,5,1)="-",DATE(VALUE(LEFT('Raw Orders'!B974,4)),VALUE(MID('Raw Orders'!B974,6,2)),VALUE(MID('Raw Orders'!B974,9,2))),DATE(VALUE(MID('Raw Orders'!B974,7,4)),VALUE(MID('Raw Orders'!B974,4,2)),VALUE(LEFT('Raw Orders'!B974,2)))))</f>
        <v>46197</v>
      </c>
      <c r="B977" s="36" t="n">
        <f aca="false">IF(A977="","",A977-WEEKDAY(A977,3))</f>
        <v>46195</v>
      </c>
      <c r="C977" s="32" t="n">
        <f aca="false">IF(OR('Raw Orders'!C974&lt;&gt;"Product",'Raw Orders'!K974="Cancelled"),0,'Raw Orders'!G974)</f>
        <v>45</v>
      </c>
      <c r="D977" s="31" t="n">
        <f aca="false">IF(AND('Raw Orders'!C974="Product",'Raw Orders'!K974="Fulfilled",COUNTIFS('Raw Orders'!$A$2:$A974,'Raw Orders'!A974,'Raw Orders'!$C$2:$C974,"Product",'Raw Orders'!$K$2:$K974,"Fulfilled")=1),1,0)</f>
        <v>0</v>
      </c>
      <c r="E977" s="31" t="n">
        <f aca="false">IF(AND('Raw Orders'!C974="Product",'Raw Orders'!K974="Fulfilled"),'Raw Orders'!E974,0)</f>
        <v>1</v>
      </c>
      <c r="F977" s="32" t="n">
        <f aca="false">IF('Raw Orders'!K974="Refunded",'Raw Orders'!G974,0)</f>
        <v>0</v>
      </c>
    </row>
    <row r="978" customFormat="false" ht="15" hidden="false" customHeight="false" outlineLevel="0" collapsed="false">
      <c r="A978" s="36" t="n">
        <f aca="false">IF('Raw Orders'!B975="","",IF(MID('Raw Orders'!B975,5,1)="-",DATE(VALUE(LEFT('Raw Orders'!B975,4)),VALUE(MID('Raw Orders'!B975,6,2)),VALUE(MID('Raw Orders'!B975,9,2))),DATE(VALUE(MID('Raw Orders'!B975,7,4)),VALUE(MID('Raw Orders'!B975,4,2)),VALUE(LEFT('Raw Orders'!B975,2)))))</f>
        <v>46197</v>
      </c>
      <c r="B978" s="36" t="n">
        <f aca="false">IF(A978="","",A978-WEEKDAY(A978,3))</f>
        <v>46195</v>
      </c>
      <c r="C978" s="32" t="n">
        <f aca="false">IF(OR('Raw Orders'!C975&lt;&gt;"Product",'Raw Orders'!K975="Cancelled"),0,'Raw Orders'!G975)</f>
        <v>75</v>
      </c>
      <c r="D978" s="31" t="n">
        <f aca="false">IF(AND('Raw Orders'!C975="Product",'Raw Orders'!K975="Fulfilled",COUNTIFS('Raw Orders'!$A$2:$A975,'Raw Orders'!A975,'Raw Orders'!$C$2:$C975,"Product",'Raw Orders'!$K$2:$K975,"Fulfilled")=1),1,0)</f>
        <v>1</v>
      </c>
      <c r="E978" s="31" t="n">
        <f aca="false">IF(AND('Raw Orders'!C975="Product",'Raw Orders'!K975="Fulfilled"),'Raw Orders'!E975,0)</f>
        <v>1</v>
      </c>
      <c r="F978" s="32" t="n">
        <f aca="false">IF('Raw Orders'!K975="Refunded",'Raw Orders'!G975,0)</f>
        <v>0</v>
      </c>
    </row>
    <row r="979" customFormat="false" ht="15" hidden="false" customHeight="false" outlineLevel="0" collapsed="false">
      <c r="A979" s="36" t="n">
        <f aca="false">IF('Raw Orders'!B976="","",IF(MID('Raw Orders'!B976,5,1)="-",DATE(VALUE(LEFT('Raw Orders'!B976,4)),VALUE(MID('Raw Orders'!B976,6,2)),VALUE(MID('Raw Orders'!B976,9,2))),DATE(VALUE(MID('Raw Orders'!B976,7,4)),VALUE(MID('Raw Orders'!B976,4,2)),VALUE(LEFT('Raw Orders'!B976,2)))))</f>
        <v>46197</v>
      </c>
      <c r="B979" s="36" t="n">
        <f aca="false">IF(A979="","",A979-WEEKDAY(A979,3))</f>
        <v>46195</v>
      </c>
      <c r="C979" s="32" t="n">
        <f aca="false">IF(OR('Raw Orders'!C976&lt;&gt;"Product",'Raw Orders'!K976="Cancelled"),0,'Raw Orders'!G976)</f>
        <v>64</v>
      </c>
      <c r="D979" s="31" t="n">
        <f aca="false">IF(AND('Raw Orders'!C976="Product",'Raw Orders'!K976="Fulfilled",COUNTIFS('Raw Orders'!$A$2:$A976,'Raw Orders'!A976,'Raw Orders'!$C$2:$C976,"Product",'Raw Orders'!$K$2:$K976,"Fulfilled")=1),1,0)</f>
        <v>0</v>
      </c>
      <c r="E979" s="31" t="n">
        <f aca="false">IF(AND('Raw Orders'!C976="Product",'Raw Orders'!K976="Fulfilled"),'Raw Orders'!E976,0)</f>
        <v>2</v>
      </c>
      <c r="F979" s="32" t="n">
        <f aca="false">IF('Raw Orders'!K976="Refunded",'Raw Orders'!G976,0)</f>
        <v>0</v>
      </c>
    </row>
    <row r="980" customFormat="false" ht="15" hidden="false" customHeight="false" outlineLevel="0" collapsed="false">
      <c r="A980" s="36" t="n">
        <f aca="false">IF('Raw Orders'!B977="","",IF(MID('Raw Orders'!B977,5,1)="-",DATE(VALUE(LEFT('Raw Orders'!B977,4)),VALUE(MID('Raw Orders'!B977,6,2)),VALUE(MID('Raw Orders'!B977,9,2))),DATE(VALUE(MID('Raw Orders'!B977,7,4)),VALUE(MID('Raw Orders'!B977,4,2)),VALUE(LEFT('Raw Orders'!B977,2)))))</f>
        <v>46197</v>
      </c>
      <c r="B980" s="36" t="n">
        <f aca="false">IF(A980="","",A980-WEEKDAY(A980,3))</f>
        <v>46195</v>
      </c>
      <c r="C980" s="32" t="n">
        <f aca="false">IF(OR('Raw Orders'!C977&lt;&gt;"Product",'Raw Orders'!K977="Cancelled"),0,'Raw Orders'!G977)</f>
        <v>0</v>
      </c>
      <c r="D980" s="31" t="n">
        <f aca="false">IF(AND('Raw Orders'!C977="Product",'Raw Orders'!K977="Fulfilled",COUNTIFS('Raw Orders'!$A$2:$A977,'Raw Orders'!A977,'Raw Orders'!$C$2:$C977,"Product",'Raw Orders'!$K$2:$K977,"Fulfilled")=1),1,0)</f>
        <v>0</v>
      </c>
      <c r="E980" s="31" t="n">
        <f aca="false">IF(AND('Raw Orders'!C977="Product",'Raw Orders'!K977="Fulfilled"),'Raw Orders'!E977,0)</f>
        <v>0</v>
      </c>
      <c r="F980" s="32" t="n">
        <f aca="false">IF('Raw Orders'!K977="Refunded",'Raw Orders'!G977,0)</f>
        <v>0</v>
      </c>
    </row>
    <row r="981" customFormat="false" ht="15" hidden="false" customHeight="false" outlineLevel="0" collapsed="false">
      <c r="A981" s="36" t="n">
        <f aca="false">IF('Raw Orders'!B978="","",IF(MID('Raw Orders'!B978,5,1)="-",DATE(VALUE(LEFT('Raw Orders'!B978,4)),VALUE(MID('Raw Orders'!B978,6,2)),VALUE(MID('Raw Orders'!B978,9,2))),DATE(VALUE(MID('Raw Orders'!B978,7,4)),VALUE(MID('Raw Orders'!B978,4,2)),VALUE(LEFT('Raw Orders'!B978,2)))))</f>
        <v>46198</v>
      </c>
      <c r="B981" s="36" t="n">
        <f aca="false">IF(A981="","",A981-WEEKDAY(A981,3))</f>
        <v>46195</v>
      </c>
      <c r="C981" s="32" t="n">
        <f aca="false">IF(OR('Raw Orders'!C978&lt;&gt;"Product",'Raw Orders'!K978="Cancelled"),0,'Raw Orders'!G978)</f>
        <v>0</v>
      </c>
      <c r="D981" s="31" t="n">
        <f aca="false">IF(AND('Raw Orders'!C978="Product",'Raw Orders'!K978="Fulfilled",COUNTIFS('Raw Orders'!$A$2:$A978,'Raw Orders'!A978,'Raw Orders'!$C$2:$C978,"Product",'Raw Orders'!$K$2:$K978,"Fulfilled")=1),1,0)</f>
        <v>0</v>
      </c>
      <c r="E981" s="31" t="n">
        <f aca="false">IF(AND('Raw Orders'!C978="Product",'Raw Orders'!K978="Fulfilled"),'Raw Orders'!E978,0)</f>
        <v>0</v>
      </c>
      <c r="F981" s="32" t="n">
        <f aca="false">IF('Raw Orders'!K978="Refunded",'Raw Orders'!G978,0)</f>
        <v>0</v>
      </c>
    </row>
    <row r="982" customFormat="false" ht="15" hidden="false" customHeight="false" outlineLevel="0" collapsed="false">
      <c r="A982" s="36" t="n">
        <f aca="false">IF('Raw Orders'!B979="","",IF(MID('Raw Orders'!B979,5,1)="-",DATE(VALUE(LEFT('Raw Orders'!B979,4)),VALUE(MID('Raw Orders'!B979,6,2)),VALUE(MID('Raw Orders'!B979,9,2))),DATE(VALUE(MID('Raw Orders'!B979,7,4)),VALUE(MID('Raw Orders'!B979,4,2)),VALUE(LEFT('Raw Orders'!B979,2)))))</f>
        <v>46198</v>
      </c>
      <c r="B982" s="36" t="n">
        <f aca="false">IF(A982="","",A982-WEEKDAY(A982,3))</f>
        <v>46195</v>
      </c>
      <c r="C982" s="32" t="n">
        <f aca="false">IF(OR('Raw Orders'!C979&lt;&gt;"Product",'Raw Orders'!K979="Cancelled"),0,'Raw Orders'!G979)</f>
        <v>14</v>
      </c>
      <c r="D982" s="31" t="n">
        <f aca="false">IF(AND('Raw Orders'!C979="Product",'Raw Orders'!K979="Fulfilled",COUNTIFS('Raw Orders'!$A$2:$A979,'Raw Orders'!A979,'Raw Orders'!$C$2:$C979,"Product",'Raw Orders'!$K$2:$K979,"Fulfilled")=1),1,0)</f>
        <v>1</v>
      </c>
      <c r="E982" s="31" t="n">
        <f aca="false">IF(AND('Raw Orders'!C979="Product",'Raw Orders'!K979="Fulfilled"),'Raw Orders'!E979,0)</f>
        <v>1</v>
      </c>
      <c r="F982" s="32" t="n">
        <f aca="false">IF('Raw Orders'!K979="Refunded",'Raw Orders'!G979,0)</f>
        <v>0</v>
      </c>
    </row>
    <row r="983" customFormat="false" ht="15" hidden="false" customHeight="false" outlineLevel="0" collapsed="false">
      <c r="A983" s="36" t="n">
        <f aca="false">IF('Raw Orders'!B980="","",IF(MID('Raw Orders'!B980,5,1)="-",DATE(VALUE(LEFT('Raw Orders'!B980,4)),VALUE(MID('Raw Orders'!B980,6,2)),VALUE(MID('Raw Orders'!B980,9,2))),DATE(VALUE(MID('Raw Orders'!B980,7,4)),VALUE(MID('Raw Orders'!B980,4,2)),VALUE(LEFT('Raw Orders'!B980,2)))))</f>
        <v>46198</v>
      </c>
      <c r="B983" s="36" t="n">
        <f aca="false">IF(A983="","",A983-WEEKDAY(A983,3))</f>
        <v>46195</v>
      </c>
      <c r="C983" s="32" t="n">
        <f aca="false">IF(OR('Raw Orders'!C980&lt;&gt;"Product",'Raw Orders'!K980="Cancelled"),0,'Raw Orders'!G980)</f>
        <v>-14</v>
      </c>
      <c r="D983" s="31" t="n">
        <f aca="false">IF(AND('Raw Orders'!C980="Product",'Raw Orders'!K980="Fulfilled",COUNTIFS('Raw Orders'!$A$2:$A980,'Raw Orders'!A980,'Raw Orders'!$C$2:$C980,"Product",'Raw Orders'!$K$2:$K980,"Fulfilled")=1),1,0)</f>
        <v>0</v>
      </c>
      <c r="E983" s="31" t="n">
        <f aca="false">IF(AND('Raw Orders'!C980="Product",'Raw Orders'!K980="Fulfilled"),'Raw Orders'!E980,0)</f>
        <v>0</v>
      </c>
      <c r="F983" s="32" t="n">
        <f aca="false">IF('Raw Orders'!K980="Refunded",'Raw Orders'!G980,0)</f>
        <v>-14</v>
      </c>
    </row>
    <row r="984" customFormat="false" ht="15" hidden="false" customHeight="false" outlineLevel="0" collapsed="false">
      <c r="A984" s="36" t="n">
        <f aca="false">IF('Raw Orders'!B981="","",IF(MID('Raw Orders'!B981,5,1)="-",DATE(VALUE(LEFT('Raw Orders'!B981,4)),VALUE(MID('Raw Orders'!B981,6,2)),VALUE(MID('Raw Orders'!B981,9,2))),DATE(VALUE(MID('Raw Orders'!B981,7,4)),VALUE(MID('Raw Orders'!B981,4,2)),VALUE(LEFT('Raw Orders'!B981,2)))))</f>
        <v>46198</v>
      </c>
      <c r="B984" s="36" t="n">
        <f aca="false">IF(A984="","",A984-WEEKDAY(A984,3))</f>
        <v>46195</v>
      </c>
      <c r="C984" s="32" t="n">
        <f aca="false">IF(OR('Raw Orders'!C981&lt;&gt;"Product",'Raw Orders'!K981="Cancelled"),0,'Raw Orders'!G981)</f>
        <v>71.2</v>
      </c>
      <c r="D984" s="31" t="n">
        <f aca="false">IF(AND('Raw Orders'!C981="Product",'Raw Orders'!K981="Fulfilled",COUNTIFS('Raw Orders'!$A$2:$A981,'Raw Orders'!A981,'Raw Orders'!$C$2:$C981,"Product",'Raw Orders'!$K$2:$K981,"Fulfilled")=1),1,0)</f>
        <v>1</v>
      </c>
      <c r="E984" s="31" t="n">
        <f aca="false">IF(AND('Raw Orders'!C981="Product",'Raw Orders'!K981="Fulfilled"),'Raw Orders'!E981,0)</f>
        <v>1</v>
      </c>
      <c r="F984" s="32" t="n">
        <f aca="false">IF('Raw Orders'!K981="Refunded",'Raw Orders'!G981,0)</f>
        <v>0</v>
      </c>
    </row>
    <row r="985" customFormat="false" ht="15" hidden="false" customHeight="false" outlineLevel="0" collapsed="false">
      <c r="A985" s="36" t="n">
        <f aca="false">IF('Raw Orders'!B982="","",IF(MID('Raw Orders'!B982,5,1)="-",DATE(VALUE(LEFT('Raw Orders'!B982,4)),VALUE(MID('Raw Orders'!B982,6,2)),VALUE(MID('Raw Orders'!B982,9,2))),DATE(VALUE(MID('Raw Orders'!B982,7,4)),VALUE(MID('Raw Orders'!B982,4,2)),VALUE(LEFT('Raw Orders'!B982,2)))))</f>
        <v>46198</v>
      </c>
      <c r="B985" s="36" t="n">
        <f aca="false">IF(A985="","",A985-WEEKDAY(A985,3))</f>
        <v>46195</v>
      </c>
      <c r="C985" s="32" t="n">
        <f aca="false">IF(OR('Raw Orders'!C982&lt;&gt;"Product",'Raw Orders'!K982="Cancelled"),0,'Raw Orders'!G982)</f>
        <v>0</v>
      </c>
      <c r="D985" s="31" t="n">
        <f aca="false">IF(AND('Raw Orders'!C982="Product",'Raw Orders'!K982="Fulfilled",COUNTIFS('Raw Orders'!$A$2:$A982,'Raw Orders'!A982,'Raw Orders'!$C$2:$C982,"Product",'Raw Orders'!$K$2:$K982,"Fulfilled")=1),1,0)</f>
        <v>0</v>
      </c>
      <c r="E985" s="31" t="n">
        <f aca="false">IF(AND('Raw Orders'!C982="Product",'Raw Orders'!K982="Fulfilled"),'Raw Orders'!E982,0)</f>
        <v>0</v>
      </c>
      <c r="F985" s="32" t="n">
        <f aca="false">IF('Raw Orders'!K982="Refunded",'Raw Orders'!G982,0)</f>
        <v>0</v>
      </c>
    </row>
    <row r="986" customFormat="false" ht="15" hidden="false" customHeight="false" outlineLevel="0" collapsed="false">
      <c r="A986" s="36" t="n">
        <f aca="false">IF('Raw Orders'!B983="","",IF(MID('Raw Orders'!B983,5,1)="-",DATE(VALUE(LEFT('Raw Orders'!B983,4)),VALUE(MID('Raw Orders'!B983,6,2)),VALUE(MID('Raw Orders'!B983,9,2))),DATE(VALUE(MID('Raw Orders'!B983,7,4)),VALUE(MID('Raw Orders'!B983,4,2)),VALUE(LEFT('Raw Orders'!B983,2)))))</f>
        <v>46198</v>
      </c>
      <c r="B986" s="36" t="n">
        <f aca="false">IF(A986="","",A986-WEEKDAY(A986,3))</f>
        <v>46195</v>
      </c>
      <c r="C986" s="32" t="n">
        <f aca="false">IF(OR('Raw Orders'!C983&lt;&gt;"Product",'Raw Orders'!K983="Cancelled"),0,'Raw Orders'!G983)</f>
        <v>75</v>
      </c>
      <c r="D986" s="31" t="n">
        <f aca="false">IF(AND('Raw Orders'!C983="Product",'Raw Orders'!K983="Fulfilled",COUNTIFS('Raw Orders'!$A$2:$A983,'Raw Orders'!A983,'Raw Orders'!$C$2:$C983,"Product",'Raw Orders'!$K$2:$K983,"Fulfilled")=1),1,0)</f>
        <v>0</v>
      </c>
      <c r="E986" s="31" t="n">
        <f aca="false">IF(AND('Raw Orders'!C983="Product",'Raw Orders'!K983="Fulfilled"),'Raw Orders'!E983,0)</f>
        <v>1</v>
      </c>
      <c r="F986" s="32" t="n">
        <f aca="false">IF('Raw Orders'!K983="Refunded",'Raw Orders'!G983,0)</f>
        <v>0</v>
      </c>
    </row>
    <row r="987" customFormat="false" ht="15" hidden="false" customHeight="false" outlineLevel="0" collapsed="false">
      <c r="A987" s="36" t="n">
        <f aca="false">IF('Raw Orders'!B984="","",IF(MID('Raw Orders'!B984,5,1)="-",DATE(VALUE(LEFT('Raw Orders'!B984,4)),VALUE(MID('Raw Orders'!B984,6,2)),VALUE(MID('Raw Orders'!B984,9,2))),DATE(VALUE(MID('Raw Orders'!B984,7,4)),VALUE(MID('Raw Orders'!B984,4,2)),VALUE(LEFT('Raw Orders'!B984,2)))))</f>
        <v>46198</v>
      </c>
      <c r="B987" s="36" t="n">
        <f aca="false">IF(A987="","",A987-WEEKDAY(A987,3))</f>
        <v>46195</v>
      </c>
      <c r="C987" s="32" t="n">
        <f aca="false">IF(OR('Raw Orders'!C984&lt;&gt;"Product",'Raw Orders'!K984="Cancelled"),0,'Raw Orders'!G984)</f>
        <v>33.15</v>
      </c>
      <c r="D987" s="31" t="n">
        <f aca="false">IF(AND('Raw Orders'!C984="Product",'Raw Orders'!K984="Fulfilled",COUNTIFS('Raw Orders'!$A$2:$A984,'Raw Orders'!A984,'Raw Orders'!$C$2:$C984,"Product",'Raw Orders'!$K$2:$K984,"Fulfilled")=1),1,0)</f>
        <v>0</v>
      </c>
      <c r="E987" s="31" t="n">
        <f aca="false">IF(AND('Raw Orders'!C984="Product",'Raw Orders'!K984="Fulfilled"),'Raw Orders'!E984,0)</f>
        <v>1</v>
      </c>
      <c r="F987" s="32" t="n">
        <f aca="false">IF('Raw Orders'!K984="Refunded",'Raw Orders'!G984,0)</f>
        <v>0</v>
      </c>
    </row>
    <row r="988" customFormat="false" ht="15" hidden="false" customHeight="false" outlineLevel="0" collapsed="false">
      <c r="A988" s="36" t="n">
        <f aca="false">IF('Raw Orders'!B985="","",IF(MID('Raw Orders'!B985,5,1)="-",DATE(VALUE(LEFT('Raw Orders'!B985,4)),VALUE(MID('Raw Orders'!B985,6,2)),VALUE(MID('Raw Orders'!B985,9,2))),DATE(VALUE(MID('Raw Orders'!B985,7,4)),VALUE(MID('Raw Orders'!B985,4,2)),VALUE(LEFT('Raw Orders'!B985,2)))))</f>
        <v>46198</v>
      </c>
      <c r="B988" s="36" t="n">
        <f aca="false">IF(A988="","",A988-WEEKDAY(A988,3))</f>
        <v>46195</v>
      </c>
      <c r="C988" s="32" t="n">
        <f aca="false">IF(OR('Raw Orders'!C985&lt;&gt;"Product",'Raw Orders'!K985="Cancelled"),0,'Raw Orders'!G985)</f>
        <v>45</v>
      </c>
      <c r="D988" s="31" t="n">
        <f aca="false">IF(AND('Raw Orders'!C985="Product",'Raw Orders'!K985="Fulfilled",COUNTIFS('Raw Orders'!$A$2:$A985,'Raw Orders'!A985,'Raw Orders'!$C$2:$C985,"Product",'Raw Orders'!$K$2:$K985,"Fulfilled")=1),1,0)</f>
        <v>1</v>
      </c>
      <c r="E988" s="31" t="n">
        <f aca="false">IF(AND('Raw Orders'!C985="Product",'Raw Orders'!K985="Fulfilled"),'Raw Orders'!E985,0)</f>
        <v>1</v>
      </c>
      <c r="F988" s="32" t="n">
        <f aca="false">IF('Raw Orders'!K985="Refunded",'Raw Orders'!G985,0)</f>
        <v>0</v>
      </c>
    </row>
    <row r="989" customFormat="false" ht="15" hidden="false" customHeight="false" outlineLevel="0" collapsed="false">
      <c r="A989" s="36" t="n">
        <f aca="false">IF('Raw Orders'!B986="","",IF(MID('Raw Orders'!B986,5,1)="-",DATE(VALUE(LEFT('Raw Orders'!B986,4)),VALUE(MID('Raw Orders'!B986,6,2)),VALUE(MID('Raw Orders'!B986,9,2))),DATE(VALUE(MID('Raw Orders'!B986,7,4)),VALUE(MID('Raw Orders'!B986,4,2)),VALUE(LEFT('Raw Orders'!B986,2)))))</f>
        <v>46198</v>
      </c>
      <c r="B989" s="36" t="n">
        <f aca="false">IF(A989="","",A989-WEEKDAY(A989,3))</f>
        <v>46195</v>
      </c>
      <c r="C989" s="32" t="n">
        <f aca="false">IF(OR('Raw Orders'!C986&lt;&gt;"Product",'Raw Orders'!K986="Cancelled"),0,'Raw Orders'!G986)</f>
        <v>0</v>
      </c>
      <c r="D989" s="31" t="n">
        <f aca="false">IF(AND('Raw Orders'!C986="Product",'Raw Orders'!K986="Fulfilled",COUNTIFS('Raw Orders'!$A$2:$A986,'Raw Orders'!A986,'Raw Orders'!$C$2:$C986,"Product",'Raw Orders'!$K$2:$K986,"Fulfilled")=1),1,0)</f>
        <v>0</v>
      </c>
      <c r="E989" s="31" t="n">
        <f aca="false">IF(AND('Raw Orders'!C986="Product",'Raw Orders'!K986="Fulfilled"),'Raw Orders'!E986,0)</f>
        <v>0</v>
      </c>
      <c r="F989" s="32" t="n">
        <f aca="false">IF('Raw Orders'!K986="Refunded",'Raw Orders'!G986,0)</f>
        <v>0</v>
      </c>
    </row>
    <row r="990" customFormat="false" ht="15" hidden="false" customHeight="false" outlineLevel="0" collapsed="false">
      <c r="A990" s="36" t="n">
        <f aca="false">IF('Raw Orders'!B987="","",IF(MID('Raw Orders'!B987,5,1)="-",DATE(VALUE(LEFT('Raw Orders'!B987,4)),VALUE(MID('Raw Orders'!B987,6,2)),VALUE(MID('Raw Orders'!B987,9,2))),DATE(VALUE(MID('Raw Orders'!B987,7,4)),VALUE(MID('Raw Orders'!B987,4,2)),VALUE(LEFT('Raw Orders'!B987,2)))))</f>
        <v>46198</v>
      </c>
      <c r="B990" s="36" t="n">
        <f aca="false">IF(A990="","",A990-WEEKDAY(A990,3))</f>
        <v>46195</v>
      </c>
      <c r="C990" s="32" t="n">
        <f aca="false">IF(OR('Raw Orders'!C987&lt;&gt;"Product",'Raw Orders'!K987="Cancelled"),0,'Raw Orders'!G987)</f>
        <v>52</v>
      </c>
      <c r="D990" s="31" t="n">
        <f aca="false">IF(AND('Raw Orders'!C987="Product",'Raw Orders'!K987="Fulfilled",COUNTIFS('Raw Orders'!$A$2:$A987,'Raw Orders'!A987,'Raw Orders'!$C$2:$C987,"Product",'Raw Orders'!$K$2:$K987,"Fulfilled")=1),1,0)</f>
        <v>0</v>
      </c>
      <c r="E990" s="31" t="n">
        <f aca="false">IF(AND('Raw Orders'!C987="Product",'Raw Orders'!K987="Fulfilled"),'Raw Orders'!E987,0)</f>
        <v>2</v>
      </c>
      <c r="F990" s="32" t="n">
        <f aca="false">IF('Raw Orders'!K987="Refunded",'Raw Orders'!G987,0)</f>
        <v>0</v>
      </c>
    </row>
    <row r="991" customFormat="false" ht="15" hidden="false" customHeight="false" outlineLevel="0" collapsed="false">
      <c r="A991" s="36" t="n">
        <f aca="false">IF('Raw Orders'!B988="","",IF(MID('Raw Orders'!B988,5,1)="-",DATE(VALUE(LEFT('Raw Orders'!B988,4)),VALUE(MID('Raw Orders'!B988,6,2)),VALUE(MID('Raw Orders'!B988,9,2))),DATE(VALUE(MID('Raw Orders'!B988,7,4)),VALUE(MID('Raw Orders'!B988,4,2)),VALUE(LEFT('Raw Orders'!B988,2)))))</f>
        <v>46198</v>
      </c>
      <c r="B991" s="36" t="n">
        <f aca="false">IF(A991="","",A991-WEEKDAY(A991,3))</f>
        <v>46195</v>
      </c>
      <c r="C991" s="32" t="n">
        <f aca="false">IF(OR('Raw Orders'!C988&lt;&gt;"Product",'Raw Orders'!K988="Cancelled"),0,'Raw Orders'!G988)</f>
        <v>45</v>
      </c>
      <c r="D991" s="31" t="n">
        <f aca="false">IF(AND('Raw Orders'!C988="Product",'Raw Orders'!K988="Fulfilled",COUNTIFS('Raw Orders'!$A$2:$A988,'Raw Orders'!A988,'Raw Orders'!$C$2:$C988,"Product",'Raw Orders'!$K$2:$K988,"Fulfilled")=1),1,0)</f>
        <v>0</v>
      </c>
      <c r="E991" s="31" t="n">
        <f aca="false">IF(AND('Raw Orders'!C988="Product",'Raw Orders'!K988="Fulfilled"),'Raw Orders'!E988,0)</f>
        <v>1</v>
      </c>
      <c r="F991" s="32" t="n">
        <f aca="false">IF('Raw Orders'!K988="Refunded",'Raw Orders'!G988,0)</f>
        <v>0</v>
      </c>
    </row>
    <row r="992" customFormat="false" ht="15" hidden="false" customHeight="false" outlineLevel="0" collapsed="false">
      <c r="A992" s="36" t="n">
        <f aca="false">IF('Raw Orders'!B989="","",IF(MID('Raw Orders'!B989,5,1)="-",DATE(VALUE(LEFT('Raw Orders'!B989,4)),VALUE(MID('Raw Orders'!B989,6,2)),VALUE(MID('Raw Orders'!B989,9,2))),DATE(VALUE(MID('Raw Orders'!B989,7,4)),VALUE(MID('Raw Orders'!B989,4,2)),VALUE(LEFT('Raw Orders'!B989,2)))))</f>
        <v>46199</v>
      </c>
      <c r="B992" s="36" t="n">
        <f aca="false">IF(A992="","",A992-WEEKDAY(A992,3))</f>
        <v>46195</v>
      </c>
      <c r="C992" s="32" t="n">
        <f aca="false">IF(OR('Raw Orders'!C989&lt;&gt;"Product",'Raw Orders'!K989="Cancelled"),0,'Raw Orders'!G989)</f>
        <v>32</v>
      </c>
      <c r="D992" s="31" t="n">
        <f aca="false">IF(AND('Raw Orders'!C989="Product",'Raw Orders'!K989="Fulfilled",COUNTIFS('Raw Orders'!$A$2:$A989,'Raw Orders'!A989,'Raw Orders'!$C$2:$C989,"Product",'Raw Orders'!$K$2:$K989,"Fulfilled")=1),1,0)</f>
        <v>1</v>
      </c>
      <c r="E992" s="31" t="n">
        <f aca="false">IF(AND('Raw Orders'!C989="Product",'Raw Orders'!K989="Fulfilled"),'Raw Orders'!E989,0)</f>
        <v>1</v>
      </c>
      <c r="F992" s="32" t="n">
        <f aca="false">IF('Raw Orders'!K989="Refunded",'Raw Orders'!G989,0)</f>
        <v>0</v>
      </c>
    </row>
    <row r="993" customFormat="false" ht="15" hidden="false" customHeight="false" outlineLevel="0" collapsed="false">
      <c r="A993" s="36" t="n">
        <f aca="false">IF('Raw Orders'!B990="","",IF(MID('Raw Orders'!B990,5,1)="-",DATE(VALUE(LEFT('Raw Orders'!B990,4)),VALUE(MID('Raw Orders'!B990,6,2)),VALUE(MID('Raw Orders'!B990,9,2))),DATE(VALUE(MID('Raw Orders'!B990,7,4)),VALUE(MID('Raw Orders'!B990,4,2)),VALUE(LEFT('Raw Orders'!B990,2)))))</f>
        <v>46199</v>
      </c>
      <c r="B993" s="36" t="n">
        <f aca="false">IF(A993="","",A993-WEEKDAY(A993,3))</f>
        <v>46195</v>
      </c>
      <c r="C993" s="32" t="n">
        <f aca="false">IF(OR('Raw Orders'!C990&lt;&gt;"Product",'Raw Orders'!K990="Cancelled"),0,'Raw Orders'!G990)</f>
        <v>0</v>
      </c>
      <c r="D993" s="31" t="n">
        <f aca="false">IF(AND('Raw Orders'!C990="Product",'Raw Orders'!K990="Fulfilled",COUNTIFS('Raw Orders'!$A$2:$A990,'Raw Orders'!A990,'Raw Orders'!$C$2:$C990,"Product",'Raw Orders'!$K$2:$K990,"Fulfilled")=1),1,0)</f>
        <v>0</v>
      </c>
      <c r="E993" s="31" t="n">
        <f aca="false">IF(AND('Raw Orders'!C990="Product",'Raw Orders'!K990="Fulfilled"),'Raw Orders'!E990,0)</f>
        <v>0</v>
      </c>
      <c r="F993" s="32" t="n">
        <f aca="false">IF('Raw Orders'!K990="Refunded",'Raw Orders'!G990,0)</f>
        <v>0</v>
      </c>
    </row>
    <row r="994" customFormat="false" ht="15" hidden="false" customHeight="false" outlineLevel="0" collapsed="false">
      <c r="A994" s="36" t="n">
        <f aca="false">IF('Raw Orders'!B991="","",IF(MID('Raw Orders'!B991,5,1)="-",DATE(VALUE(LEFT('Raw Orders'!B991,4)),VALUE(MID('Raw Orders'!B991,6,2)),VALUE(MID('Raw Orders'!B991,9,2))),DATE(VALUE(MID('Raw Orders'!B991,7,4)),VALUE(MID('Raw Orders'!B991,4,2)),VALUE(LEFT('Raw Orders'!B991,2)))))</f>
        <v>46199</v>
      </c>
      <c r="B994" s="36" t="n">
        <f aca="false">IF(A994="","",A994-WEEKDAY(A994,3))</f>
        <v>46195</v>
      </c>
      <c r="C994" s="32" t="n">
        <f aca="false">IF(OR('Raw Orders'!C991&lt;&gt;"Product",'Raw Orders'!K991="Cancelled"),0,'Raw Orders'!G991)</f>
        <v>0</v>
      </c>
      <c r="D994" s="31" t="n">
        <f aca="false">IF(AND('Raw Orders'!C991="Product",'Raw Orders'!K991="Fulfilled",COUNTIFS('Raw Orders'!$A$2:$A991,'Raw Orders'!A991,'Raw Orders'!$C$2:$C991,"Product",'Raw Orders'!$K$2:$K991,"Fulfilled")=1),1,0)</f>
        <v>0</v>
      </c>
      <c r="E994" s="31" t="n">
        <f aca="false">IF(AND('Raw Orders'!C991="Product",'Raw Orders'!K991="Fulfilled"),'Raw Orders'!E991,0)</f>
        <v>0</v>
      </c>
      <c r="F994" s="32" t="n">
        <f aca="false">IF('Raw Orders'!K991="Refunded",'Raw Orders'!G991,0)</f>
        <v>0</v>
      </c>
    </row>
    <row r="995" customFormat="false" ht="15" hidden="false" customHeight="false" outlineLevel="0" collapsed="false">
      <c r="A995" s="36" t="n">
        <f aca="false">IF('Raw Orders'!B992="","",IF(MID('Raw Orders'!B992,5,1)="-",DATE(VALUE(LEFT('Raw Orders'!B992,4)),VALUE(MID('Raw Orders'!B992,6,2)),VALUE(MID('Raw Orders'!B992,9,2))),DATE(VALUE(MID('Raw Orders'!B992,7,4)),VALUE(MID('Raw Orders'!B992,4,2)),VALUE(LEFT('Raw Orders'!B992,2)))))</f>
        <v>46199</v>
      </c>
      <c r="B995" s="36" t="n">
        <f aca="false">IF(A995="","",A995-WEEKDAY(A995,3))</f>
        <v>46195</v>
      </c>
      <c r="C995" s="32" t="n">
        <f aca="false">IF(OR('Raw Orders'!C992&lt;&gt;"Product",'Raw Orders'!K992="Cancelled"),0,'Raw Orders'!G992)</f>
        <v>69</v>
      </c>
      <c r="D995" s="31" t="n">
        <f aca="false">IF(AND('Raw Orders'!C992="Product",'Raw Orders'!K992="Fulfilled",COUNTIFS('Raw Orders'!$A$2:$A992,'Raw Orders'!A992,'Raw Orders'!$C$2:$C992,"Product",'Raw Orders'!$K$2:$K992,"Fulfilled")=1),1,0)</f>
        <v>1</v>
      </c>
      <c r="E995" s="31" t="n">
        <f aca="false">IF(AND('Raw Orders'!C992="Product",'Raw Orders'!K992="Fulfilled"),'Raw Orders'!E992,0)</f>
        <v>1</v>
      </c>
      <c r="F995" s="32" t="n">
        <f aca="false">IF('Raw Orders'!K992="Refunded",'Raw Orders'!G992,0)</f>
        <v>0</v>
      </c>
    </row>
    <row r="996" customFormat="false" ht="15" hidden="false" customHeight="false" outlineLevel="0" collapsed="false">
      <c r="A996" s="36" t="n">
        <f aca="false">IF('Raw Orders'!B993="","",IF(MID('Raw Orders'!B993,5,1)="-",DATE(VALUE(LEFT('Raw Orders'!B993,4)),VALUE(MID('Raw Orders'!B993,6,2)),VALUE(MID('Raw Orders'!B993,9,2))),DATE(VALUE(MID('Raw Orders'!B993,7,4)),VALUE(MID('Raw Orders'!B993,4,2)),VALUE(LEFT('Raw Orders'!B993,2)))))</f>
        <v>46199</v>
      </c>
      <c r="B996" s="36" t="n">
        <f aca="false">IF(A996="","",A996-WEEKDAY(A996,3))</f>
        <v>46195</v>
      </c>
      <c r="C996" s="32" t="n">
        <f aca="false">IF(OR('Raw Orders'!C993&lt;&gt;"Product",'Raw Orders'!K993="Cancelled"),0,'Raw Orders'!G993)</f>
        <v>58</v>
      </c>
      <c r="D996" s="31" t="n">
        <f aca="false">IF(AND('Raw Orders'!C993="Product",'Raw Orders'!K993="Fulfilled",COUNTIFS('Raw Orders'!$A$2:$A993,'Raw Orders'!A993,'Raw Orders'!$C$2:$C993,"Product",'Raw Orders'!$K$2:$K993,"Fulfilled")=1),1,0)</f>
        <v>1</v>
      </c>
      <c r="E996" s="31" t="n">
        <f aca="false">IF(AND('Raw Orders'!C993="Product",'Raw Orders'!K993="Fulfilled"),'Raw Orders'!E993,0)</f>
        <v>2</v>
      </c>
      <c r="F996" s="32" t="n">
        <f aca="false">IF('Raw Orders'!K993="Refunded",'Raw Orders'!G993,0)</f>
        <v>0</v>
      </c>
    </row>
    <row r="997" customFormat="false" ht="15" hidden="false" customHeight="false" outlineLevel="0" collapsed="false">
      <c r="A997" s="36" t="n">
        <f aca="false">IF('Raw Orders'!B994="","",IF(MID('Raw Orders'!B994,5,1)="-",DATE(VALUE(LEFT('Raw Orders'!B994,4)),VALUE(MID('Raw Orders'!B994,6,2)),VALUE(MID('Raw Orders'!B994,9,2))),DATE(VALUE(MID('Raw Orders'!B994,7,4)),VALUE(MID('Raw Orders'!B994,4,2)),VALUE(LEFT('Raw Orders'!B994,2)))))</f>
        <v>46199</v>
      </c>
      <c r="B997" s="36" t="n">
        <f aca="false">IF(A997="","",A997-WEEKDAY(A997,3))</f>
        <v>46195</v>
      </c>
      <c r="C997" s="32" t="n">
        <f aca="false">IF(OR('Raw Orders'!C994&lt;&gt;"Product",'Raw Orders'!K994="Cancelled"),0,'Raw Orders'!G994)</f>
        <v>-89</v>
      </c>
      <c r="D997" s="31" t="n">
        <f aca="false">IF(AND('Raw Orders'!C994="Product",'Raw Orders'!K994="Fulfilled",COUNTIFS('Raw Orders'!$A$2:$A994,'Raw Orders'!A994,'Raw Orders'!$C$2:$C994,"Product",'Raw Orders'!$K$2:$K994,"Fulfilled")=1),1,0)</f>
        <v>0</v>
      </c>
      <c r="E997" s="31" t="n">
        <f aca="false">IF(AND('Raw Orders'!C994="Product",'Raw Orders'!K994="Fulfilled"),'Raw Orders'!E994,0)</f>
        <v>0</v>
      </c>
      <c r="F997" s="32" t="n">
        <f aca="false">IF('Raw Orders'!K994="Refunded",'Raw Orders'!G994,0)</f>
        <v>-89</v>
      </c>
    </row>
    <row r="998" customFormat="false" ht="15" hidden="false" customHeight="false" outlineLevel="0" collapsed="false">
      <c r="A998" s="36" t="n">
        <f aca="false">IF('Raw Orders'!B995="","",IF(MID('Raw Orders'!B995,5,1)="-",DATE(VALUE(LEFT('Raw Orders'!B995,4)),VALUE(MID('Raw Orders'!B995,6,2)),VALUE(MID('Raw Orders'!B995,9,2))),DATE(VALUE(MID('Raw Orders'!B995,7,4)),VALUE(MID('Raw Orders'!B995,4,2)),VALUE(LEFT('Raw Orders'!B995,2)))))</f>
        <v>46199</v>
      </c>
      <c r="B998" s="36" t="n">
        <f aca="false">IF(A998="","",A998-WEEKDAY(A998,3))</f>
        <v>46195</v>
      </c>
      <c r="C998" s="32" t="n">
        <f aca="false">IF(OR('Raw Orders'!C995&lt;&gt;"Product",'Raw Orders'!K995="Cancelled"),0,'Raw Orders'!G995)</f>
        <v>0</v>
      </c>
      <c r="D998" s="31" t="n">
        <f aca="false">IF(AND('Raw Orders'!C995="Product",'Raw Orders'!K995="Fulfilled",COUNTIFS('Raw Orders'!$A$2:$A995,'Raw Orders'!A995,'Raw Orders'!$C$2:$C995,"Product",'Raw Orders'!$K$2:$K995,"Fulfilled")=1),1,0)</f>
        <v>0</v>
      </c>
      <c r="E998" s="31" t="n">
        <f aca="false">IF(AND('Raw Orders'!C995="Product",'Raw Orders'!K995="Fulfilled"),'Raw Orders'!E995,0)</f>
        <v>0</v>
      </c>
      <c r="F998" s="32" t="n">
        <f aca="false">IF('Raw Orders'!K995="Refunded",'Raw Orders'!G995,0)</f>
        <v>0</v>
      </c>
    </row>
    <row r="999" customFormat="false" ht="15" hidden="false" customHeight="false" outlineLevel="0" collapsed="false">
      <c r="A999" s="36" t="n">
        <f aca="false">IF('Raw Orders'!B996="","",IF(MID('Raw Orders'!B996,5,1)="-",DATE(VALUE(LEFT('Raw Orders'!B996,4)),VALUE(MID('Raw Orders'!B996,6,2)),VALUE(MID('Raw Orders'!B996,9,2))),DATE(VALUE(MID('Raw Orders'!B996,7,4)),VALUE(MID('Raw Orders'!B996,4,2)),VALUE(LEFT('Raw Orders'!B996,2)))))</f>
        <v>46199</v>
      </c>
      <c r="B999" s="36" t="n">
        <f aca="false">IF(A999="","",A999-WEEKDAY(A999,3))</f>
        <v>46195</v>
      </c>
      <c r="C999" s="32" t="n">
        <f aca="false">IF(OR('Raw Orders'!C996&lt;&gt;"Product",'Raw Orders'!K996="Cancelled"),0,'Raw Orders'!G996)</f>
        <v>39</v>
      </c>
      <c r="D999" s="31" t="n">
        <f aca="false">IF(AND('Raw Orders'!C996="Product",'Raw Orders'!K996="Fulfilled",COUNTIFS('Raw Orders'!$A$2:$A996,'Raw Orders'!A996,'Raw Orders'!$C$2:$C996,"Product",'Raw Orders'!$K$2:$K996,"Fulfilled")=1),1,0)</f>
        <v>1</v>
      </c>
      <c r="E999" s="31" t="n">
        <f aca="false">IF(AND('Raw Orders'!C996="Product",'Raw Orders'!K996="Fulfilled"),'Raw Orders'!E996,0)</f>
        <v>1</v>
      </c>
      <c r="F999" s="32" t="n">
        <f aca="false">IF('Raw Orders'!K996="Refunded",'Raw Orders'!G996,0)</f>
        <v>0</v>
      </c>
    </row>
    <row r="1000" customFormat="false" ht="15" hidden="false" customHeight="false" outlineLevel="0" collapsed="false">
      <c r="A1000" s="36" t="n">
        <f aca="false">IF('Raw Orders'!B997="","",IF(MID('Raw Orders'!B997,5,1)="-",DATE(VALUE(LEFT('Raw Orders'!B997,4)),VALUE(MID('Raw Orders'!B997,6,2)),VALUE(MID('Raw Orders'!B997,9,2))),DATE(VALUE(MID('Raw Orders'!B997,7,4)),VALUE(MID('Raw Orders'!B997,4,2)),VALUE(LEFT('Raw Orders'!B997,2)))))</f>
        <v>46199</v>
      </c>
      <c r="B1000" s="36" t="n">
        <f aca="false">IF(A1000="","",A1000-WEEKDAY(A1000,3))</f>
        <v>46195</v>
      </c>
      <c r="C1000" s="32" t="n">
        <f aca="false">IF(OR('Raw Orders'!C997&lt;&gt;"Product",'Raw Orders'!K997="Cancelled"),0,'Raw Orders'!G997)</f>
        <v>70</v>
      </c>
      <c r="D1000" s="31" t="n">
        <f aca="false">IF(AND('Raw Orders'!C997="Product",'Raw Orders'!K997="Fulfilled",COUNTIFS('Raw Orders'!$A$2:$A997,'Raw Orders'!A997,'Raw Orders'!$C$2:$C997,"Product",'Raw Orders'!$K$2:$K997,"Fulfilled")=1),1,0)</f>
        <v>0</v>
      </c>
      <c r="E1000" s="31" t="n">
        <f aca="false">IF(AND('Raw Orders'!C997="Product",'Raw Orders'!K997="Fulfilled"),'Raw Orders'!E997,0)</f>
        <v>2</v>
      </c>
      <c r="F1000" s="32" t="n">
        <f aca="false">IF('Raw Orders'!K997="Refunded",'Raw Orders'!G997,0)</f>
        <v>0</v>
      </c>
    </row>
    <row r="1001" customFormat="false" ht="15" hidden="false" customHeight="false" outlineLevel="0" collapsed="false">
      <c r="A1001" s="36" t="n">
        <f aca="false">IF('Raw Orders'!B998="","",IF(MID('Raw Orders'!B998,5,1)="-",DATE(VALUE(LEFT('Raw Orders'!B998,4)),VALUE(MID('Raw Orders'!B998,6,2)),VALUE(MID('Raw Orders'!B998,9,2))),DATE(VALUE(MID('Raw Orders'!B998,7,4)),VALUE(MID('Raw Orders'!B998,4,2)),VALUE(LEFT('Raw Orders'!B998,2)))))</f>
        <v>46199</v>
      </c>
      <c r="B1001" s="36" t="n">
        <f aca="false">IF(A1001="","",A1001-WEEKDAY(A1001,3))</f>
        <v>46195</v>
      </c>
      <c r="C1001" s="32" t="n">
        <f aca="false">IF(OR('Raw Orders'!C998&lt;&gt;"Product",'Raw Orders'!K998="Cancelled"),0,'Raw Orders'!G998)</f>
        <v>45</v>
      </c>
      <c r="D1001" s="31" t="n">
        <f aca="false">IF(AND('Raw Orders'!C998="Product",'Raw Orders'!K998="Fulfilled",COUNTIFS('Raw Orders'!$A$2:$A998,'Raw Orders'!A998,'Raw Orders'!$C$2:$C998,"Product",'Raw Orders'!$K$2:$K998,"Fulfilled")=1),1,0)</f>
        <v>1</v>
      </c>
      <c r="E1001" s="31" t="n">
        <f aca="false">IF(AND('Raw Orders'!C998="Product",'Raw Orders'!K998="Fulfilled"),'Raw Orders'!E998,0)</f>
        <v>1</v>
      </c>
      <c r="F1001" s="32" t="n">
        <f aca="false">IF('Raw Orders'!K998="Refunded",'Raw Orders'!G998,0)</f>
        <v>0</v>
      </c>
    </row>
    <row r="1002" customFormat="false" ht="15" hidden="false" customHeight="false" outlineLevel="0" collapsed="false">
      <c r="A1002" s="36" t="n">
        <f aca="false">IF('Raw Orders'!B999="","",IF(MID('Raw Orders'!B999,5,1)="-",DATE(VALUE(LEFT('Raw Orders'!B999,4)),VALUE(MID('Raw Orders'!B999,6,2)),VALUE(MID('Raw Orders'!B999,9,2))),DATE(VALUE(MID('Raw Orders'!B999,7,4)),VALUE(MID('Raw Orders'!B999,4,2)),VALUE(LEFT('Raw Orders'!B999,2)))))</f>
        <v>46199</v>
      </c>
      <c r="B1002" s="36" t="n">
        <f aca="false">IF(A1002="","",A1002-WEEKDAY(A1002,3))</f>
        <v>46195</v>
      </c>
      <c r="C1002" s="32" t="n">
        <f aca="false">IF(OR('Raw Orders'!C999&lt;&gt;"Product",'Raw Orders'!K999="Cancelled"),0,'Raw Orders'!G999)</f>
        <v>0</v>
      </c>
      <c r="D1002" s="31" t="n">
        <f aca="false">IF(AND('Raw Orders'!C999="Product",'Raw Orders'!K999="Fulfilled",COUNTIFS('Raw Orders'!$A$2:$A999,'Raw Orders'!A999,'Raw Orders'!$C$2:$C999,"Product",'Raw Orders'!$K$2:$K999,"Fulfilled")=1),1,0)</f>
        <v>0</v>
      </c>
      <c r="E1002" s="31" t="n">
        <f aca="false">IF(AND('Raw Orders'!C999="Product",'Raw Orders'!K999="Fulfilled"),'Raw Orders'!E999,0)</f>
        <v>0</v>
      </c>
      <c r="F1002" s="32" t="n">
        <f aca="false">IF('Raw Orders'!K999="Refunded",'Raw Orders'!G999,0)</f>
        <v>0</v>
      </c>
    </row>
    <row r="1003" customFormat="false" ht="15" hidden="false" customHeight="false" outlineLevel="0" collapsed="false">
      <c r="A1003" s="36" t="n">
        <f aca="false">IF('Raw Orders'!B1000="","",IF(MID('Raw Orders'!B1000,5,1)="-",DATE(VALUE(LEFT('Raw Orders'!B1000,4)),VALUE(MID('Raw Orders'!B1000,6,2)),VALUE(MID('Raw Orders'!B1000,9,2))),DATE(VALUE(MID('Raw Orders'!B1000,7,4)),VALUE(MID('Raw Orders'!B1000,4,2)),VALUE(LEFT('Raw Orders'!B1000,2)))))</f>
        <v>46199</v>
      </c>
      <c r="B1003" s="36" t="n">
        <f aca="false">IF(A1003="","",A1003-WEEKDAY(A1003,3))</f>
        <v>46195</v>
      </c>
      <c r="C1003" s="32" t="n">
        <f aca="false">IF(OR('Raw Orders'!C1000&lt;&gt;"Product",'Raw Orders'!K1000="Cancelled"),0,'Raw Orders'!G1000)</f>
        <v>69</v>
      </c>
      <c r="D1003" s="31" t="n">
        <f aca="false">IF(AND('Raw Orders'!C1000="Product",'Raw Orders'!K1000="Fulfilled",COUNTIFS('Raw Orders'!$A$2:$A1000,'Raw Orders'!A1000,'Raw Orders'!$C$2:$C1000,"Product",'Raw Orders'!$K$2:$K1000,"Fulfilled")=1),1,0)</f>
        <v>1</v>
      </c>
      <c r="E1003" s="31" t="n">
        <f aca="false">IF(AND('Raw Orders'!C1000="Product",'Raw Orders'!K1000="Fulfilled"),'Raw Orders'!E1000,0)</f>
        <v>1</v>
      </c>
      <c r="F1003" s="32" t="n">
        <f aca="false">IF('Raw Orders'!K1000="Refunded",'Raw Orders'!G1000,0)</f>
        <v>0</v>
      </c>
    </row>
    <row r="1004" customFormat="false" ht="15" hidden="false" customHeight="false" outlineLevel="0" collapsed="false">
      <c r="A1004" s="36" t="n">
        <f aca="false">IF('Raw Orders'!B1001="","",IF(MID('Raw Orders'!B1001,5,1)="-",DATE(VALUE(LEFT('Raw Orders'!B1001,4)),VALUE(MID('Raw Orders'!B1001,6,2)),VALUE(MID('Raw Orders'!B1001,9,2))),DATE(VALUE(MID('Raw Orders'!B1001,7,4)),VALUE(MID('Raw Orders'!B1001,4,2)),VALUE(LEFT('Raw Orders'!B1001,2)))))</f>
        <v>46199</v>
      </c>
      <c r="B1004" s="36" t="n">
        <f aca="false">IF(A1004="","",A1004-WEEKDAY(A1004,3))</f>
        <v>46195</v>
      </c>
      <c r="C1004" s="32" t="n">
        <f aca="false">IF(OR('Raw Orders'!C1001&lt;&gt;"Product",'Raw Orders'!K1001="Cancelled"),0,'Raw Orders'!G1001)</f>
        <v>0</v>
      </c>
      <c r="D1004" s="31" t="n">
        <f aca="false">IF(AND('Raw Orders'!C1001="Product",'Raw Orders'!K1001="Fulfilled",COUNTIFS('Raw Orders'!$A$2:$A1001,'Raw Orders'!A1001,'Raw Orders'!$C$2:$C1001,"Product",'Raw Orders'!$K$2:$K1001,"Fulfilled")=1),1,0)</f>
        <v>0</v>
      </c>
      <c r="E1004" s="31" t="n">
        <f aca="false">IF(AND('Raw Orders'!C1001="Product",'Raw Orders'!K1001="Fulfilled"),'Raw Orders'!E1001,0)</f>
        <v>0</v>
      </c>
      <c r="F1004" s="32" t="n">
        <f aca="false">IF('Raw Orders'!K1001="Refunded",'Raw Orders'!G1001,0)</f>
        <v>0</v>
      </c>
    </row>
    <row r="1005" customFormat="false" ht="15" hidden="false" customHeight="false" outlineLevel="0" collapsed="false">
      <c r="A1005" s="36" t="n">
        <f aca="false">IF('Raw Orders'!B1002="","",IF(MID('Raw Orders'!B1002,5,1)="-",DATE(VALUE(LEFT('Raw Orders'!B1002,4)),VALUE(MID('Raw Orders'!B1002,6,2)),VALUE(MID('Raw Orders'!B1002,9,2))),DATE(VALUE(MID('Raw Orders'!B1002,7,4)),VALUE(MID('Raw Orders'!B1002,4,2)),VALUE(LEFT('Raw Orders'!B1002,2)))))</f>
        <v>46199</v>
      </c>
      <c r="B1005" s="36" t="n">
        <f aca="false">IF(A1005="","",A1005-WEEKDAY(A1005,3))</f>
        <v>46195</v>
      </c>
      <c r="C1005" s="32" t="n">
        <f aca="false">IF(OR('Raw Orders'!C1002&lt;&gt;"Product",'Raw Orders'!K1002="Cancelled"),0,'Raw Orders'!G1002)</f>
        <v>89</v>
      </c>
      <c r="D1005" s="31" t="n">
        <f aca="false">IF(AND('Raw Orders'!C1002="Product",'Raw Orders'!K1002="Fulfilled",COUNTIFS('Raw Orders'!$A$2:$A1002,'Raw Orders'!A1002,'Raw Orders'!$C$2:$C1002,"Product",'Raw Orders'!$K$2:$K1002,"Fulfilled")=1),1,0)</f>
        <v>0</v>
      </c>
      <c r="E1005" s="31" t="n">
        <f aca="false">IF(AND('Raw Orders'!C1002="Product",'Raw Orders'!K1002="Fulfilled"),'Raw Orders'!E1002,0)</f>
        <v>1</v>
      </c>
      <c r="F1005" s="32" t="n">
        <f aca="false">IF('Raw Orders'!K1002="Refunded",'Raw Orders'!G1002,0)</f>
        <v>0</v>
      </c>
    </row>
    <row r="1006" customFormat="false" ht="15" hidden="false" customHeight="false" outlineLevel="0" collapsed="false">
      <c r="A1006" s="36" t="n">
        <f aca="false">IF('Raw Orders'!B1003="","",IF(MID('Raw Orders'!B1003,5,1)="-",DATE(VALUE(LEFT('Raw Orders'!B1003,4)),VALUE(MID('Raw Orders'!B1003,6,2)),VALUE(MID('Raw Orders'!B1003,9,2))),DATE(VALUE(MID('Raw Orders'!B1003,7,4)),VALUE(MID('Raw Orders'!B1003,4,2)),VALUE(LEFT('Raw Orders'!B1003,2)))))</f>
        <v>46200</v>
      </c>
      <c r="B1006" s="36" t="n">
        <f aca="false">IF(A1006="","",A1006-WEEKDAY(A1006,3))</f>
        <v>46195</v>
      </c>
      <c r="C1006" s="32" t="n">
        <f aca="false">IF(OR('Raw Orders'!C1003&lt;&gt;"Product",'Raw Orders'!K1003="Cancelled"),0,'Raw Orders'!G1003)</f>
        <v>-89</v>
      </c>
      <c r="D1006" s="31" t="n">
        <f aca="false">IF(AND('Raw Orders'!C1003="Product",'Raw Orders'!K1003="Fulfilled",COUNTIFS('Raw Orders'!$A$2:$A1003,'Raw Orders'!A1003,'Raw Orders'!$C$2:$C1003,"Product",'Raw Orders'!$K$2:$K1003,"Fulfilled")=1),1,0)</f>
        <v>0</v>
      </c>
      <c r="E1006" s="31" t="n">
        <f aca="false">IF(AND('Raw Orders'!C1003="Product",'Raw Orders'!K1003="Fulfilled"),'Raw Orders'!E1003,0)</f>
        <v>0</v>
      </c>
      <c r="F1006" s="32" t="n">
        <f aca="false">IF('Raw Orders'!K1003="Refunded",'Raw Orders'!G1003,0)</f>
        <v>-89</v>
      </c>
    </row>
    <row r="1007" customFormat="false" ht="15" hidden="false" customHeight="false" outlineLevel="0" collapsed="false">
      <c r="A1007" s="36" t="n">
        <f aca="false">IF('Raw Orders'!B1004="","",IF(MID('Raw Orders'!B1004,5,1)="-",DATE(VALUE(LEFT('Raw Orders'!B1004,4)),VALUE(MID('Raw Orders'!B1004,6,2)),VALUE(MID('Raw Orders'!B1004,9,2))),DATE(VALUE(MID('Raw Orders'!B1004,7,4)),VALUE(MID('Raw Orders'!B1004,4,2)),VALUE(LEFT('Raw Orders'!B1004,2)))))</f>
        <v>46200</v>
      </c>
      <c r="B1007" s="36" t="n">
        <f aca="false">IF(A1007="","",A1007-WEEKDAY(A1007,3))</f>
        <v>46195</v>
      </c>
      <c r="C1007" s="32" t="n">
        <f aca="false">IF(OR('Raw Orders'!C1004&lt;&gt;"Product",'Raw Orders'!K1004="Cancelled"),0,'Raw Orders'!G1004)</f>
        <v>69</v>
      </c>
      <c r="D1007" s="31" t="n">
        <f aca="false">IF(AND('Raw Orders'!C1004="Product",'Raw Orders'!K1004="Fulfilled",COUNTIFS('Raw Orders'!$A$2:$A1004,'Raw Orders'!A1004,'Raw Orders'!$C$2:$C1004,"Product",'Raw Orders'!$K$2:$K1004,"Fulfilled")=1),1,0)</f>
        <v>1</v>
      </c>
      <c r="E1007" s="31" t="n">
        <f aca="false">IF(AND('Raw Orders'!C1004="Product",'Raw Orders'!K1004="Fulfilled"),'Raw Orders'!E1004,0)</f>
        <v>1</v>
      </c>
      <c r="F1007" s="32" t="n">
        <f aca="false">IF('Raw Orders'!K1004="Refunded",'Raw Orders'!G1004,0)</f>
        <v>0</v>
      </c>
    </row>
    <row r="1008" customFormat="false" ht="15" hidden="false" customHeight="false" outlineLevel="0" collapsed="false">
      <c r="A1008" s="36" t="n">
        <f aca="false">IF('Raw Orders'!B1005="","",IF(MID('Raw Orders'!B1005,5,1)="-",DATE(VALUE(LEFT('Raw Orders'!B1005,4)),VALUE(MID('Raw Orders'!B1005,6,2)),VALUE(MID('Raw Orders'!B1005,9,2))),DATE(VALUE(MID('Raw Orders'!B1005,7,4)),VALUE(MID('Raw Orders'!B1005,4,2)),VALUE(LEFT('Raw Orders'!B1005,2)))))</f>
        <v>46200</v>
      </c>
      <c r="B1008" s="36" t="n">
        <f aca="false">IF(A1008="","",A1008-WEEKDAY(A1008,3))</f>
        <v>46195</v>
      </c>
      <c r="C1008" s="32" t="n">
        <f aca="false">IF(OR('Raw Orders'!C1005&lt;&gt;"Product",'Raw Orders'!K1005="Cancelled"),0,'Raw Orders'!G1005)</f>
        <v>39</v>
      </c>
      <c r="D1008" s="31" t="n">
        <f aca="false">IF(AND('Raw Orders'!C1005="Product",'Raw Orders'!K1005="Fulfilled",COUNTIFS('Raw Orders'!$A$2:$A1005,'Raw Orders'!A1005,'Raw Orders'!$C$2:$C1005,"Product",'Raw Orders'!$K$2:$K1005,"Fulfilled")=1),1,0)</f>
        <v>1</v>
      </c>
      <c r="E1008" s="31" t="n">
        <f aca="false">IF(AND('Raw Orders'!C1005="Product",'Raw Orders'!K1005="Fulfilled"),'Raw Orders'!E1005,0)</f>
        <v>1</v>
      </c>
      <c r="F1008" s="32" t="n">
        <f aca="false">IF('Raw Orders'!K1005="Refunded",'Raw Orders'!G1005,0)</f>
        <v>0</v>
      </c>
    </row>
    <row r="1009" customFormat="false" ht="15" hidden="false" customHeight="false" outlineLevel="0" collapsed="false">
      <c r="A1009" s="36" t="n">
        <f aca="false">IF('Raw Orders'!B1006="","",IF(MID('Raw Orders'!B1006,5,1)="-",DATE(VALUE(LEFT('Raw Orders'!B1006,4)),VALUE(MID('Raw Orders'!B1006,6,2)),VALUE(MID('Raw Orders'!B1006,9,2))),DATE(VALUE(MID('Raw Orders'!B1006,7,4)),VALUE(MID('Raw Orders'!B1006,4,2)),VALUE(LEFT('Raw Orders'!B1006,2)))))</f>
        <v>46200</v>
      </c>
      <c r="B1009" s="36" t="n">
        <f aca="false">IF(A1009="","",A1009-WEEKDAY(A1009,3))</f>
        <v>46195</v>
      </c>
      <c r="C1009" s="32" t="n">
        <f aca="false">IF(OR('Raw Orders'!C1006&lt;&gt;"Product",'Raw Orders'!K1006="Cancelled"),0,'Raw Orders'!G1006)</f>
        <v>0</v>
      </c>
      <c r="D1009" s="31" t="n">
        <f aca="false">IF(AND('Raw Orders'!C1006="Product",'Raw Orders'!K1006="Fulfilled",COUNTIFS('Raw Orders'!$A$2:$A1006,'Raw Orders'!A1006,'Raw Orders'!$C$2:$C1006,"Product",'Raw Orders'!$K$2:$K1006,"Fulfilled")=1),1,0)</f>
        <v>0</v>
      </c>
      <c r="E1009" s="31" t="n">
        <f aca="false">IF(AND('Raw Orders'!C1006="Product",'Raw Orders'!K1006="Fulfilled"),'Raw Orders'!E1006,0)</f>
        <v>0</v>
      </c>
      <c r="F1009" s="32" t="n">
        <f aca="false">IF('Raw Orders'!K1006="Refunded",'Raw Orders'!G1006,0)</f>
        <v>0</v>
      </c>
    </row>
    <row r="1010" customFormat="false" ht="15" hidden="false" customHeight="false" outlineLevel="0" collapsed="false">
      <c r="A1010" s="36" t="n">
        <f aca="false">IF('Raw Orders'!B1007="","",IF(MID('Raw Orders'!B1007,5,1)="-",DATE(VALUE(LEFT('Raw Orders'!B1007,4)),VALUE(MID('Raw Orders'!B1007,6,2)),VALUE(MID('Raw Orders'!B1007,9,2))),DATE(VALUE(MID('Raw Orders'!B1007,7,4)),VALUE(MID('Raw Orders'!B1007,4,2)),VALUE(LEFT('Raw Orders'!B1007,2)))))</f>
        <v>46200</v>
      </c>
      <c r="B1010" s="36" t="n">
        <f aca="false">IF(A1010="","",A1010-WEEKDAY(A1010,3))</f>
        <v>46195</v>
      </c>
      <c r="C1010" s="32" t="n">
        <f aca="false">IF(OR('Raw Orders'!C1007&lt;&gt;"Product",'Raw Orders'!K1007="Cancelled"),0,'Raw Orders'!G1007)</f>
        <v>35</v>
      </c>
      <c r="D1010" s="31" t="n">
        <f aca="false">IF(AND('Raw Orders'!C1007="Product",'Raw Orders'!K1007="Fulfilled",COUNTIFS('Raw Orders'!$A$2:$A1007,'Raw Orders'!A1007,'Raw Orders'!$C$2:$C1007,"Product",'Raw Orders'!$K$2:$K1007,"Fulfilled")=1),1,0)</f>
        <v>1</v>
      </c>
      <c r="E1010" s="31" t="n">
        <f aca="false">IF(AND('Raw Orders'!C1007="Product",'Raw Orders'!K1007="Fulfilled"),'Raw Orders'!E1007,0)</f>
        <v>1</v>
      </c>
      <c r="F1010" s="32" t="n">
        <f aca="false">IF('Raw Orders'!K1007="Refunded",'Raw Orders'!G1007,0)</f>
        <v>0</v>
      </c>
    </row>
    <row r="1011" customFormat="false" ht="15" hidden="false" customHeight="false" outlineLevel="0" collapsed="false">
      <c r="A1011" s="36" t="n">
        <f aca="false">IF('Raw Orders'!B1008="","",IF(MID('Raw Orders'!B1008,5,1)="-",DATE(VALUE(LEFT('Raw Orders'!B1008,4)),VALUE(MID('Raw Orders'!B1008,6,2)),VALUE(MID('Raw Orders'!B1008,9,2))),DATE(VALUE(MID('Raw Orders'!B1008,7,4)),VALUE(MID('Raw Orders'!B1008,4,2)),VALUE(LEFT('Raw Orders'!B1008,2)))))</f>
        <v>46200</v>
      </c>
      <c r="B1011" s="36" t="n">
        <f aca="false">IF(A1011="","",A1011-WEEKDAY(A1011,3))</f>
        <v>46195</v>
      </c>
      <c r="C1011" s="32" t="n">
        <f aca="false">IF(OR('Raw Orders'!C1008&lt;&gt;"Product",'Raw Orders'!K1008="Cancelled"),0,'Raw Orders'!G1008)</f>
        <v>39</v>
      </c>
      <c r="D1011" s="31" t="n">
        <f aca="false">IF(AND('Raw Orders'!C1008="Product",'Raw Orders'!K1008="Fulfilled",COUNTIFS('Raw Orders'!$A$2:$A1008,'Raw Orders'!A1008,'Raw Orders'!$C$2:$C1008,"Product",'Raw Orders'!$K$2:$K1008,"Fulfilled")=1),1,0)</f>
        <v>0</v>
      </c>
      <c r="E1011" s="31" t="n">
        <f aca="false">IF(AND('Raw Orders'!C1008="Product",'Raw Orders'!K1008="Fulfilled"),'Raw Orders'!E1008,0)</f>
        <v>1</v>
      </c>
      <c r="F1011" s="32" t="n">
        <f aca="false">IF('Raw Orders'!K1008="Refunded",'Raw Orders'!G1008,0)</f>
        <v>0</v>
      </c>
    </row>
    <row r="1012" customFormat="false" ht="15" hidden="false" customHeight="false" outlineLevel="0" collapsed="false">
      <c r="A1012" s="36" t="n">
        <f aca="false">IF('Raw Orders'!B1009="","",IF(MID('Raw Orders'!B1009,5,1)="-",DATE(VALUE(LEFT('Raw Orders'!B1009,4)),VALUE(MID('Raw Orders'!B1009,6,2)),VALUE(MID('Raw Orders'!B1009,9,2))),DATE(VALUE(MID('Raw Orders'!B1009,7,4)),VALUE(MID('Raw Orders'!B1009,4,2)),VALUE(LEFT('Raw Orders'!B1009,2)))))</f>
        <v>46200</v>
      </c>
      <c r="B1012" s="36" t="n">
        <f aca="false">IF(A1012="","",A1012-WEEKDAY(A1012,3))</f>
        <v>46195</v>
      </c>
      <c r="C1012" s="32" t="n">
        <f aca="false">IF(OR('Raw Orders'!C1009&lt;&gt;"Product",'Raw Orders'!K1009="Cancelled"),0,'Raw Orders'!G1009)</f>
        <v>0</v>
      </c>
      <c r="D1012" s="31" t="n">
        <f aca="false">IF(AND('Raw Orders'!C1009="Product",'Raw Orders'!K1009="Fulfilled",COUNTIFS('Raw Orders'!$A$2:$A1009,'Raw Orders'!A1009,'Raw Orders'!$C$2:$C1009,"Product",'Raw Orders'!$K$2:$K1009,"Fulfilled")=1),1,0)</f>
        <v>0</v>
      </c>
      <c r="E1012" s="31" t="n">
        <f aca="false">IF(AND('Raw Orders'!C1009="Product",'Raw Orders'!K1009="Fulfilled"),'Raw Orders'!E1009,0)</f>
        <v>0</v>
      </c>
      <c r="F1012" s="32" t="n">
        <f aca="false">IF('Raw Orders'!K1009="Refunded",'Raw Orders'!G1009,0)</f>
        <v>0</v>
      </c>
    </row>
    <row r="1013" customFormat="false" ht="15" hidden="false" customHeight="false" outlineLevel="0" collapsed="false">
      <c r="A1013" s="36" t="n">
        <f aca="false">IF('Raw Orders'!B1010="","",IF(MID('Raw Orders'!B1010,5,1)="-",DATE(VALUE(LEFT('Raw Orders'!B1010,4)),VALUE(MID('Raw Orders'!B1010,6,2)),VALUE(MID('Raw Orders'!B1010,9,2))),DATE(VALUE(MID('Raw Orders'!B1010,7,4)),VALUE(MID('Raw Orders'!B1010,4,2)),VALUE(LEFT('Raw Orders'!B1010,2)))))</f>
        <v>46200</v>
      </c>
      <c r="B1013" s="36" t="n">
        <f aca="false">IF(A1013="","",A1013-WEEKDAY(A1013,3))</f>
        <v>46195</v>
      </c>
      <c r="C1013" s="32" t="n">
        <f aca="false">IF(OR('Raw Orders'!C1010&lt;&gt;"Product",'Raw Orders'!K1010="Cancelled"),0,'Raw Orders'!G1010)</f>
        <v>69</v>
      </c>
      <c r="D1013" s="31" t="n">
        <f aca="false">IF(AND('Raw Orders'!C1010="Product",'Raw Orders'!K1010="Fulfilled",COUNTIFS('Raw Orders'!$A$2:$A1010,'Raw Orders'!A1010,'Raw Orders'!$C$2:$C1010,"Product",'Raw Orders'!$K$2:$K1010,"Fulfilled")=1),1,0)</f>
        <v>0</v>
      </c>
      <c r="E1013" s="31" t="n">
        <f aca="false">IF(AND('Raw Orders'!C1010="Product",'Raw Orders'!K1010="Fulfilled"),'Raw Orders'!E1010,0)</f>
        <v>1</v>
      </c>
      <c r="F1013" s="32" t="n">
        <f aca="false">IF('Raw Orders'!K1010="Refunded",'Raw Orders'!G1010,0)</f>
        <v>0</v>
      </c>
    </row>
    <row r="1014" customFormat="false" ht="15" hidden="false" customHeight="false" outlineLevel="0" collapsed="false">
      <c r="A1014" s="36" t="n">
        <f aca="false">IF('Raw Orders'!B1011="","",IF(MID('Raw Orders'!B1011,5,1)="-",DATE(VALUE(LEFT('Raw Orders'!B1011,4)),VALUE(MID('Raw Orders'!B1011,6,2)),VALUE(MID('Raw Orders'!B1011,9,2))),DATE(VALUE(MID('Raw Orders'!B1011,7,4)),VALUE(MID('Raw Orders'!B1011,4,2)),VALUE(LEFT('Raw Orders'!B1011,2)))))</f>
        <v>46200</v>
      </c>
      <c r="B1014" s="36" t="n">
        <f aca="false">IF(A1014="","",A1014-WEEKDAY(A1014,3))</f>
        <v>46195</v>
      </c>
      <c r="C1014" s="32" t="n">
        <f aca="false">IF(OR('Raw Orders'!C1011&lt;&gt;"Product",'Raw Orders'!K1011="Cancelled"),0,'Raw Orders'!G1011)</f>
        <v>29</v>
      </c>
      <c r="D1014" s="31" t="n">
        <f aca="false">IF(AND('Raw Orders'!C1011="Product",'Raw Orders'!K1011="Fulfilled",COUNTIFS('Raw Orders'!$A$2:$A1011,'Raw Orders'!A1011,'Raw Orders'!$C$2:$C1011,"Product",'Raw Orders'!$K$2:$K1011,"Fulfilled")=1),1,0)</f>
        <v>1</v>
      </c>
      <c r="E1014" s="31" t="n">
        <f aca="false">IF(AND('Raw Orders'!C1011="Product",'Raw Orders'!K1011="Fulfilled"),'Raw Orders'!E1011,0)</f>
        <v>1</v>
      </c>
      <c r="F1014" s="32" t="n">
        <f aca="false">IF('Raw Orders'!K1011="Refunded",'Raw Orders'!G1011,0)</f>
        <v>0</v>
      </c>
    </row>
    <row r="1015" customFormat="false" ht="15" hidden="false" customHeight="false" outlineLevel="0" collapsed="false">
      <c r="A1015" s="36" t="n">
        <f aca="false">IF('Raw Orders'!B1012="","",IF(MID('Raw Orders'!B1012,5,1)="-",DATE(VALUE(LEFT('Raw Orders'!B1012,4)),VALUE(MID('Raw Orders'!B1012,6,2)),VALUE(MID('Raw Orders'!B1012,9,2))),DATE(VALUE(MID('Raw Orders'!B1012,7,4)),VALUE(MID('Raw Orders'!B1012,4,2)),VALUE(LEFT('Raw Orders'!B1012,2)))))</f>
        <v>46200</v>
      </c>
      <c r="B1015" s="36" t="n">
        <f aca="false">IF(A1015="","",A1015-WEEKDAY(A1015,3))</f>
        <v>46195</v>
      </c>
      <c r="C1015" s="32" t="n">
        <f aca="false">IF(OR('Raw Orders'!C1012&lt;&gt;"Product",'Raw Orders'!K1012="Cancelled"),0,'Raw Orders'!G1012)</f>
        <v>0</v>
      </c>
      <c r="D1015" s="31" t="n">
        <f aca="false">IF(AND('Raw Orders'!C1012="Product",'Raw Orders'!K1012="Fulfilled",COUNTIFS('Raw Orders'!$A$2:$A1012,'Raw Orders'!A1012,'Raw Orders'!$C$2:$C1012,"Product",'Raw Orders'!$K$2:$K1012,"Fulfilled")=1),1,0)</f>
        <v>0</v>
      </c>
      <c r="E1015" s="31" t="n">
        <f aca="false">IF(AND('Raw Orders'!C1012="Product",'Raw Orders'!K1012="Fulfilled"),'Raw Orders'!E1012,0)</f>
        <v>0</v>
      </c>
      <c r="F1015" s="32" t="n">
        <f aca="false">IF('Raw Orders'!K1012="Refunded",'Raw Orders'!G1012,0)</f>
        <v>0</v>
      </c>
    </row>
    <row r="1016" customFormat="false" ht="15" hidden="false" customHeight="false" outlineLevel="0" collapsed="false">
      <c r="A1016" s="36" t="n">
        <f aca="false">IF('Raw Orders'!B1013="","",IF(MID('Raw Orders'!B1013,5,1)="-",DATE(VALUE(LEFT('Raw Orders'!B1013,4)),VALUE(MID('Raw Orders'!B1013,6,2)),VALUE(MID('Raw Orders'!B1013,9,2))),DATE(VALUE(MID('Raw Orders'!B1013,7,4)),VALUE(MID('Raw Orders'!B1013,4,2)),VALUE(LEFT('Raw Orders'!B1013,2)))))</f>
        <v>46200</v>
      </c>
      <c r="B1016" s="36" t="n">
        <f aca="false">IF(A1016="","",A1016-WEEKDAY(A1016,3))</f>
        <v>46195</v>
      </c>
      <c r="C1016" s="32" t="n">
        <f aca="false">IF(OR('Raw Orders'!C1013&lt;&gt;"Product",'Raw Orders'!K1013="Cancelled"),0,'Raw Orders'!G1013)</f>
        <v>0</v>
      </c>
      <c r="D1016" s="31" t="n">
        <f aca="false">IF(AND('Raw Orders'!C1013="Product",'Raw Orders'!K1013="Fulfilled",COUNTIFS('Raw Orders'!$A$2:$A1013,'Raw Orders'!A1013,'Raw Orders'!$C$2:$C1013,"Product",'Raw Orders'!$K$2:$K1013,"Fulfilled")=1),1,0)</f>
        <v>0</v>
      </c>
      <c r="E1016" s="31" t="n">
        <f aca="false">IF(AND('Raw Orders'!C1013="Product",'Raw Orders'!K1013="Fulfilled"),'Raw Orders'!E1013,0)</f>
        <v>0</v>
      </c>
      <c r="F1016" s="32" t="n">
        <f aca="false">IF('Raw Orders'!K1013="Refunded",'Raw Orders'!G1013,0)</f>
        <v>0</v>
      </c>
    </row>
    <row r="1017" customFormat="false" ht="15" hidden="false" customHeight="false" outlineLevel="0" collapsed="false">
      <c r="A1017" s="36" t="n">
        <f aca="false">IF('Raw Orders'!B1014="","",IF(MID('Raw Orders'!B1014,5,1)="-",DATE(VALUE(LEFT('Raw Orders'!B1014,4)),VALUE(MID('Raw Orders'!B1014,6,2)),VALUE(MID('Raw Orders'!B1014,9,2))),DATE(VALUE(MID('Raw Orders'!B1014,7,4)),VALUE(MID('Raw Orders'!B1014,4,2)),VALUE(LEFT('Raw Orders'!B1014,2)))))</f>
        <v>46200</v>
      </c>
      <c r="B1017" s="36" t="n">
        <f aca="false">IF(A1017="","",A1017-WEEKDAY(A1017,3))</f>
        <v>46195</v>
      </c>
      <c r="C1017" s="32" t="n">
        <f aca="false">IF(OR('Raw Orders'!C1014&lt;&gt;"Product",'Raw Orders'!K1014="Cancelled"),0,'Raw Orders'!G1014)</f>
        <v>35</v>
      </c>
      <c r="D1017" s="31" t="n">
        <f aca="false">IF(AND('Raw Orders'!C1014="Product",'Raw Orders'!K1014="Fulfilled",COUNTIFS('Raw Orders'!$A$2:$A1014,'Raw Orders'!A1014,'Raw Orders'!$C$2:$C1014,"Product",'Raw Orders'!$K$2:$K1014,"Fulfilled")=1),1,0)</f>
        <v>1</v>
      </c>
      <c r="E1017" s="31" t="n">
        <f aca="false">IF(AND('Raw Orders'!C1014="Product",'Raw Orders'!K1014="Fulfilled"),'Raw Orders'!E1014,0)</f>
        <v>1</v>
      </c>
      <c r="F1017" s="32" t="n">
        <f aca="false">IF('Raw Orders'!K1014="Refunded",'Raw Orders'!G1014,0)</f>
        <v>0</v>
      </c>
    </row>
    <row r="1018" customFormat="false" ht="15" hidden="false" customHeight="false" outlineLevel="0" collapsed="false">
      <c r="A1018" s="36" t="n">
        <f aca="false">IF('Raw Orders'!B1015="","",IF(MID('Raw Orders'!B1015,5,1)="-",DATE(VALUE(LEFT('Raw Orders'!B1015,4)),VALUE(MID('Raw Orders'!B1015,6,2)),VALUE(MID('Raw Orders'!B1015,9,2))),DATE(VALUE(MID('Raw Orders'!B1015,7,4)),VALUE(MID('Raw Orders'!B1015,4,2)),VALUE(LEFT('Raw Orders'!B1015,2)))))</f>
        <v>46200</v>
      </c>
      <c r="B1018" s="36" t="n">
        <f aca="false">IF(A1018="","",A1018-WEEKDAY(A1018,3))</f>
        <v>46195</v>
      </c>
      <c r="C1018" s="32" t="n">
        <f aca="false">IF(OR('Raw Orders'!C1015&lt;&gt;"Product",'Raw Orders'!K1015="Cancelled"),0,'Raw Orders'!G1015)</f>
        <v>0</v>
      </c>
      <c r="D1018" s="31" t="n">
        <f aca="false">IF(AND('Raw Orders'!C1015="Product",'Raw Orders'!K1015="Fulfilled",COUNTIFS('Raw Orders'!$A$2:$A1015,'Raw Orders'!A1015,'Raw Orders'!$C$2:$C1015,"Product",'Raw Orders'!$K$2:$K1015,"Fulfilled")=1),1,0)</f>
        <v>0</v>
      </c>
      <c r="E1018" s="31" t="n">
        <f aca="false">IF(AND('Raw Orders'!C1015="Product",'Raw Orders'!K1015="Fulfilled"),'Raw Orders'!E1015,0)</f>
        <v>0</v>
      </c>
      <c r="F1018" s="32" t="n">
        <f aca="false">IF('Raw Orders'!K1015="Refunded",'Raw Orders'!G1015,0)</f>
        <v>0</v>
      </c>
    </row>
    <row r="1019" customFormat="false" ht="15" hidden="false" customHeight="false" outlineLevel="0" collapsed="false">
      <c r="A1019" s="36" t="n">
        <f aca="false">IF('Raw Orders'!B1016="","",IF(MID('Raw Orders'!B1016,5,1)="-",DATE(VALUE(LEFT('Raw Orders'!B1016,4)),VALUE(MID('Raw Orders'!B1016,6,2)),VALUE(MID('Raw Orders'!B1016,9,2))),DATE(VALUE(MID('Raw Orders'!B1016,7,4)),VALUE(MID('Raw Orders'!B1016,4,2)),VALUE(LEFT('Raw Orders'!B1016,2)))))</f>
        <v>46200</v>
      </c>
      <c r="B1019" s="36" t="n">
        <f aca="false">IF(A1019="","",A1019-WEEKDAY(A1019,3))</f>
        <v>46195</v>
      </c>
      <c r="C1019" s="32" t="n">
        <f aca="false">IF(OR('Raw Orders'!C1016&lt;&gt;"Product",'Raw Orders'!K1016="Cancelled"),0,'Raw Orders'!G1016)</f>
        <v>22</v>
      </c>
      <c r="D1019" s="31" t="n">
        <f aca="false">IF(AND('Raw Orders'!C1016="Product",'Raw Orders'!K1016="Fulfilled",COUNTIFS('Raw Orders'!$A$2:$A1016,'Raw Orders'!A1016,'Raw Orders'!$C$2:$C1016,"Product",'Raw Orders'!$K$2:$K1016,"Fulfilled")=1),1,0)</f>
        <v>1</v>
      </c>
      <c r="E1019" s="31" t="n">
        <f aca="false">IF(AND('Raw Orders'!C1016="Product",'Raw Orders'!K1016="Fulfilled"),'Raw Orders'!E1016,0)</f>
        <v>1</v>
      </c>
      <c r="F1019" s="32" t="n">
        <f aca="false">IF('Raw Orders'!K1016="Refunded",'Raw Orders'!G1016,0)</f>
        <v>0</v>
      </c>
    </row>
    <row r="1020" customFormat="false" ht="15" hidden="false" customHeight="false" outlineLevel="0" collapsed="false">
      <c r="A1020" s="36" t="n">
        <f aca="false">IF('Raw Orders'!B1017="","",IF(MID('Raw Orders'!B1017,5,1)="-",DATE(VALUE(LEFT('Raw Orders'!B1017,4)),VALUE(MID('Raw Orders'!B1017,6,2)),VALUE(MID('Raw Orders'!B1017,9,2))),DATE(VALUE(MID('Raw Orders'!B1017,7,4)),VALUE(MID('Raw Orders'!B1017,4,2)),VALUE(LEFT('Raw Orders'!B1017,2)))))</f>
        <v>46200</v>
      </c>
      <c r="B1020" s="36" t="n">
        <f aca="false">IF(A1020="","",A1020-WEEKDAY(A1020,3))</f>
        <v>46195</v>
      </c>
      <c r="C1020" s="32" t="n">
        <f aca="false">IF(OR('Raw Orders'!C1017&lt;&gt;"Product",'Raw Orders'!K1017="Cancelled"),0,'Raw Orders'!G1017)</f>
        <v>138</v>
      </c>
      <c r="D1020" s="31" t="n">
        <f aca="false">IF(AND('Raw Orders'!C1017="Product",'Raw Orders'!K1017="Fulfilled",COUNTIFS('Raw Orders'!$A$2:$A1017,'Raw Orders'!A1017,'Raw Orders'!$C$2:$C1017,"Product",'Raw Orders'!$K$2:$K1017,"Fulfilled")=1),1,0)</f>
        <v>0</v>
      </c>
      <c r="E1020" s="31" t="n">
        <f aca="false">IF(AND('Raw Orders'!C1017="Product",'Raw Orders'!K1017="Fulfilled"),'Raw Orders'!E1017,0)</f>
        <v>2</v>
      </c>
      <c r="F1020" s="32" t="n">
        <f aca="false">IF('Raw Orders'!K1017="Refunded",'Raw Orders'!G1017,0)</f>
        <v>0</v>
      </c>
    </row>
    <row r="1021" customFormat="false" ht="15" hidden="false" customHeight="false" outlineLevel="0" collapsed="false">
      <c r="A1021" s="36" t="n">
        <f aca="false">IF('Raw Orders'!B1018="","",IF(MID('Raw Orders'!B1018,5,1)="-",DATE(VALUE(LEFT('Raw Orders'!B1018,4)),VALUE(MID('Raw Orders'!B1018,6,2)),VALUE(MID('Raw Orders'!B1018,9,2))),DATE(VALUE(MID('Raw Orders'!B1018,7,4)),VALUE(MID('Raw Orders'!B1018,4,2)),VALUE(LEFT('Raw Orders'!B1018,2)))))</f>
        <v>46200</v>
      </c>
      <c r="B1021" s="36" t="n">
        <f aca="false">IF(A1021="","",A1021-WEEKDAY(A1021,3))</f>
        <v>46195</v>
      </c>
      <c r="C1021" s="32" t="n">
        <f aca="false">IF(OR('Raw Orders'!C1018&lt;&gt;"Product",'Raw Orders'!K1018="Cancelled"),0,'Raw Orders'!G1018)</f>
        <v>0</v>
      </c>
      <c r="D1021" s="31" t="n">
        <f aca="false">IF(AND('Raw Orders'!C1018="Product",'Raw Orders'!K1018="Fulfilled",COUNTIFS('Raw Orders'!$A$2:$A1018,'Raw Orders'!A1018,'Raw Orders'!$C$2:$C1018,"Product",'Raw Orders'!$K$2:$K1018,"Fulfilled")=1),1,0)</f>
        <v>0</v>
      </c>
      <c r="E1021" s="31" t="n">
        <f aca="false">IF(AND('Raw Orders'!C1018="Product",'Raw Orders'!K1018="Fulfilled"),'Raw Orders'!E1018,0)</f>
        <v>0</v>
      </c>
      <c r="F1021" s="32" t="n">
        <f aca="false">IF('Raw Orders'!K1018="Refunded",'Raw Orders'!G1018,0)</f>
        <v>0</v>
      </c>
    </row>
    <row r="1022" customFormat="false" ht="15" hidden="false" customHeight="false" outlineLevel="0" collapsed="false">
      <c r="A1022" s="36" t="n">
        <f aca="false">IF('Raw Orders'!B1019="","",IF(MID('Raw Orders'!B1019,5,1)="-",DATE(VALUE(LEFT('Raw Orders'!B1019,4)),VALUE(MID('Raw Orders'!B1019,6,2)),VALUE(MID('Raw Orders'!B1019,9,2))),DATE(VALUE(MID('Raw Orders'!B1019,7,4)),VALUE(MID('Raw Orders'!B1019,4,2)),VALUE(LEFT('Raw Orders'!B1019,2)))))</f>
        <v>46200</v>
      </c>
      <c r="B1022" s="36" t="n">
        <f aca="false">IF(A1022="","",A1022-WEEKDAY(A1022,3))</f>
        <v>46195</v>
      </c>
      <c r="C1022" s="32" t="n">
        <f aca="false">IF(OR('Raw Orders'!C1019&lt;&gt;"Product",'Raw Orders'!K1019="Cancelled"),0,'Raw Orders'!G1019)</f>
        <v>0</v>
      </c>
      <c r="D1022" s="31" t="n">
        <f aca="false">IF(AND('Raw Orders'!C1019="Product",'Raw Orders'!K1019="Fulfilled",COUNTIFS('Raw Orders'!$A$2:$A1019,'Raw Orders'!A1019,'Raw Orders'!$C$2:$C1019,"Product",'Raw Orders'!$K$2:$K1019,"Fulfilled")=1),1,0)</f>
        <v>0</v>
      </c>
      <c r="E1022" s="31" t="n">
        <f aca="false">IF(AND('Raw Orders'!C1019="Product",'Raw Orders'!K1019="Fulfilled"),'Raw Orders'!E1019,0)</f>
        <v>0</v>
      </c>
      <c r="F1022" s="32" t="n">
        <f aca="false">IF('Raw Orders'!K1019="Refunded",'Raw Orders'!G1019,0)</f>
        <v>0</v>
      </c>
    </row>
    <row r="1023" customFormat="false" ht="15" hidden="false" customHeight="false" outlineLevel="0" collapsed="false">
      <c r="A1023" s="36" t="n">
        <f aca="false">IF('Raw Orders'!B1020="","",IF(MID('Raw Orders'!B1020,5,1)="-",DATE(VALUE(LEFT('Raw Orders'!B1020,4)),VALUE(MID('Raw Orders'!B1020,6,2)),VALUE(MID('Raw Orders'!B1020,9,2))),DATE(VALUE(MID('Raw Orders'!B1020,7,4)),VALUE(MID('Raw Orders'!B1020,4,2)),VALUE(LEFT('Raw Orders'!B1020,2)))))</f>
        <v>46200</v>
      </c>
      <c r="B1023" s="36" t="n">
        <f aca="false">IF(A1023="","",A1023-WEEKDAY(A1023,3))</f>
        <v>46195</v>
      </c>
      <c r="C1023" s="32" t="n">
        <f aca="false">IF(OR('Raw Orders'!C1020&lt;&gt;"Product",'Raw Orders'!K1020="Cancelled"),0,'Raw Orders'!G1020)</f>
        <v>89</v>
      </c>
      <c r="D1023" s="31" t="n">
        <f aca="false">IF(AND('Raw Orders'!C1020="Product",'Raw Orders'!K1020="Fulfilled",COUNTIFS('Raw Orders'!$A$2:$A1020,'Raw Orders'!A1020,'Raw Orders'!$C$2:$C1020,"Product",'Raw Orders'!$K$2:$K1020,"Fulfilled")=1),1,0)</f>
        <v>1</v>
      </c>
      <c r="E1023" s="31" t="n">
        <f aca="false">IF(AND('Raw Orders'!C1020="Product",'Raw Orders'!K1020="Fulfilled"),'Raw Orders'!E1020,0)</f>
        <v>1</v>
      </c>
      <c r="F1023" s="32" t="n">
        <f aca="false">IF('Raw Orders'!K1020="Refunded",'Raw Orders'!G1020,0)</f>
        <v>0</v>
      </c>
    </row>
    <row r="1024" customFormat="false" ht="15" hidden="false" customHeight="false" outlineLevel="0" collapsed="false">
      <c r="A1024" s="36" t="n">
        <f aca="false">IF('Raw Orders'!B1021="","",IF(MID('Raw Orders'!B1021,5,1)="-",DATE(VALUE(LEFT('Raw Orders'!B1021,4)),VALUE(MID('Raw Orders'!B1021,6,2)),VALUE(MID('Raw Orders'!B1021,9,2))),DATE(VALUE(MID('Raw Orders'!B1021,7,4)),VALUE(MID('Raw Orders'!B1021,4,2)),VALUE(LEFT('Raw Orders'!B1021,2)))))</f>
        <v>46200</v>
      </c>
      <c r="B1024" s="36" t="n">
        <f aca="false">IF(A1024="","",A1024-WEEKDAY(A1024,3))</f>
        <v>46195</v>
      </c>
      <c r="C1024" s="32" t="n">
        <f aca="false">IF(OR('Raw Orders'!C1021&lt;&gt;"Product",'Raw Orders'!K1021="Cancelled"),0,'Raw Orders'!G1021)</f>
        <v>0</v>
      </c>
      <c r="D1024" s="31" t="n">
        <f aca="false">IF(AND('Raw Orders'!C1021="Product",'Raw Orders'!K1021="Fulfilled",COUNTIFS('Raw Orders'!$A$2:$A1021,'Raw Orders'!A1021,'Raw Orders'!$C$2:$C1021,"Product",'Raw Orders'!$K$2:$K1021,"Fulfilled")=1),1,0)</f>
        <v>0</v>
      </c>
      <c r="E1024" s="31" t="n">
        <f aca="false">IF(AND('Raw Orders'!C1021="Product",'Raw Orders'!K1021="Fulfilled"),'Raw Orders'!E1021,0)</f>
        <v>0</v>
      </c>
      <c r="F1024" s="32" t="n">
        <f aca="false">IF('Raw Orders'!K1021="Refunded",'Raw Orders'!G1021,0)</f>
        <v>0</v>
      </c>
    </row>
    <row r="1025" customFormat="false" ht="15" hidden="false" customHeight="false" outlineLevel="0" collapsed="false">
      <c r="A1025" s="36" t="n">
        <f aca="false">IF('Raw Orders'!B1022="","",IF(MID('Raw Orders'!B1022,5,1)="-",DATE(VALUE(LEFT('Raw Orders'!B1022,4)),VALUE(MID('Raw Orders'!B1022,6,2)),VALUE(MID('Raw Orders'!B1022,9,2))),DATE(VALUE(MID('Raw Orders'!B1022,7,4)),VALUE(MID('Raw Orders'!B1022,4,2)),VALUE(LEFT('Raw Orders'!B1022,2)))))</f>
        <v>46200</v>
      </c>
      <c r="B1025" s="36" t="n">
        <f aca="false">IF(A1025="","",A1025-WEEKDAY(A1025,3))</f>
        <v>46195</v>
      </c>
      <c r="C1025" s="32" t="n">
        <f aca="false">IF(OR('Raw Orders'!C1022&lt;&gt;"Product",'Raw Orders'!K1022="Cancelled"),0,'Raw Orders'!G1022)</f>
        <v>26</v>
      </c>
      <c r="D1025" s="31" t="n">
        <f aca="false">IF(AND('Raw Orders'!C1022="Product",'Raw Orders'!K1022="Fulfilled",COUNTIFS('Raw Orders'!$A$2:$A1022,'Raw Orders'!A1022,'Raw Orders'!$C$2:$C1022,"Product",'Raw Orders'!$K$2:$K1022,"Fulfilled")=1),1,0)</f>
        <v>0</v>
      </c>
      <c r="E1025" s="31" t="n">
        <f aca="false">IF(AND('Raw Orders'!C1022="Product",'Raw Orders'!K1022="Fulfilled"),'Raw Orders'!E1022,0)</f>
        <v>1</v>
      </c>
      <c r="F1025" s="32" t="n">
        <f aca="false">IF('Raw Orders'!K1022="Refunded",'Raw Orders'!G1022,0)</f>
        <v>0</v>
      </c>
    </row>
    <row r="1026" customFormat="false" ht="15" hidden="false" customHeight="false" outlineLevel="0" collapsed="false">
      <c r="A1026" s="36" t="n">
        <f aca="false">IF('Raw Orders'!B1023="","",IF(MID('Raw Orders'!B1023,5,1)="-",DATE(VALUE(LEFT('Raw Orders'!B1023,4)),VALUE(MID('Raw Orders'!B1023,6,2)),VALUE(MID('Raw Orders'!B1023,9,2))),DATE(VALUE(MID('Raw Orders'!B1023,7,4)),VALUE(MID('Raw Orders'!B1023,4,2)),VALUE(LEFT('Raw Orders'!B1023,2)))))</f>
        <v>46201</v>
      </c>
      <c r="B1026" s="36" t="n">
        <f aca="false">IF(A1026="","",A1026-WEEKDAY(A1026,3))</f>
        <v>46195</v>
      </c>
      <c r="C1026" s="32" t="n">
        <f aca="false">IF(OR('Raw Orders'!C1023&lt;&gt;"Product",'Raw Orders'!K1023="Cancelled"),0,'Raw Orders'!G1023)</f>
        <v>75</v>
      </c>
      <c r="D1026" s="31" t="n">
        <f aca="false">IF(AND('Raw Orders'!C1023="Product",'Raw Orders'!K1023="Fulfilled",COUNTIFS('Raw Orders'!$A$2:$A1023,'Raw Orders'!A1023,'Raw Orders'!$C$2:$C1023,"Product",'Raw Orders'!$K$2:$K1023,"Fulfilled")=1),1,0)</f>
        <v>1</v>
      </c>
      <c r="E1026" s="31" t="n">
        <f aca="false">IF(AND('Raw Orders'!C1023="Product",'Raw Orders'!K1023="Fulfilled"),'Raw Orders'!E1023,0)</f>
        <v>1</v>
      </c>
      <c r="F1026" s="32" t="n">
        <f aca="false">IF('Raw Orders'!K1023="Refunded",'Raw Orders'!G1023,0)</f>
        <v>0</v>
      </c>
    </row>
    <row r="1027" customFormat="false" ht="15" hidden="false" customHeight="false" outlineLevel="0" collapsed="false">
      <c r="A1027" s="36" t="n">
        <f aca="false">IF('Raw Orders'!B1024="","",IF(MID('Raw Orders'!B1024,5,1)="-",DATE(VALUE(LEFT('Raw Orders'!B1024,4)),VALUE(MID('Raw Orders'!B1024,6,2)),VALUE(MID('Raw Orders'!B1024,9,2))),DATE(VALUE(MID('Raw Orders'!B1024,7,4)),VALUE(MID('Raw Orders'!B1024,4,2)),VALUE(LEFT('Raw Orders'!B1024,2)))))</f>
        <v>46201</v>
      </c>
      <c r="B1027" s="36" t="n">
        <f aca="false">IF(A1027="","",A1027-WEEKDAY(A1027,3))</f>
        <v>46195</v>
      </c>
      <c r="C1027" s="32" t="n">
        <f aca="false">IF(OR('Raw Orders'!C1024&lt;&gt;"Product",'Raw Orders'!K1024="Cancelled"),0,'Raw Orders'!G1024)</f>
        <v>0</v>
      </c>
      <c r="D1027" s="31" t="n">
        <f aca="false">IF(AND('Raw Orders'!C1024="Product",'Raw Orders'!K1024="Fulfilled",COUNTIFS('Raw Orders'!$A$2:$A1024,'Raw Orders'!A1024,'Raw Orders'!$C$2:$C1024,"Product",'Raw Orders'!$K$2:$K1024,"Fulfilled")=1),1,0)</f>
        <v>0</v>
      </c>
      <c r="E1027" s="31" t="n">
        <f aca="false">IF(AND('Raw Orders'!C1024="Product",'Raw Orders'!K1024="Fulfilled"),'Raw Orders'!E1024,0)</f>
        <v>0</v>
      </c>
      <c r="F1027" s="32" t="n">
        <f aca="false">IF('Raw Orders'!K1024="Refunded",'Raw Orders'!G1024,0)</f>
        <v>0</v>
      </c>
    </row>
    <row r="1028" customFormat="false" ht="15" hidden="false" customHeight="false" outlineLevel="0" collapsed="false">
      <c r="A1028" s="36" t="n">
        <f aca="false">IF('Raw Orders'!B1025="","",IF(MID('Raw Orders'!B1025,5,1)="-",DATE(VALUE(LEFT('Raw Orders'!B1025,4)),VALUE(MID('Raw Orders'!B1025,6,2)),VALUE(MID('Raw Orders'!B1025,9,2))),DATE(VALUE(MID('Raw Orders'!B1025,7,4)),VALUE(MID('Raw Orders'!B1025,4,2)),VALUE(LEFT('Raw Orders'!B1025,2)))))</f>
        <v>46201</v>
      </c>
      <c r="B1028" s="36" t="n">
        <f aca="false">IF(A1028="","",A1028-WEEKDAY(A1028,3))</f>
        <v>46195</v>
      </c>
      <c r="C1028" s="32" t="n">
        <f aca="false">IF(OR('Raw Orders'!C1025&lt;&gt;"Product",'Raw Orders'!K1025="Cancelled"),0,'Raw Orders'!G1025)</f>
        <v>35</v>
      </c>
      <c r="D1028" s="31" t="n">
        <f aca="false">IF(AND('Raw Orders'!C1025="Product",'Raw Orders'!K1025="Fulfilled",COUNTIFS('Raw Orders'!$A$2:$A1025,'Raw Orders'!A1025,'Raw Orders'!$C$2:$C1025,"Product",'Raw Orders'!$K$2:$K1025,"Fulfilled")=1),1,0)</f>
        <v>1</v>
      </c>
      <c r="E1028" s="31" t="n">
        <f aca="false">IF(AND('Raw Orders'!C1025="Product",'Raw Orders'!K1025="Fulfilled"),'Raw Orders'!E1025,0)</f>
        <v>1</v>
      </c>
      <c r="F1028" s="32" t="n">
        <f aca="false">IF('Raw Orders'!K1025="Refunded",'Raw Orders'!G1025,0)</f>
        <v>0</v>
      </c>
    </row>
    <row r="1029" customFormat="false" ht="15" hidden="false" customHeight="false" outlineLevel="0" collapsed="false">
      <c r="A1029" s="36" t="n">
        <f aca="false">IF('Raw Orders'!B1026="","",IF(MID('Raw Orders'!B1026,5,1)="-",DATE(VALUE(LEFT('Raw Orders'!B1026,4)),VALUE(MID('Raw Orders'!B1026,6,2)),VALUE(MID('Raw Orders'!B1026,9,2))),DATE(VALUE(MID('Raw Orders'!B1026,7,4)),VALUE(MID('Raw Orders'!B1026,4,2)),VALUE(LEFT('Raw Orders'!B1026,2)))))</f>
        <v>46201</v>
      </c>
      <c r="B1029" s="36" t="n">
        <f aca="false">IF(A1029="","",A1029-WEEKDAY(A1029,3))</f>
        <v>46195</v>
      </c>
      <c r="C1029" s="32" t="n">
        <f aca="false">IF(OR('Raw Orders'!C1026&lt;&gt;"Product",'Raw Orders'!K1026="Cancelled"),0,'Raw Orders'!G1026)</f>
        <v>0</v>
      </c>
      <c r="D1029" s="31" t="n">
        <f aca="false">IF(AND('Raw Orders'!C1026="Product",'Raw Orders'!K1026="Fulfilled",COUNTIFS('Raw Orders'!$A$2:$A1026,'Raw Orders'!A1026,'Raw Orders'!$C$2:$C1026,"Product",'Raw Orders'!$K$2:$K1026,"Fulfilled")=1),1,0)</f>
        <v>0</v>
      </c>
      <c r="E1029" s="31" t="n">
        <f aca="false">IF(AND('Raw Orders'!C1026="Product",'Raw Orders'!K1026="Fulfilled"),'Raw Orders'!E1026,0)</f>
        <v>0</v>
      </c>
      <c r="F1029" s="32" t="n">
        <f aca="false">IF('Raw Orders'!K1026="Refunded",'Raw Orders'!G1026,0)</f>
        <v>0</v>
      </c>
    </row>
    <row r="1030" customFormat="false" ht="15" hidden="false" customHeight="false" outlineLevel="0" collapsed="false">
      <c r="A1030" s="36" t="n">
        <f aca="false">IF('Raw Orders'!B1027="","",IF(MID('Raw Orders'!B1027,5,1)="-",DATE(VALUE(LEFT('Raw Orders'!B1027,4)),VALUE(MID('Raw Orders'!B1027,6,2)),VALUE(MID('Raw Orders'!B1027,9,2))),DATE(VALUE(MID('Raw Orders'!B1027,7,4)),VALUE(MID('Raw Orders'!B1027,4,2)),VALUE(LEFT('Raw Orders'!B1027,2)))))</f>
        <v>46201</v>
      </c>
      <c r="B1030" s="36" t="n">
        <f aca="false">IF(A1030="","",A1030-WEEKDAY(A1030,3))</f>
        <v>46195</v>
      </c>
      <c r="C1030" s="32" t="n">
        <f aca="false">IF(OR('Raw Orders'!C1027&lt;&gt;"Product",'Raw Orders'!K1027="Cancelled"),0,'Raw Orders'!G1027)</f>
        <v>89</v>
      </c>
      <c r="D1030" s="31" t="n">
        <f aca="false">IF(AND('Raw Orders'!C1027="Product",'Raw Orders'!K1027="Fulfilled",COUNTIFS('Raw Orders'!$A$2:$A1027,'Raw Orders'!A1027,'Raw Orders'!$C$2:$C1027,"Product",'Raw Orders'!$K$2:$K1027,"Fulfilled")=1),1,0)</f>
        <v>1</v>
      </c>
      <c r="E1030" s="31" t="n">
        <f aca="false">IF(AND('Raw Orders'!C1027="Product",'Raw Orders'!K1027="Fulfilled"),'Raw Orders'!E1027,0)</f>
        <v>1</v>
      </c>
      <c r="F1030" s="32" t="n">
        <f aca="false">IF('Raw Orders'!K1027="Refunded",'Raw Orders'!G1027,0)</f>
        <v>0</v>
      </c>
    </row>
    <row r="1031" customFormat="false" ht="15" hidden="false" customHeight="false" outlineLevel="0" collapsed="false">
      <c r="A1031" s="36" t="n">
        <f aca="false">IF('Raw Orders'!B1028="","",IF(MID('Raw Orders'!B1028,5,1)="-",DATE(VALUE(LEFT('Raw Orders'!B1028,4)),VALUE(MID('Raw Orders'!B1028,6,2)),VALUE(MID('Raw Orders'!B1028,9,2))),DATE(VALUE(MID('Raw Orders'!B1028,7,4)),VALUE(MID('Raw Orders'!B1028,4,2)),VALUE(LEFT('Raw Orders'!B1028,2)))))</f>
        <v>46201</v>
      </c>
      <c r="B1031" s="36" t="n">
        <f aca="false">IF(A1031="","",A1031-WEEKDAY(A1031,3))</f>
        <v>46195</v>
      </c>
      <c r="C1031" s="32" t="n">
        <f aca="false">IF(OR('Raw Orders'!C1028&lt;&gt;"Product",'Raw Orders'!K1028="Cancelled"),0,'Raw Orders'!G1028)</f>
        <v>64</v>
      </c>
      <c r="D1031" s="31" t="n">
        <f aca="false">IF(AND('Raw Orders'!C1028="Product",'Raw Orders'!K1028="Fulfilled",COUNTIFS('Raw Orders'!$A$2:$A1028,'Raw Orders'!A1028,'Raw Orders'!$C$2:$C1028,"Product",'Raw Orders'!$K$2:$K1028,"Fulfilled")=1),1,0)</f>
        <v>0</v>
      </c>
      <c r="E1031" s="31" t="n">
        <f aca="false">IF(AND('Raw Orders'!C1028="Product",'Raw Orders'!K1028="Fulfilled"),'Raw Orders'!E1028,0)</f>
        <v>2</v>
      </c>
      <c r="F1031" s="32" t="n">
        <f aca="false">IF('Raw Orders'!K1028="Refunded",'Raw Orders'!G1028,0)</f>
        <v>0</v>
      </c>
    </row>
    <row r="1032" customFormat="false" ht="15" hidden="false" customHeight="false" outlineLevel="0" collapsed="false">
      <c r="A1032" s="36" t="n">
        <f aca="false">IF('Raw Orders'!B1029="","",IF(MID('Raw Orders'!B1029,5,1)="-",DATE(VALUE(LEFT('Raw Orders'!B1029,4)),VALUE(MID('Raw Orders'!B1029,6,2)),VALUE(MID('Raw Orders'!B1029,9,2))),DATE(VALUE(MID('Raw Orders'!B1029,7,4)),VALUE(MID('Raw Orders'!B1029,4,2)),VALUE(LEFT('Raw Orders'!B1029,2)))))</f>
        <v>46201</v>
      </c>
      <c r="B1032" s="36" t="n">
        <f aca="false">IF(A1032="","",A1032-WEEKDAY(A1032,3))</f>
        <v>46195</v>
      </c>
      <c r="C1032" s="32" t="n">
        <f aca="false">IF(OR('Raw Orders'!C1029&lt;&gt;"Product",'Raw Orders'!K1029="Cancelled"),0,'Raw Orders'!G1029)</f>
        <v>45</v>
      </c>
      <c r="D1032" s="31" t="n">
        <f aca="false">IF(AND('Raw Orders'!C1029="Product",'Raw Orders'!K1029="Fulfilled",COUNTIFS('Raw Orders'!$A$2:$A1029,'Raw Orders'!A1029,'Raw Orders'!$C$2:$C1029,"Product",'Raw Orders'!$K$2:$K1029,"Fulfilled")=1),1,0)</f>
        <v>0</v>
      </c>
      <c r="E1032" s="31" t="n">
        <f aca="false">IF(AND('Raw Orders'!C1029="Product",'Raw Orders'!K1029="Fulfilled"),'Raw Orders'!E1029,0)</f>
        <v>1</v>
      </c>
      <c r="F1032" s="32" t="n">
        <f aca="false">IF('Raw Orders'!K1029="Refunded",'Raw Orders'!G1029,0)</f>
        <v>0</v>
      </c>
    </row>
    <row r="1033" customFormat="false" ht="15" hidden="false" customHeight="false" outlineLevel="0" collapsed="false">
      <c r="A1033" s="36" t="n">
        <f aca="false">IF('Raw Orders'!B1030="","",IF(MID('Raw Orders'!B1030,5,1)="-",DATE(VALUE(LEFT('Raw Orders'!B1030,4)),VALUE(MID('Raw Orders'!B1030,6,2)),VALUE(MID('Raw Orders'!B1030,9,2))),DATE(VALUE(MID('Raw Orders'!B1030,7,4)),VALUE(MID('Raw Orders'!B1030,4,2)),VALUE(LEFT('Raw Orders'!B1030,2)))))</f>
        <v>46201</v>
      </c>
      <c r="B1033" s="36" t="n">
        <f aca="false">IF(A1033="","",A1033-WEEKDAY(A1033,3))</f>
        <v>46195</v>
      </c>
      <c r="C1033" s="32" t="n">
        <f aca="false">IF(OR('Raw Orders'!C1030&lt;&gt;"Product",'Raw Orders'!K1030="Cancelled"),0,'Raw Orders'!G1030)</f>
        <v>62.1</v>
      </c>
      <c r="D1033" s="31" t="n">
        <f aca="false">IF(AND('Raw Orders'!C1030="Product",'Raw Orders'!K1030="Fulfilled",COUNTIFS('Raw Orders'!$A$2:$A1030,'Raw Orders'!A1030,'Raw Orders'!$C$2:$C1030,"Product",'Raw Orders'!$K$2:$K1030,"Fulfilled")=1),1,0)</f>
        <v>1</v>
      </c>
      <c r="E1033" s="31" t="n">
        <f aca="false">IF(AND('Raw Orders'!C1030="Product",'Raw Orders'!K1030="Fulfilled"),'Raw Orders'!E1030,0)</f>
        <v>1</v>
      </c>
      <c r="F1033" s="32" t="n">
        <f aca="false">IF('Raw Orders'!K1030="Refunded",'Raw Orders'!G1030,0)</f>
        <v>0</v>
      </c>
    </row>
    <row r="1034" customFormat="false" ht="15" hidden="false" customHeight="false" outlineLevel="0" collapsed="false">
      <c r="A1034" s="36" t="n">
        <f aca="false">IF('Raw Orders'!B1031="","",IF(MID('Raw Orders'!B1031,5,1)="-",DATE(VALUE(LEFT('Raw Orders'!B1031,4)),VALUE(MID('Raw Orders'!B1031,6,2)),VALUE(MID('Raw Orders'!B1031,9,2))),DATE(VALUE(MID('Raw Orders'!B1031,7,4)),VALUE(MID('Raw Orders'!B1031,4,2)),VALUE(LEFT('Raw Orders'!B1031,2)))))</f>
        <v>46201</v>
      </c>
      <c r="B1034" s="36" t="n">
        <f aca="false">IF(A1034="","",A1034-WEEKDAY(A1034,3))</f>
        <v>46195</v>
      </c>
      <c r="C1034" s="32" t="n">
        <f aca="false">IF(OR('Raw Orders'!C1031&lt;&gt;"Product",'Raw Orders'!K1031="Cancelled"),0,'Raw Orders'!G1031)</f>
        <v>45</v>
      </c>
      <c r="D1034" s="31" t="n">
        <f aca="false">IF(AND('Raw Orders'!C1031="Product",'Raw Orders'!K1031="Fulfilled",COUNTIFS('Raw Orders'!$A$2:$A1031,'Raw Orders'!A1031,'Raw Orders'!$C$2:$C1031,"Product",'Raw Orders'!$K$2:$K1031,"Fulfilled")=1),1,0)</f>
        <v>0</v>
      </c>
      <c r="E1034" s="31" t="n">
        <f aca="false">IF(AND('Raw Orders'!C1031="Product",'Raw Orders'!K1031="Fulfilled"),'Raw Orders'!E1031,0)</f>
        <v>1</v>
      </c>
      <c r="F1034" s="32" t="n">
        <f aca="false">IF('Raw Orders'!K1031="Refunded",'Raw Orders'!G1031,0)</f>
        <v>0</v>
      </c>
    </row>
    <row r="1035" customFormat="false" ht="15" hidden="false" customHeight="false" outlineLevel="0" collapsed="false">
      <c r="A1035" s="36" t="n">
        <f aca="false">IF('Raw Orders'!B1032="","",IF(MID('Raw Orders'!B1032,5,1)="-",DATE(VALUE(LEFT('Raw Orders'!B1032,4)),VALUE(MID('Raw Orders'!B1032,6,2)),VALUE(MID('Raw Orders'!B1032,9,2))),DATE(VALUE(MID('Raw Orders'!B1032,7,4)),VALUE(MID('Raw Orders'!B1032,4,2)),VALUE(LEFT('Raw Orders'!B1032,2)))))</f>
        <v>46201</v>
      </c>
      <c r="B1035" s="36" t="n">
        <f aca="false">IF(A1035="","",A1035-WEEKDAY(A1035,3))</f>
        <v>46195</v>
      </c>
      <c r="C1035" s="32" t="n">
        <f aca="false">IF(OR('Raw Orders'!C1032&lt;&gt;"Product",'Raw Orders'!K1032="Cancelled"),0,'Raw Orders'!G1032)</f>
        <v>0</v>
      </c>
      <c r="D1035" s="31" t="n">
        <f aca="false">IF(AND('Raw Orders'!C1032="Product",'Raw Orders'!K1032="Fulfilled",COUNTIFS('Raw Orders'!$A$2:$A1032,'Raw Orders'!A1032,'Raw Orders'!$C$2:$C1032,"Product",'Raw Orders'!$K$2:$K1032,"Fulfilled")=1),1,0)</f>
        <v>0</v>
      </c>
      <c r="E1035" s="31" t="n">
        <f aca="false">IF(AND('Raw Orders'!C1032="Product",'Raw Orders'!K1032="Fulfilled"),'Raw Orders'!E1032,0)</f>
        <v>0</v>
      </c>
      <c r="F1035" s="32" t="n">
        <f aca="false">IF('Raw Orders'!K1032="Refunded",'Raw Orders'!G1032,0)</f>
        <v>0</v>
      </c>
    </row>
    <row r="1036" customFormat="false" ht="15" hidden="false" customHeight="false" outlineLevel="0" collapsed="false">
      <c r="A1036" s="36" t="n">
        <f aca="false">IF('Raw Orders'!B1033="","",IF(MID('Raw Orders'!B1033,5,1)="-",DATE(VALUE(LEFT('Raw Orders'!B1033,4)),VALUE(MID('Raw Orders'!B1033,6,2)),VALUE(MID('Raw Orders'!B1033,9,2))),DATE(VALUE(MID('Raw Orders'!B1033,7,4)),VALUE(MID('Raw Orders'!B1033,4,2)),VALUE(LEFT('Raw Orders'!B1033,2)))))</f>
        <v>46201</v>
      </c>
      <c r="B1036" s="36" t="n">
        <f aca="false">IF(A1036="","",A1036-WEEKDAY(A1036,3))</f>
        <v>46195</v>
      </c>
      <c r="C1036" s="32" t="n">
        <f aca="false">IF(OR('Raw Orders'!C1033&lt;&gt;"Product",'Raw Orders'!K1033="Cancelled"),0,'Raw Orders'!G1033)</f>
        <v>0</v>
      </c>
      <c r="D1036" s="31" t="n">
        <f aca="false">IF(AND('Raw Orders'!C1033="Product",'Raw Orders'!K1033="Fulfilled",COUNTIFS('Raw Orders'!$A$2:$A1033,'Raw Orders'!A1033,'Raw Orders'!$C$2:$C1033,"Product",'Raw Orders'!$K$2:$K1033,"Fulfilled")=1),1,0)</f>
        <v>0</v>
      </c>
      <c r="E1036" s="31" t="n">
        <f aca="false">IF(AND('Raw Orders'!C1033="Product",'Raw Orders'!K1033="Fulfilled"),'Raw Orders'!E1033,0)</f>
        <v>0</v>
      </c>
      <c r="F1036" s="32" t="n">
        <f aca="false">IF('Raw Orders'!K1033="Refunded",'Raw Orders'!G1033,0)</f>
        <v>0</v>
      </c>
    </row>
    <row r="1037" customFormat="false" ht="15" hidden="false" customHeight="false" outlineLevel="0" collapsed="false">
      <c r="A1037" s="36" t="n">
        <f aca="false">IF('Raw Orders'!B1034="","",IF(MID('Raw Orders'!B1034,5,1)="-",DATE(VALUE(LEFT('Raw Orders'!B1034,4)),VALUE(MID('Raw Orders'!B1034,6,2)),VALUE(MID('Raw Orders'!B1034,9,2))),DATE(VALUE(MID('Raw Orders'!B1034,7,4)),VALUE(MID('Raw Orders'!B1034,4,2)),VALUE(LEFT('Raw Orders'!B1034,2)))))</f>
        <v>46201</v>
      </c>
      <c r="B1037" s="36" t="n">
        <f aca="false">IF(A1037="","",A1037-WEEKDAY(A1037,3))</f>
        <v>46195</v>
      </c>
      <c r="C1037" s="32" t="n">
        <f aca="false">IF(OR('Raw Orders'!C1034&lt;&gt;"Product",'Raw Orders'!K1034="Cancelled"),0,'Raw Orders'!G1034)</f>
        <v>178</v>
      </c>
      <c r="D1037" s="31" t="n">
        <f aca="false">IF(AND('Raw Orders'!C1034="Product",'Raw Orders'!K1034="Fulfilled",COUNTIFS('Raw Orders'!$A$2:$A1034,'Raw Orders'!A1034,'Raw Orders'!$C$2:$C1034,"Product",'Raw Orders'!$K$2:$K1034,"Fulfilled")=1),1,0)</f>
        <v>1</v>
      </c>
      <c r="E1037" s="31" t="n">
        <f aca="false">IF(AND('Raw Orders'!C1034="Product",'Raw Orders'!K1034="Fulfilled"),'Raw Orders'!E1034,0)</f>
        <v>2</v>
      </c>
      <c r="F1037" s="32" t="n">
        <f aca="false">IF('Raw Orders'!K1034="Refunded",'Raw Orders'!G1034,0)</f>
        <v>0</v>
      </c>
    </row>
    <row r="1038" customFormat="false" ht="15" hidden="false" customHeight="false" outlineLevel="0" collapsed="false">
      <c r="A1038" s="36" t="n">
        <f aca="false">IF('Raw Orders'!B1035="","",IF(MID('Raw Orders'!B1035,5,1)="-",DATE(VALUE(LEFT('Raw Orders'!B1035,4)),VALUE(MID('Raw Orders'!B1035,6,2)),VALUE(MID('Raw Orders'!B1035,9,2))),DATE(VALUE(MID('Raw Orders'!B1035,7,4)),VALUE(MID('Raw Orders'!B1035,4,2)),VALUE(LEFT('Raw Orders'!B1035,2)))))</f>
        <v>46201</v>
      </c>
      <c r="B1038" s="36" t="n">
        <f aca="false">IF(A1038="","",A1038-WEEKDAY(A1038,3))</f>
        <v>46195</v>
      </c>
      <c r="C1038" s="32" t="n">
        <f aca="false">IF(OR('Raw Orders'!C1035&lt;&gt;"Product",'Raw Orders'!K1035="Cancelled"),0,'Raw Orders'!G1035)</f>
        <v>-45</v>
      </c>
      <c r="D1038" s="31" t="n">
        <f aca="false">IF(AND('Raw Orders'!C1035="Product",'Raw Orders'!K1035="Fulfilled",COUNTIFS('Raw Orders'!$A$2:$A1035,'Raw Orders'!A1035,'Raw Orders'!$C$2:$C1035,"Product",'Raw Orders'!$K$2:$K1035,"Fulfilled")=1),1,0)</f>
        <v>0</v>
      </c>
      <c r="E1038" s="31" t="n">
        <f aca="false">IF(AND('Raw Orders'!C1035="Product",'Raw Orders'!K1035="Fulfilled"),'Raw Orders'!E1035,0)</f>
        <v>0</v>
      </c>
      <c r="F1038" s="32" t="n">
        <f aca="false">IF('Raw Orders'!K1035="Refunded",'Raw Orders'!G1035,0)</f>
        <v>-45</v>
      </c>
    </row>
    <row r="1039" customFormat="false" ht="15" hidden="false" customHeight="false" outlineLevel="0" collapsed="false">
      <c r="A1039" s="36" t="n">
        <f aca="false">IF('Raw Orders'!B1036="","",IF(MID('Raw Orders'!B1036,5,1)="-",DATE(VALUE(LEFT('Raw Orders'!B1036,4)),VALUE(MID('Raw Orders'!B1036,6,2)),VALUE(MID('Raw Orders'!B1036,9,2))),DATE(VALUE(MID('Raw Orders'!B1036,7,4)),VALUE(MID('Raw Orders'!B1036,4,2)),VALUE(LEFT('Raw Orders'!B1036,2)))))</f>
        <v>46202</v>
      </c>
      <c r="B1039" s="36" t="n">
        <f aca="false">IF(A1039="","",A1039-WEEKDAY(A1039,3))</f>
        <v>46202</v>
      </c>
      <c r="C1039" s="32" t="n">
        <f aca="false">IF(OR('Raw Orders'!C1036&lt;&gt;"Product",'Raw Orders'!K1036="Cancelled"),0,'Raw Orders'!G1036)</f>
        <v>150</v>
      </c>
      <c r="D1039" s="31" t="n">
        <f aca="false">IF(AND('Raw Orders'!C1036="Product",'Raw Orders'!K1036="Fulfilled",COUNTIFS('Raw Orders'!$A$2:$A1036,'Raw Orders'!A1036,'Raw Orders'!$C$2:$C1036,"Product",'Raw Orders'!$K$2:$K1036,"Fulfilled")=1),1,0)</f>
        <v>1</v>
      </c>
      <c r="E1039" s="31" t="n">
        <f aca="false">IF(AND('Raw Orders'!C1036="Product",'Raw Orders'!K1036="Fulfilled"),'Raw Orders'!E1036,0)</f>
        <v>2</v>
      </c>
      <c r="F1039" s="32" t="n">
        <f aca="false">IF('Raw Orders'!K1036="Refunded",'Raw Orders'!G1036,0)</f>
        <v>0</v>
      </c>
    </row>
    <row r="1040" customFormat="false" ht="15" hidden="false" customHeight="false" outlineLevel="0" collapsed="false">
      <c r="A1040" s="36" t="n">
        <f aca="false">IF('Raw Orders'!B1037="","",IF(MID('Raw Orders'!B1037,5,1)="-",DATE(VALUE(LEFT('Raw Orders'!B1037,4)),VALUE(MID('Raw Orders'!B1037,6,2)),VALUE(MID('Raw Orders'!B1037,9,2))),DATE(VALUE(MID('Raw Orders'!B1037,7,4)),VALUE(MID('Raw Orders'!B1037,4,2)),VALUE(LEFT('Raw Orders'!B1037,2)))))</f>
        <v>46202</v>
      </c>
      <c r="B1040" s="36" t="n">
        <f aca="false">IF(A1040="","",A1040-WEEKDAY(A1040,3))</f>
        <v>46202</v>
      </c>
      <c r="C1040" s="32" t="n">
        <f aca="false">IF(OR('Raw Orders'!C1037&lt;&gt;"Product",'Raw Orders'!K1037="Cancelled"),0,'Raw Orders'!G1037)</f>
        <v>90</v>
      </c>
      <c r="D1040" s="31" t="n">
        <f aca="false">IF(AND('Raw Orders'!C1037="Product",'Raw Orders'!K1037="Fulfilled",COUNTIFS('Raw Orders'!$A$2:$A1037,'Raw Orders'!A1037,'Raw Orders'!$C$2:$C1037,"Product",'Raw Orders'!$K$2:$K1037,"Fulfilled")=1),1,0)</f>
        <v>0</v>
      </c>
      <c r="E1040" s="31" t="n">
        <f aca="false">IF(AND('Raw Orders'!C1037="Product",'Raw Orders'!K1037="Fulfilled"),'Raw Orders'!E1037,0)</f>
        <v>2</v>
      </c>
      <c r="F1040" s="32" t="n">
        <f aca="false">IF('Raw Orders'!K1037="Refunded",'Raw Orders'!G1037,0)</f>
        <v>0</v>
      </c>
    </row>
    <row r="1041" customFormat="false" ht="15" hidden="false" customHeight="false" outlineLevel="0" collapsed="false">
      <c r="A1041" s="36" t="n">
        <f aca="false">IF('Raw Orders'!B1038="","",IF(MID('Raw Orders'!B1038,5,1)="-",DATE(VALUE(LEFT('Raw Orders'!B1038,4)),VALUE(MID('Raw Orders'!B1038,6,2)),VALUE(MID('Raw Orders'!B1038,9,2))),DATE(VALUE(MID('Raw Orders'!B1038,7,4)),VALUE(MID('Raw Orders'!B1038,4,2)),VALUE(LEFT('Raw Orders'!B1038,2)))))</f>
        <v>46202</v>
      </c>
      <c r="B1041" s="36" t="n">
        <f aca="false">IF(A1041="","",A1041-WEEKDAY(A1041,3))</f>
        <v>46202</v>
      </c>
      <c r="C1041" s="32" t="n">
        <f aca="false">IF(OR('Raw Orders'!C1038&lt;&gt;"Product",'Raw Orders'!K1038="Cancelled"),0,'Raw Orders'!G1038)</f>
        <v>0</v>
      </c>
      <c r="D1041" s="31" t="n">
        <f aca="false">IF(AND('Raw Orders'!C1038="Product",'Raw Orders'!K1038="Fulfilled",COUNTIFS('Raw Orders'!$A$2:$A1038,'Raw Orders'!A1038,'Raw Orders'!$C$2:$C1038,"Product",'Raw Orders'!$K$2:$K1038,"Fulfilled")=1),1,0)</f>
        <v>0</v>
      </c>
      <c r="E1041" s="31" t="n">
        <f aca="false">IF(AND('Raw Orders'!C1038="Product",'Raw Orders'!K1038="Fulfilled"),'Raw Orders'!E1038,0)</f>
        <v>0</v>
      </c>
      <c r="F1041" s="32" t="n">
        <f aca="false">IF('Raw Orders'!K1038="Refunded",'Raw Orders'!G1038,0)</f>
        <v>0</v>
      </c>
    </row>
    <row r="1042" customFormat="false" ht="15" hidden="false" customHeight="false" outlineLevel="0" collapsed="false">
      <c r="A1042" s="36" t="n">
        <f aca="false">IF('Raw Orders'!B1039="","",IF(MID('Raw Orders'!B1039,5,1)="-",DATE(VALUE(LEFT('Raw Orders'!B1039,4)),VALUE(MID('Raw Orders'!B1039,6,2)),VALUE(MID('Raw Orders'!B1039,9,2))),DATE(VALUE(MID('Raw Orders'!B1039,7,4)),VALUE(MID('Raw Orders'!B1039,4,2)),VALUE(LEFT('Raw Orders'!B1039,2)))))</f>
        <v>46202</v>
      </c>
      <c r="B1042" s="36" t="n">
        <f aca="false">IF(A1042="","",A1042-WEEKDAY(A1042,3))</f>
        <v>46202</v>
      </c>
      <c r="C1042" s="32" t="n">
        <f aca="false">IF(OR('Raw Orders'!C1039&lt;&gt;"Product",'Raw Orders'!K1039="Cancelled"),0,'Raw Orders'!G1039)</f>
        <v>66.3</v>
      </c>
      <c r="D1042" s="31" t="n">
        <f aca="false">IF(AND('Raw Orders'!C1039="Product",'Raw Orders'!K1039="Fulfilled",COUNTIFS('Raw Orders'!$A$2:$A1039,'Raw Orders'!A1039,'Raw Orders'!$C$2:$C1039,"Product",'Raw Orders'!$K$2:$K1039,"Fulfilled")=1),1,0)</f>
        <v>1</v>
      </c>
      <c r="E1042" s="31" t="n">
        <f aca="false">IF(AND('Raw Orders'!C1039="Product",'Raw Orders'!K1039="Fulfilled"),'Raw Orders'!E1039,0)</f>
        <v>3</v>
      </c>
      <c r="F1042" s="32" t="n">
        <f aca="false">IF('Raw Orders'!K1039="Refunded",'Raw Orders'!G1039,0)</f>
        <v>0</v>
      </c>
    </row>
    <row r="1043" customFormat="false" ht="15" hidden="false" customHeight="false" outlineLevel="0" collapsed="false">
      <c r="A1043" s="36" t="n">
        <f aca="false">IF('Raw Orders'!B1040="","",IF(MID('Raw Orders'!B1040,5,1)="-",DATE(VALUE(LEFT('Raw Orders'!B1040,4)),VALUE(MID('Raw Orders'!B1040,6,2)),VALUE(MID('Raw Orders'!B1040,9,2))),DATE(VALUE(MID('Raw Orders'!B1040,7,4)),VALUE(MID('Raw Orders'!B1040,4,2)),VALUE(LEFT('Raw Orders'!B1040,2)))))</f>
        <v>46202</v>
      </c>
      <c r="B1043" s="36" t="n">
        <f aca="false">IF(A1043="","",A1043-WEEKDAY(A1043,3))</f>
        <v>46202</v>
      </c>
      <c r="C1043" s="32" t="n">
        <f aca="false">IF(OR('Raw Orders'!C1040&lt;&gt;"Product",'Raw Orders'!K1040="Cancelled"),0,'Raw Orders'!G1040)</f>
        <v>150</v>
      </c>
      <c r="D1043" s="31" t="n">
        <f aca="false">IF(AND('Raw Orders'!C1040="Product",'Raw Orders'!K1040="Fulfilled",COUNTIFS('Raw Orders'!$A$2:$A1040,'Raw Orders'!A1040,'Raw Orders'!$C$2:$C1040,"Product",'Raw Orders'!$K$2:$K1040,"Fulfilled")=1),1,0)</f>
        <v>0</v>
      </c>
      <c r="E1043" s="31" t="n">
        <f aca="false">IF(AND('Raw Orders'!C1040="Product",'Raw Orders'!K1040="Fulfilled"),'Raw Orders'!E1040,0)</f>
        <v>2</v>
      </c>
      <c r="F1043" s="32" t="n">
        <f aca="false">IF('Raw Orders'!K1040="Refunded",'Raw Orders'!G1040,0)</f>
        <v>0</v>
      </c>
    </row>
    <row r="1044" customFormat="false" ht="15" hidden="false" customHeight="false" outlineLevel="0" collapsed="false">
      <c r="A1044" s="36" t="n">
        <f aca="false">IF('Raw Orders'!B1041="","",IF(MID('Raw Orders'!B1041,5,1)="-",DATE(VALUE(LEFT('Raw Orders'!B1041,4)),VALUE(MID('Raw Orders'!B1041,6,2)),VALUE(MID('Raw Orders'!B1041,9,2))),DATE(VALUE(MID('Raw Orders'!B1041,7,4)),VALUE(MID('Raw Orders'!B1041,4,2)),VALUE(LEFT('Raw Orders'!B1041,2)))))</f>
        <v>46202</v>
      </c>
      <c r="B1044" s="36" t="n">
        <f aca="false">IF(A1044="","",A1044-WEEKDAY(A1044,3))</f>
        <v>46202</v>
      </c>
      <c r="C1044" s="32" t="n">
        <f aca="false">IF(OR('Raw Orders'!C1041&lt;&gt;"Product",'Raw Orders'!K1041="Cancelled"),0,'Raw Orders'!G1041)</f>
        <v>0</v>
      </c>
      <c r="D1044" s="31" t="n">
        <f aca="false">IF(AND('Raw Orders'!C1041="Product",'Raw Orders'!K1041="Fulfilled",COUNTIFS('Raw Orders'!$A$2:$A1041,'Raw Orders'!A1041,'Raw Orders'!$C$2:$C1041,"Product",'Raw Orders'!$K$2:$K1041,"Fulfilled")=1),1,0)</f>
        <v>0</v>
      </c>
      <c r="E1044" s="31" t="n">
        <f aca="false">IF(AND('Raw Orders'!C1041="Product",'Raw Orders'!K1041="Fulfilled"),'Raw Orders'!E1041,0)</f>
        <v>0</v>
      </c>
      <c r="F1044" s="32" t="n">
        <f aca="false">IF('Raw Orders'!K1041="Refunded",'Raw Orders'!G1041,0)</f>
        <v>0</v>
      </c>
    </row>
    <row r="1045" customFormat="false" ht="15" hidden="false" customHeight="false" outlineLevel="0" collapsed="false">
      <c r="A1045" s="36" t="n">
        <f aca="false">IF('Raw Orders'!B1042="","",IF(MID('Raw Orders'!B1042,5,1)="-",DATE(VALUE(LEFT('Raw Orders'!B1042,4)),VALUE(MID('Raw Orders'!B1042,6,2)),VALUE(MID('Raw Orders'!B1042,9,2))),DATE(VALUE(MID('Raw Orders'!B1042,7,4)),VALUE(MID('Raw Orders'!B1042,4,2)),VALUE(LEFT('Raw Orders'!B1042,2)))))</f>
        <v>46202</v>
      </c>
      <c r="B1045" s="36" t="n">
        <f aca="false">IF(A1045="","",A1045-WEEKDAY(A1045,3))</f>
        <v>46202</v>
      </c>
      <c r="C1045" s="32" t="n">
        <f aca="false">IF(OR('Raw Orders'!C1042&lt;&gt;"Product",'Raw Orders'!K1042="Cancelled"),0,'Raw Orders'!G1042)</f>
        <v>0</v>
      </c>
      <c r="D1045" s="31" t="n">
        <f aca="false">IF(AND('Raw Orders'!C1042="Product",'Raw Orders'!K1042="Fulfilled",COUNTIFS('Raw Orders'!$A$2:$A1042,'Raw Orders'!A1042,'Raw Orders'!$C$2:$C1042,"Product",'Raw Orders'!$K$2:$K1042,"Fulfilled")=1),1,0)</f>
        <v>0</v>
      </c>
      <c r="E1045" s="31" t="n">
        <f aca="false">IF(AND('Raw Orders'!C1042="Product",'Raw Orders'!K1042="Fulfilled"),'Raw Orders'!E1042,0)</f>
        <v>0</v>
      </c>
      <c r="F1045" s="32" t="n">
        <f aca="false">IF('Raw Orders'!K1042="Refunded",'Raw Orders'!G1042,0)</f>
        <v>0</v>
      </c>
    </row>
    <row r="1046" customFormat="false" ht="15" hidden="false" customHeight="false" outlineLevel="0" collapsed="false">
      <c r="A1046" s="36" t="n">
        <f aca="false">IF('Raw Orders'!B1043="","",IF(MID('Raw Orders'!B1043,5,1)="-",DATE(VALUE(LEFT('Raw Orders'!B1043,4)),VALUE(MID('Raw Orders'!B1043,6,2)),VALUE(MID('Raw Orders'!B1043,9,2))),DATE(VALUE(MID('Raw Orders'!B1043,7,4)),VALUE(MID('Raw Orders'!B1043,4,2)),VALUE(LEFT('Raw Orders'!B1043,2)))))</f>
        <v>46202</v>
      </c>
      <c r="B1046" s="36" t="n">
        <f aca="false">IF(A1046="","",A1046-WEEKDAY(A1046,3))</f>
        <v>46202</v>
      </c>
      <c r="C1046" s="32" t="n">
        <f aca="false">IF(OR('Raw Orders'!C1043&lt;&gt;"Product",'Raw Orders'!K1043="Cancelled"),0,'Raw Orders'!G1043)</f>
        <v>89</v>
      </c>
      <c r="D1046" s="31" t="n">
        <f aca="false">IF(AND('Raw Orders'!C1043="Product",'Raw Orders'!K1043="Fulfilled",COUNTIFS('Raw Orders'!$A$2:$A1043,'Raw Orders'!A1043,'Raw Orders'!$C$2:$C1043,"Product",'Raw Orders'!$K$2:$K1043,"Fulfilled")=1),1,0)</f>
        <v>1</v>
      </c>
      <c r="E1046" s="31" t="n">
        <f aca="false">IF(AND('Raw Orders'!C1043="Product",'Raw Orders'!K1043="Fulfilled"),'Raw Orders'!E1043,0)</f>
        <v>1</v>
      </c>
      <c r="F1046" s="32" t="n">
        <f aca="false">IF('Raw Orders'!K1043="Refunded",'Raw Orders'!G1043,0)</f>
        <v>0</v>
      </c>
    </row>
    <row r="1047" customFormat="false" ht="15" hidden="false" customHeight="false" outlineLevel="0" collapsed="false">
      <c r="A1047" s="36" t="n">
        <f aca="false">IF('Raw Orders'!B1044="","",IF(MID('Raw Orders'!B1044,5,1)="-",DATE(VALUE(LEFT('Raw Orders'!B1044,4)),VALUE(MID('Raw Orders'!B1044,6,2)),VALUE(MID('Raw Orders'!B1044,9,2))),DATE(VALUE(MID('Raw Orders'!B1044,7,4)),VALUE(MID('Raw Orders'!B1044,4,2)),VALUE(LEFT('Raw Orders'!B1044,2)))))</f>
        <v>46202</v>
      </c>
      <c r="B1047" s="36" t="n">
        <f aca="false">IF(A1047="","",A1047-WEEKDAY(A1047,3))</f>
        <v>46202</v>
      </c>
      <c r="C1047" s="32" t="n">
        <f aca="false">IF(OR('Raw Orders'!C1044&lt;&gt;"Product",'Raw Orders'!K1044="Cancelled"),0,'Raw Orders'!G1044)</f>
        <v>90</v>
      </c>
      <c r="D1047" s="31" t="n">
        <f aca="false">IF(AND('Raw Orders'!C1044="Product",'Raw Orders'!K1044="Fulfilled",COUNTIFS('Raw Orders'!$A$2:$A1044,'Raw Orders'!A1044,'Raw Orders'!$C$2:$C1044,"Product",'Raw Orders'!$K$2:$K1044,"Fulfilled")=1),1,0)</f>
        <v>1</v>
      </c>
      <c r="E1047" s="31" t="n">
        <f aca="false">IF(AND('Raw Orders'!C1044="Product",'Raw Orders'!K1044="Fulfilled"),'Raw Orders'!E1044,0)</f>
        <v>2</v>
      </c>
      <c r="F1047" s="32" t="n">
        <f aca="false">IF('Raw Orders'!K1044="Refunded",'Raw Orders'!G1044,0)</f>
        <v>0</v>
      </c>
    </row>
    <row r="1048" customFormat="false" ht="15" hidden="false" customHeight="false" outlineLevel="0" collapsed="false">
      <c r="A1048" s="36" t="n">
        <f aca="false">IF('Raw Orders'!B1045="","",IF(MID('Raw Orders'!B1045,5,1)="-",DATE(VALUE(LEFT('Raw Orders'!B1045,4)),VALUE(MID('Raw Orders'!B1045,6,2)),VALUE(MID('Raw Orders'!B1045,9,2))),DATE(VALUE(MID('Raw Orders'!B1045,7,4)),VALUE(MID('Raw Orders'!B1045,4,2)),VALUE(LEFT('Raw Orders'!B1045,2)))))</f>
        <v>46202</v>
      </c>
      <c r="B1048" s="36" t="n">
        <f aca="false">IF(A1048="","",A1048-WEEKDAY(A1048,3))</f>
        <v>46202</v>
      </c>
      <c r="C1048" s="32" t="n">
        <f aca="false">IF(OR('Raw Orders'!C1045&lt;&gt;"Product",'Raw Orders'!K1045="Cancelled"),0,'Raw Orders'!G1045)</f>
        <v>45</v>
      </c>
      <c r="D1048" s="31" t="n">
        <f aca="false">IF(AND('Raw Orders'!C1045="Product",'Raw Orders'!K1045="Fulfilled",COUNTIFS('Raw Orders'!$A$2:$A1045,'Raw Orders'!A1045,'Raw Orders'!$C$2:$C1045,"Product",'Raw Orders'!$K$2:$K1045,"Fulfilled")=1),1,0)</f>
        <v>1</v>
      </c>
      <c r="E1048" s="31" t="n">
        <f aca="false">IF(AND('Raw Orders'!C1045="Product",'Raw Orders'!K1045="Fulfilled"),'Raw Orders'!E1045,0)</f>
        <v>1</v>
      </c>
      <c r="F1048" s="32" t="n">
        <f aca="false">IF('Raw Orders'!K1045="Refunded",'Raw Orders'!G1045,0)</f>
        <v>0</v>
      </c>
    </row>
    <row r="1049" customFormat="false" ht="15" hidden="false" customHeight="false" outlineLevel="0" collapsed="false">
      <c r="A1049" s="36" t="n">
        <f aca="false">IF('Raw Orders'!B1046="","",IF(MID('Raw Orders'!B1046,5,1)="-",DATE(VALUE(LEFT('Raw Orders'!B1046,4)),VALUE(MID('Raw Orders'!B1046,6,2)),VALUE(MID('Raw Orders'!B1046,9,2))),DATE(VALUE(MID('Raw Orders'!B1046,7,4)),VALUE(MID('Raw Orders'!B1046,4,2)),VALUE(LEFT('Raw Orders'!B1046,2)))))</f>
        <v>46202</v>
      </c>
      <c r="B1049" s="36" t="n">
        <f aca="false">IF(A1049="","",A1049-WEEKDAY(A1049,3))</f>
        <v>46202</v>
      </c>
      <c r="C1049" s="32" t="n">
        <f aca="false">IF(OR('Raw Orders'!C1046&lt;&gt;"Product",'Raw Orders'!K1046="Cancelled"),0,'Raw Orders'!G1046)</f>
        <v>75</v>
      </c>
      <c r="D1049" s="31" t="n">
        <f aca="false">IF(AND('Raw Orders'!C1046="Product",'Raw Orders'!K1046="Fulfilled",COUNTIFS('Raw Orders'!$A$2:$A1046,'Raw Orders'!A1046,'Raw Orders'!$C$2:$C1046,"Product",'Raw Orders'!$K$2:$K1046,"Fulfilled")=1),1,0)</f>
        <v>1</v>
      </c>
      <c r="E1049" s="31" t="n">
        <f aca="false">IF(AND('Raw Orders'!C1046="Product",'Raw Orders'!K1046="Fulfilled"),'Raw Orders'!E1046,0)</f>
        <v>1</v>
      </c>
      <c r="F1049" s="32" t="n">
        <f aca="false">IF('Raw Orders'!K1046="Refunded",'Raw Orders'!G1046,0)</f>
        <v>0</v>
      </c>
    </row>
    <row r="1050" customFormat="false" ht="15" hidden="false" customHeight="false" outlineLevel="0" collapsed="false">
      <c r="A1050" s="36" t="n">
        <f aca="false">IF('Raw Orders'!B1047="","",IF(MID('Raw Orders'!B1047,5,1)="-",DATE(VALUE(LEFT('Raw Orders'!B1047,4)),VALUE(MID('Raw Orders'!B1047,6,2)),VALUE(MID('Raw Orders'!B1047,9,2))),DATE(VALUE(MID('Raw Orders'!B1047,7,4)),VALUE(MID('Raw Orders'!B1047,4,2)),VALUE(LEFT('Raw Orders'!B1047,2)))))</f>
        <v>46202</v>
      </c>
      <c r="B1050" s="36" t="n">
        <f aca="false">IF(A1050="","",A1050-WEEKDAY(A1050,3))</f>
        <v>46202</v>
      </c>
      <c r="C1050" s="32" t="n">
        <f aca="false">IF(OR('Raw Orders'!C1047&lt;&gt;"Product",'Raw Orders'!K1047="Cancelled"),0,'Raw Orders'!G1047)</f>
        <v>356</v>
      </c>
      <c r="D1050" s="31" t="n">
        <f aca="false">IF(AND('Raw Orders'!C1047="Product",'Raw Orders'!K1047="Fulfilled",COUNTIFS('Raw Orders'!$A$2:$A1047,'Raw Orders'!A1047,'Raw Orders'!$C$2:$C1047,"Product",'Raw Orders'!$K$2:$K1047,"Fulfilled")=1),1,0)</f>
        <v>1</v>
      </c>
      <c r="E1050" s="31" t="n">
        <f aca="false">IF(AND('Raw Orders'!C1047="Product",'Raw Orders'!K1047="Fulfilled"),'Raw Orders'!E1047,0)</f>
        <v>4</v>
      </c>
      <c r="F1050" s="32" t="n">
        <f aca="false">IF('Raw Orders'!K1047="Refunded",'Raw Orders'!G1047,0)</f>
        <v>0</v>
      </c>
    </row>
    <row r="1051" customFormat="false" ht="15" hidden="false" customHeight="false" outlineLevel="0" collapsed="false">
      <c r="A1051" s="36" t="n">
        <f aca="false">IF('Raw Orders'!B1048="","",IF(MID('Raw Orders'!B1048,5,1)="-",DATE(VALUE(LEFT('Raw Orders'!B1048,4)),VALUE(MID('Raw Orders'!B1048,6,2)),VALUE(MID('Raw Orders'!B1048,9,2))),DATE(VALUE(MID('Raw Orders'!B1048,7,4)),VALUE(MID('Raw Orders'!B1048,4,2)),VALUE(LEFT('Raw Orders'!B1048,2)))))</f>
        <v>46202</v>
      </c>
      <c r="B1051" s="36" t="n">
        <f aca="false">IF(A1051="","",A1051-WEEKDAY(A1051,3))</f>
        <v>46202</v>
      </c>
      <c r="C1051" s="32" t="n">
        <f aca="false">IF(OR('Raw Orders'!C1048&lt;&gt;"Product",'Raw Orders'!K1048="Cancelled"),0,'Raw Orders'!G1048)</f>
        <v>70</v>
      </c>
      <c r="D1051" s="31" t="n">
        <f aca="false">IF(AND('Raw Orders'!C1048="Product",'Raw Orders'!K1048="Fulfilled",COUNTIFS('Raw Orders'!$A$2:$A1048,'Raw Orders'!A1048,'Raw Orders'!$C$2:$C1048,"Product",'Raw Orders'!$K$2:$K1048,"Fulfilled")=1),1,0)</f>
        <v>0</v>
      </c>
      <c r="E1051" s="31" t="n">
        <f aca="false">IF(AND('Raw Orders'!C1048="Product",'Raw Orders'!K1048="Fulfilled"),'Raw Orders'!E1048,0)</f>
        <v>2</v>
      </c>
      <c r="F1051" s="32" t="n">
        <f aca="false">IF('Raw Orders'!K1048="Refunded",'Raw Orders'!G1048,0)</f>
        <v>0</v>
      </c>
    </row>
    <row r="1052" customFormat="false" ht="15" hidden="false" customHeight="false" outlineLevel="0" collapsed="false">
      <c r="A1052" s="36" t="n">
        <f aca="false">IF('Raw Orders'!B1049="","",IF(MID('Raw Orders'!B1049,5,1)="-",DATE(VALUE(LEFT('Raw Orders'!B1049,4)),VALUE(MID('Raw Orders'!B1049,6,2)),VALUE(MID('Raw Orders'!B1049,9,2))),DATE(VALUE(MID('Raw Orders'!B1049,7,4)),VALUE(MID('Raw Orders'!B1049,4,2)),VALUE(LEFT('Raw Orders'!B1049,2)))))</f>
        <v>46203</v>
      </c>
      <c r="B1052" s="36" t="n">
        <f aca="false">IF(A1052="","",A1052-WEEKDAY(A1052,3))</f>
        <v>46202</v>
      </c>
      <c r="C1052" s="32" t="n">
        <f aca="false">IF(OR('Raw Orders'!C1049&lt;&gt;"Product",'Raw Orders'!K1049="Cancelled"),0,'Raw Orders'!G1049)</f>
        <v>0</v>
      </c>
      <c r="D1052" s="31" t="n">
        <f aca="false">IF(AND('Raw Orders'!C1049="Product",'Raw Orders'!K1049="Fulfilled",COUNTIFS('Raw Orders'!$A$2:$A1049,'Raw Orders'!A1049,'Raw Orders'!$C$2:$C1049,"Product",'Raw Orders'!$K$2:$K1049,"Fulfilled")=1),1,0)</f>
        <v>0</v>
      </c>
      <c r="E1052" s="31" t="n">
        <f aca="false">IF(AND('Raw Orders'!C1049="Product",'Raw Orders'!K1049="Fulfilled"),'Raw Orders'!E1049,0)</f>
        <v>0</v>
      </c>
      <c r="F1052" s="32" t="n">
        <f aca="false">IF('Raw Orders'!K1049="Refunded",'Raw Orders'!G1049,0)</f>
        <v>0</v>
      </c>
    </row>
    <row r="1053" customFormat="false" ht="15" hidden="false" customHeight="false" outlineLevel="0" collapsed="false">
      <c r="A1053" s="36" t="n">
        <f aca="false">IF('Raw Orders'!B1050="","",IF(MID('Raw Orders'!B1050,5,1)="-",DATE(VALUE(LEFT('Raw Orders'!B1050,4)),VALUE(MID('Raw Orders'!B1050,6,2)),VALUE(MID('Raw Orders'!B1050,9,2))),DATE(VALUE(MID('Raw Orders'!B1050,7,4)),VALUE(MID('Raw Orders'!B1050,4,2)),VALUE(LEFT('Raw Orders'!B1050,2)))))</f>
        <v>46203</v>
      </c>
      <c r="B1053" s="36" t="n">
        <f aca="false">IF(A1053="","",A1053-WEEKDAY(A1053,3))</f>
        <v>46202</v>
      </c>
      <c r="C1053" s="32" t="n">
        <f aca="false">IF(OR('Raw Orders'!C1050&lt;&gt;"Product",'Raw Orders'!K1050="Cancelled"),0,'Raw Orders'!G1050)</f>
        <v>178</v>
      </c>
      <c r="D1053" s="31" t="n">
        <f aca="false">IF(AND('Raw Orders'!C1050="Product",'Raw Orders'!K1050="Fulfilled",COUNTIFS('Raw Orders'!$A$2:$A1050,'Raw Orders'!A1050,'Raw Orders'!$C$2:$C1050,"Product",'Raw Orders'!$K$2:$K1050,"Fulfilled")=1),1,0)</f>
        <v>1</v>
      </c>
      <c r="E1053" s="31" t="n">
        <f aca="false">IF(AND('Raw Orders'!C1050="Product",'Raw Orders'!K1050="Fulfilled"),'Raw Orders'!E1050,0)</f>
        <v>2</v>
      </c>
      <c r="F1053" s="32" t="n">
        <f aca="false">IF('Raw Orders'!K1050="Refunded",'Raw Orders'!G1050,0)</f>
        <v>0</v>
      </c>
    </row>
    <row r="1054" customFormat="false" ht="15" hidden="false" customHeight="false" outlineLevel="0" collapsed="false">
      <c r="A1054" s="36" t="n">
        <f aca="false">IF('Raw Orders'!B1051="","",IF(MID('Raw Orders'!B1051,5,1)="-",DATE(VALUE(LEFT('Raw Orders'!B1051,4)),VALUE(MID('Raw Orders'!B1051,6,2)),VALUE(MID('Raw Orders'!B1051,9,2))),DATE(VALUE(MID('Raw Orders'!B1051,7,4)),VALUE(MID('Raw Orders'!B1051,4,2)),VALUE(LEFT('Raw Orders'!B1051,2)))))</f>
        <v>46203</v>
      </c>
      <c r="B1054" s="36" t="n">
        <f aca="false">IF(A1054="","",A1054-WEEKDAY(A1054,3))</f>
        <v>46202</v>
      </c>
      <c r="C1054" s="32" t="n">
        <f aca="false">IF(OR('Raw Orders'!C1051&lt;&gt;"Product",'Raw Orders'!K1051="Cancelled"),0,'Raw Orders'!G1051)</f>
        <v>32</v>
      </c>
      <c r="D1054" s="31" t="n">
        <f aca="false">IF(AND('Raw Orders'!C1051="Product",'Raw Orders'!K1051="Fulfilled",COUNTIFS('Raw Orders'!$A$2:$A1051,'Raw Orders'!A1051,'Raw Orders'!$C$2:$C1051,"Product",'Raw Orders'!$K$2:$K1051,"Fulfilled")=1),1,0)</f>
        <v>0</v>
      </c>
      <c r="E1054" s="31" t="n">
        <f aca="false">IF(AND('Raw Orders'!C1051="Product",'Raw Orders'!K1051="Fulfilled"),'Raw Orders'!E1051,0)</f>
        <v>1</v>
      </c>
      <c r="F1054" s="32" t="n">
        <f aca="false">IF('Raw Orders'!K1051="Refunded",'Raw Orders'!G1051,0)</f>
        <v>0</v>
      </c>
    </row>
    <row r="1055" customFormat="false" ht="15" hidden="false" customHeight="false" outlineLevel="0" collapsed="false">
      <c r="A1055" s="36" t="n">
        <f aca="false">IF('Raw Orders'!B1052="","",IF(MID('Raw Orders'!B1052,5,1)="-",DATE(VALUE(LEFT('Raw Orders'!B1052,4)),VALUE(MID('Raw Orders'!B1052,6,2)),VALUE(MID('Raw Orders'!B1052,9,2))),DATE(VALUE(MID('Raw Orders'!B1052,7,4)),VALUE(MID('Raw Orders'!B1052,4,2)),VALUE(LEFT('Raw Orders'!B1052,2)))))</f>
        <v>46203</v>
      </c>
      <c r="B1055" s="36" t="n">
        <f aca="false">IF(A1055="","",A1055-WEEKDAY(A1055,3))</f>
        <v>46202</v>
      </c>
      <c r="C1055" s="32" t="n">
        <f aca="false">IF(OR('Raw Orders'!C1052&lt;&gt;"Product",'Raw Orders'!K1052="Cancelled"),0,'Raw Orders'!G1052)</f>
        <v>0</v>
      </c>
      <c r="D1055" s="31" t="n">
        <f aca="false">IF(AND('Raw Orders'!C1052="Product",'Raw Orders'!K1052="Fulfilled",COUNTIFS('Raw Orders'!$A$2:$A1052,'Raw Orders'!A1052,'Raw Orders'!$C$2:$C1052,"Product",'Raw Orders'!$K$2:$K1052,"Fulfilled")=1),1,0)</f>
        <v>0</v>
      </c>
      <c r="E1055" s="31" t="n">
        <f aca="false">IF(AND('Raw Orders'!C1052="Product",'Raw Orders'!K1052="Fulfilled"),'Raw Orders'!E1052,0)</f>
        <v>0</v>
      </c>
      <c r="F1055" s="32" t="n">
        <f aca="false">IF('Raw Orders'!K1052="Refunded",'Raw Orders'!G1052,0)</f>
        <v>0</v>
      </c>
    </row>
    <row r="1056" customFormat="false" ht="15" hidden="false" customHeight="false" outlineLevel="0" collapsed="false">
      <c r="A1056" s="36" t="n">
        <f aca="false">IF('Raw Orders'!B1053="","",IF(MID('Raw Orders'!B1053,5,1)="-",DATE(VALUE(LEFT('Raw Orders'!B1053,4)),VALUE(MID('Raw Orders'!B1053,6,2)),VALUE(MID('Raw Orders'!B1053,9,2))),DATE(VALUE(MID('Raw Orders'!B1053,7,4)),VALUE(MID('Raw Orders'!B1053,4,2)),VALUE(LEFT('Raw Orders'!B1053,2)))))</f>
        <v>46203</v>
      </c>
      <c r="B1056" s="36" t="n">
        <f aca="false">IF(A1056="","",A1056-WEEKDAY(A1056,3))</f>
        <v>46202</v>
      </c>
      <c r="C1056" s="32" t="n">
        <f aca="false">IF(OR('Raw Orders'!C1053&lt;&gt;"Product",'Raw Orders'!K1053="Cancelled"),0,'Raw Orders'!G1053)</f>
        <v>39</v>
      </c>
      <c r="D1056" s="31" t="n">
        <f aca="false">IF(AND('Raw Orders'!C1053="Product",'Raw Orders'!K1053="Fulfilled",COUNTIFS('Raw Orders'!$A$2:$A1053,'Raw Orders'!A1053,'Raw Orders'!$C$2:$C1053,"Product",'Raw Orders'!$K$2:$K1053,"Fulfilled")=1),1,0)</f>
        <v>1</v>
      </c>
      <c r="E1056" s="31" t="n">
        <f aca="false">IF(AND('Raw Orders'!C1053="Product",'Raw Orders'!K1053="Fulfilled"),'Raw Orders'!E1053,0)</f>
        <v>1</v>
      </c>
      <c r="F1056" s="32" t="n">
        <f aca="false">IF('Raw Orders'!K1053="Refunded",'Raw Orders'!G1053,0)</f>
        <v>0</v>
      </c>
    </row>
    <row r="1057" customFormat="false" ht="15" hidden="false" customHeight="false" outlineLevel="0" collapsed="false">
      <c r="A1057" s="36" t="n">
        <f aca="false">IF('Raw Orders'!B1054="","",IF(MID('Raw Orders'!B1054,5,1)="-",DATE(VALUE(LEFT('Raw Orders'!B1054,4)),VALUE(MID('Raw Orders'!B1054,6,2)),VALUE(MID('Raw Orders'!B1054,9,2))),DATE(VALUE(MID('Raw Orders'!B1054,7,4)),VALUE(MID('Raw Orders'!B1054,4,2)),VALUE(LEFT('Raw Orders'!B1054,2)))))</f>
        <v>46203</v>
      </c>
      <c r="B1057" s="36" t="n">
        <f aca="false">IF(A1057="","",A1057-WEEKDAY(A1057,3))</f>
        <v>46202</v>
      </c>
      <c r="C1057" s="32" t="n">
        <f aca="false">IF(OR('Raw Orders'!C1054&lt;&gt;"Product",'Raw Orders'!K1054="Cancelled"),0,'Raw Orders'!G1054)</f>
        <v>0</v>
      </c>
      <c r="D1057" s="31" t="n">
        <f aca="false">IF(AND('Raw Orders'!C1054="Product",'Raw Orders'!K1054="Fulfilled",COUNTIFS('Raw Orders'!$A$2:$A1054,'Raw Orders'!A1054,'Raw Orders'!$C$2:$C1054,"Product",'Raw Orders'!$K$2:$K1054,"Fulfilled")=1),1,0)</f>
        <v>0</v>
      </c>
      <c r="E1057" s="31" t="n">
        <f aca="false">IF(AND('Raw Orders'!C1054="Product",'Raw Orders'!K1054="Fulfilled"),'Raw Orders'!E1054,0)</f>
        <v>0</v>
      </c>
      <c r="F1057" s="32" t="n">
        <f aca="false">IF('Raw Orders'!K1054="Refunded",'Raw Orders'!G1054,0)</f>
        <v>0</v>
      </c>
    </row>
    <row r="1058" customFormat="false" ht="15" hidden="false" customHeight="false" outlineLevel="0" collapsed="false">
      <c r="A1058" s="36" t="n">
        <f aca="false">IF('Raw Orders'!B1055="","",IF(MID('Raw Orders'!B1055,5,1)="-",DATE(VALUE(LEFT('Raw Orders'!B1055,4)),VALUE(MID('Raw Orders'!B1055,6,2)),VALUE(MID('Raw Orders'!B1055,9,2))),DATE(VALUE(MID('Raw Orders'!B1055,7,4)),VALUE(MID('Raw Orders'!B1055,4,2)),VALUE(LEFT('Raw Orders'!B1055,2)))))</f>
        <v>46203</v>
      </c>
      <c r="B1058" s="36" t="n">
        <f aca="false">IF(A1058="","",A1058-WEEKDAY(A1058,3))</f>
        <v>46202</v>
      </c>
      <c r="C1058" s="32" t="n">
        <f aca="false">IF(OR('Raw Orders'!C1055&lt;&gt;"Product",'Raw Orders'!K1055="Cancelled"),0,'Raw Orders'!G1055)</f>
        <v>29</v>
      </c>
      <c r="D1058" s="31" t="n">
        <f aca="false">IF(AND('Raw Orders'!C1055="Product",'Raw Orders'!K1055="Fulfilled",COUNTIFS('Raw Orders'!$A$2:$A1055,'Raw Orders'!A1055,'Raw Orders'!$C$2:$C1055,"Product",'Raw Orders'!$K$2:$K1055,"Fulfilled")=1),1,0)</f>
        <v>1</v>
      </c>
      <c r="E1058" s="31" t="n">
        <f aca="false">IF(AND('Raw Orders'!C1055="Product",'Raw Orders'!K1055="Fulfilled"),'Raw Orders'!E1055,0)</f>
        <v>1</v>
      </c>
      <c r="F1058" s="32" t="n">
        <f aca="false">IF('Raw Orders'!K1055="Refunded",'Raw Orders'!G1055,0)</f>
        <v>0</v>
      </c>
    </row>
    <row r="1059" customFormat="false" ht="15" hidden="false" customHeight="false" outlineLevel="0" collapsed="false">
      <c r="A1059" s="36" t="n">
        <f aca="false">IF('Raw Orders'!B1056="","",IF(MID('Raw Orders'!B1056,5,1)="-",DATE(VALUE(LEFT('Raw Orders'!B1056,4)),VALUE(MID('Raw Orders'!B1056,6,2)),VALUE(MID('Raw Orders'!B1056,9,2))),DATE(VALUE(MID('Raw Orders'!B1056,7,4)),VALUE(MID('Raw Orders'!B1056,4,2)),VALUE(LEFT('Raw Orders'!B1056,2)))))</f>
        <v>46203</v>
      </c>
      <c r="B1059" s="36" t="n">
        <f aca="false">IF(A1059="","",A1059-WEEKDAY(A1059,3))</f>
        <v>46202</v>
      </c>
      <c r="C1059" s="32" t="n">
        <f aca="false">IF(OR('Raw Orders'!C1056&lt;&gt;"Product",'Raw Orders'!K1056="Cancelled"),0,'Raw Orders'!G1056)</f>
        <v>0</v>
      </c>
      <c r="D1059" s="31" t="n">
        <f aca="false">IF(AND('Raw Orders'!C1056="Product",'Raw Orders'!K1056="Fulfilled",COUNTIFS('Raw Orders'!$A$2:$A1056,'Raw Orders'!A1056,'Raw Orders'!$C$2:$C1056,"Product",'Raw Orders'!$K$2:$K1056,"Fulfilled")=1),1,0)</f>
        <v>0</v>
      </c>
      <c r="E1059" s="31" t="n">
        <f aca="false">IF(AND('Raw Orders'!C1056="Product",'Raw Orders'!K1056="Fulfilled"),'Raw Orders'!E1056,0)</f>
        <v>0</v>
      </c>
      <c r="F1059" s="32" t="n">
        <f aca="false">IF('Raw Orders'!K1056="Refunded",'Raw Orders'!G1056,0)</f>
        <v>0</v>
      </c>
    </row>
    <row r="1060" customFormat="false" ht="15" hidden="false" customHeight="false" outlineLevel="0" collapsed="false">
      <c r="A1060" s="36" t="n">
        <f aca="false">IF('Raw Orders'!B1057="","",IF(MID('Raw Orders'!B1057,5,1)="-",DATE(VALUE(LEFT('Raw Orders'!B1057,4)),VALUE(MID('Raw Orders'!B1057,6,2)),VALUE(MID('Raw Orders'!B1057,9,2))),DATE(VALUE(MID('Raw Orders'!B1057,7,4)),VALUE(MID('Raw Orders'!B1057,4,2)),VALUE(LEFT('Raw Orders'!B1057,2)))))</f>
        <v>46203</v>
      </c>
      <c r="B1060" s="36" t="n">
        <f aca="false">IF(A1060="","",A1060-WEEKDAY(A1060,3))</f>
        <v>46202</v>
      </c>
      <c r="C1060" s="32" t="n">
        <f aca="false">IF(OR('Raw Orders'!C1057&lt;&gt;"Product",'Raw Orders'!K1057="Cancelled"),0,'Raw Orders'!G1057)</f>
        <v>39</v>
      </c>
      <c r="D1060" s="31" t="n">
        <f aca="false">IF(AND('Raw Orders'!C1057="Product",'Raw Orders'!K1057="Fulfilled",COUNTIFS('Raw Orders'!$A$2:$A1057,'Raw Orders'!A1057,'Raw Orders'!$C$2:$C1057,"Product",'Raw Orders'!$K$2:$K1057,"Fulfilled")=1),1,0)</f>
        <v>1</v>
      </c>
      <c r="E1060" s="31" t="n">
        <f aca="false">IF(AND('Raw Orders'!C1057="Product",'Raw Orders'!K1057="Fulfilled"),'Raw Orders'!E1057,0)</f>
        <v>1</v>
      </c>
      <c r="F1060" s="32" t="n">
        <f aca="false">IF('Raw Orders'!K1057="Refunded",'Raw Orders'!G1057,0)</f>
        <v>0</v>
      </c>
    </row>
    <row r="1061" customFormat="false" ht="15" hidden="false" customHeight="false" outlineLevel="0" collapsed="false">
      <c r="A1061" s="36" t="n">
        <f aca="false">IF('Raw Orders'!B1058="","",IF(MID('Raw Orders'!B1058,5,1)="-",DATE(VALUE(LEFT('Raw Orders'!B1058,4)),VALUE(MID('Raw Orders'!B1058,6,2)),VALUE(MID('Raw Orders'!B1058,9,2))),DATE(VALUE(MID('Raw Orders'!B1058,7,4)),VALUE(MID('Raw Orders'!B1058,4,2)),VALUE(LEFT('Raw Orders'!B1058,2)))))</f>
        <v>46203</v>
      </c>
      <c r="B1061" s="36" t="n">
        <f aca="false">IF(A1061="","",A1061-WEEKDAY(A1061,3))</f>
        <v>46202</v>
      </c>
      <c r="C1061" s="32" t="n">
        <f aca="false">IF(OR('Raw Orders'!C1058&lt;&gt;"Product",'Raw Orders'!K1058="Cancelled"),0,'Raw Orders'!G1058)</f>
        <v>0</v>
      </c>
      <c r="D1061" s="31" t="n">
        <f aca="false">IF(AND('Raw Orders'!C1058="Product",'Raw Orders'!K1058="Fulfilled",COUNTIFS('Raw Orders'!$A$2:$A1058,'Raw Orders'!A1058,'Raw Orders'!$C$2:$C1058,"Product",'Raw Orders'!$K$2:$K1058,"Fulfilled")=1),1,0)</f>
        <v>0</v>
      </c>
      <c r="E1061" s="31" t="n">
        <f aca="false">IF(AND('Raw Orders'!C1058="Product",'Raw Orders'!K1058="Fulfilled"),'Raw Orders'!E1058,0)</f>
        <v>0</v>
      </c>
      <c r="F1061" s="32" t="n">
        <f aca="false">IF('Raw Orders'!K1058="Refunded",'Raw Orders'!G1058,0)</f>
        <v>0</v>
      </c>
    </row>
    <row r="1062" customFormat="false" ht="15" hidden="false" customHeight="false" outlineLevel="0" collapsed="false">
      <c r="A1062" s="36" t="n">
        <f aca="false">IF('Raw Orders'!B1059="","",IF(MID('Raw Orders'!B1059,5,1)="-",DATE(VALUE(LEFT('Raw Orders'!B1059,4)),VALUE(MID('Raw Orders'!B1059,6,2)),VALUE(MID('Raw Orders'!B1059,9,2))),DATE(VALUE(MID('Raw Orders'!B1059,7,4)),VALUE(MID('Raw Orders'!B1059,4,2)),VALUE(LEFT('Raw Orders'!B1059,2)))))</f>
        <v>46203</v>
      </c>
      <c r="B1062" s="36" t="n">
        <f aca="false">IF(A1062="","",A1062-WEEKDAY(A1062,3))</f>
        <v>46202</v>
      </c>
      <c r="C1062" s="32" t="n">
        <f aca="false">IF(OR('Raw Orders'!C1059&lt;&gt;"Product",'Raw Orders'!K1059="Cancelled"),0,'Raw Orders'!G1059)</f>
        <v>29</v>
      </c>
      <c r="D1062" s="31" t="n">
        <f aca="false">IF(AND('Raw Orders'!C1059="Product",'Raw Orders'!K1059="Fulfilled",COUNTIFS('Raw Orders'!$A$2:$A1059,'Raw Orders'!A1059,'Raw Orders'!$C$2:$C1059,"Product",'Raw Orders'!$K$2:$K1059,"Fulfilled")=1),1,0)</f>
        <v>0</v>
      </c>
      <c r="E1062" s="31" t="n">
        <f aca="false">IF(AND('Raw Orders'!C1059="Product",'Raw Orders'!K1059="Fulfilled"),'Raw Orders'!E1059,0)</f>
        <v>1</v>
      </c>
      <c r="F1062" s="32" t="n">
        <f aca="false">IF('Raw Orders'!K1059="Refunded",'Raw Orders'!G1059,0)</f>
        <v>0</v>
      </c>
    </row>
    <row r="1063" customFormat="false" ht="15" hidden="false" customHeight="false" outlineLevel="0" collapsed="false">
      <c r="A1063" s="36" t="n">
        <f aca="false">IF('Raw Orders'!B1060="","",IF(MID('Raw Orders'!B1060,5,1)="-",DATE(VALUE(LEFT('Raw Orders'!B1060,4)),VALUE(MID('Raw Orders'!B1060,6,2)),VALUE(MID('Raw Orders'!B1060,9,2))),DATE(VALUE(MID('Raw Orders'!B1060,7,4)),VALUE(MID('Raw Orders'!B1060,4,2)),VALUE(LEFT('Raw Orders'!B1060,2)))))</f>
        <v>46203</v>
      </c>
      <c r="B1063" s="36" t="n">
        <f aca="false">IF(A1063="","",A1063-WEEKDAY(A1063,3))</f>
        <v>46202</v>
      </c>
      <c r="C1063" s="32" t="n">
        <f aca="false">IF(OR('Raw Orders'!C1060&lt;&gt;"Product",'Raw Orders'!K1060="Cancelled"),0,'Raw Orders'!G1060)</f>
        <v>29</v>
      </c>
      <c r="D1063" s="31" t="n">
        <f aca="false">IF(AND('Raw Orders'!C1060="Product",'Raw Orders'!K1060="Fulfilled",COUNTIFS('Raw Orders'!$A$2:$A1060,'Raw Orders'!A1060,'Raw Orders'!$C$2:$C1060,"Product",'Raw Orders'!$K$2:$K1060,"Fulfilled")=1),1,0)</f>
        <v>1</v>
      </c>
      <c r="E1063" s="31" t="n">
        <f aca="false">IF(AND('Raw Orders'!C1060="Product",'Raw Orders'!K1060="Fulfilled"),'Raw Orders'!E1060,0)</f>
        <v>1</v>
      </c>
      <c r="F1063" s="32" t="n">
        <f aca="false">IF('Raw Orders'!K1060="Refunded",'Raw Orders'!G1060,0)</f>
        <v>0</v>
      </c>
    </row>
    <row r="1064" customFormat="false" ht="15" hidden="false" customHeight="false" outlineLevel="0" collapsed="false">
      <c r="A1064" s="36" t="n">
        <f aca="false">IF('Raw Orders'!B1061="","",IF(MID('Raw Orders'!B1061,5,1)="-",DATE(VALUE(LEFT('Raw Orders'!B1061,4)),VALUE(MID('Raw Orders'!B1061,6,2)),VALUE(MID('Raw Orders'!B1061,9,2))),DATE(VALUE(MID('Raw Orders'!B1061,7,4)),VALUE(MID('Raw Orders'!B1061,4,2)),VALUE(LEFT('Raw Orders'!B1061,2)))))</f>
        <v>46203</v>
      </c>
      <c r="B1064" s="36" t="n">
        <f aca="false">IF(A1064="","",A1064-WEEKDAY(A1064,3))</f>
        <v>46202</v>
      </c>
      <c r="C1064" s="32" t="n">
        <f aca="false">IF(OR('Raw Orders'!C1061&lt;&gt;"Product",'Raw Orders'!K1061="Cancelled"),0,'Raw Orders'!G1061)</f>
        <v>26</v>
      </c>
      <c r="D1064" s="31" t="n">
        <f aca="false">IF(AND('Raw Orders'!C1061="Product",'Raw Orders'!K1061="Fulfilled",COUNTIFS('Raw Orders'!$A$2:$A1061,'Raw Orders'!A1061,'Raw Orders'!$C$2:$C1061,"Product",'Raw Orders'!$K$2:$K1061,"Fulfilled")=1),1,0)</f>
        <v>1</v>
      </c>
      <c r="E1064" s="31" t="n">
        <f aca="false">IF(AND('Raw Orders'!C1061="Product",'Raw Orders'!K1061="Fulfilled"),'Raw Orders'!E1061,0)</f>
        <v>1</v>
      </c>
      <c r="F1064" s="32" t="n">
        <f aca="false">IF('Raw Orders'!K1061="Refunded",'Raw Orders'!G1061,0)</f>
        <v>0</v>
      </c>
    </row>
    <row r="1065" customFormat="false" ht="15" hidden="false" customHeight="false" outlineLevel="0" collapsed="false">
      <c r="A1065" s="36" t="n">
        <f aca="false">IF('Raw Orders'!B1062="","",IF(MID('Raw Orders'!B1062,5,1)="-",DATE(VALUE(LEFT('Raw Orders'!B1062,4)),VALUE(MID('Raw Orders'!B1062,6,2)),VALUE(MID('Raw Orders'!B1062,9,2))),DATE(VALUE(MID('Raw Orders'!B1062,7,4)),VALUE(MID('Raw Orders'!B1062,4,2)),VALUE(LEFT('Raw Orders'!B1062,2)))))</f>
        <v>46203</v>
      </c>
      <c r="B1065" s="36" t="n">
        <f aca="false">IF(A1065="","",A1065-WEEKDAY(A1065,3))</f>
        <v>46202</v>
      </c>
      <c r="C1065" s="32" t="n">
        <f aca="false">IF(OR('Raw Orders'!C1062&lt;&gt;"Product",'Raw Orders'!K1062="Cancelled"),0,'Raw Orders'!G1062)</f>
        <v>71.2</v>
      </c>
      <c r="D1065" s="31" t="n">
        <f aca="false">IF(AND('Raw Orders'!C1062="Product",'Raw Orders'!K1062="Fulfilled",COUNTIFS('Raw Orders'!$A$2:$A1062,'Raw Orders'!A1062,'Raw Orders'!$C$2:$C1062,"Product",'Raw Orders'!$K$2:$K1062,"Fulfilled")=1),1,0)</f>
        <v>0</v>
      </c>
      <c r="E1065" s="31" t="n">
        <f aca="false">IF(AND('Raw Orders'!C1062="Product",'Raw Orders'!K1062="Fulfilled"),'Raw Orders'!E1062,0)</f>
        <v>1</v>
      </c>
      <c r="F1065" s="32" t="n">
        <f aca="false">IF('Raw Orders'!K1062="Refunded",'Raw Orders'!G1062,0)</f>
        <v>0</v>
      </c>
    </row>
    <row r="1066" customFormat="false" ht="15" hidden="false" customHeight="false" outlineLevel="0" collapsed="false">
      <c r="A1066" s="36" t="n">
        <f aca="false">IF('Raw Orders'!B1063="","",IF(MID('Raw Orders'!B1063,5,1)="-",DATE(VALUE(LEFT('Raw Orders'!B1063,4)),VALUE(MID('Raw Orders'!B1063,6,2)),VALUE(MID('Raw Orders'!B1063,9,2))),DATE(VALUE(MID('Raw Orders'!B1063,7,4)),VALUE(MID('Raw Orders'!B1063,4,2)),VALUE(LEFT('Raw Orders'!B1063,2)))))</f>
        <v>46203</v>
      </c>
      <c r="B1066" s="36" t="n">
        <f aca="false">IF(A1066="","",A1066-WEEKDAY(A1066,3))</f>
        <v>46202</v>
      </c>
      <c r="C1066" s="32" t="n">
        <f aca="false">IF(OR('Raw Orders'!C1063&lt;&gt;"Product",'Raw Orders'!K1063="Cancelled"),0,'Raw Orders'!G1063)</f>
        <v>26</v>
      </c>
      <c r="D1066" s="31" t="n">
        <f aca="false">IF(AND('Raw Orders'!C1063="Product",'Raw Orders'!K1063="Fulfilled",COUNTIFS('Raw Orders'!$A$2:$A1063,'Raw Orders'!A1063,'Raw Orders'!$C$2:$C1063,"Product",'Raw Orders'!$K$2:$K1063,"Fulfilled")=1),1,0)</f>
        <v>1</v>
      </c>
      <c r="E1066" s="31" t="n">
        <f aca="false">IF(AND('Raw Orders'!C1063="Product",'Raw Orders'!K1063="Fulfilled"),'Raw Orders'!E1063,0)</f>
        <v>1</v>
      </c>
      <c r="F1066" s="32" t="n">
        <f aca="false">IF('Raw Orders'!K1063="Refunded",'Raw Orders'!G1063,0)</f>
        <v>0</v>
      </c>
    </row>
    <row r="1067" customFormat="false" ht="15" hidden="false" customHeight="false" outlineLevel="0" collapsed="false">
      <c r="A1067" s="36" t="n">
        <f aca="false">IF('Raw Orders'!B1064="","",IF(MID('Raw Orders'!B1064,5,1)="-",DATE(VALUE(LEFT('Raw Orders'!B1064,4)),VALUE(MID('Raw Orders'!B1064,6,2)),VALUE(MID('Raw Orders'!B1064,9,2))),DATE(VALUE(MID('Raw Orders'!B1064,7,4)),VALUE(MID('Raw Orders'!B1064,4,2)),VALUE(LEFT('Raw Orders'!B1064,2)))))</f>
        <v>46203</v>
      </c>
      <c r="B1067" s="36" t="n">
        <f aca="false">IF(A1067="","",A1067-WEEKDAY(A1067,3))</f>
        <v>46202</v>
      </c>
      <c r="C1067" s="32" t="n">
        <f aca="false">IF(OR('Raw Orders'!C1064&lt;&gt;"Product",'Raw Orders'!K1064="Cancelled"),0,'Raw Orders'!G1064)</f>
        <v>0</v>
      </c>
      <c r="D1067" s="31" t="n">
        <f aca="false">IF(AND('Raw Orders'!C1064="Product",'Raw Orders'!K1064="Fulfilled",COUNTIFS('Raw Orders'!$A$2:$A1064,'Raw Orders'!A1064,'Raw Orders'!$C$2:$C1064,"Product",'Raw Orders'!$K$2:$K1064,"Fulfilled")=1),1,0)</f>
        <v>0</v>
      </c>
      <c r="E1067" s="31" t="n">
        <f aca="false">IF(AND('Raw Orders'!C1064="Product",'Raw Orders'!K1064="Fulfilled"),'Raw Orders'!E1064,0)</f>
        <v>0</v>
      </c>
      <c r="F1067" s="32" t="n">
        <f aca="false">IF('Raw Orders'!K1064="Refunded",'Raw Orders'!G1064,0)</f>
        <v>0</v>
      </c>
    </row>
    <row r="1068" customFormat="false" ht="15" hidden="false" customHeight="false" outlineLevel="0" collapsed="false">
      <c r="A1068" s="36" t="n">
        <f aca="false">IF('Raw Orders'!B1065="","",IF(MID('Raw Orders'!B1065,5,1)="-",DATE(VALUE(LEFT('Raw Orders'!B1065,4)),VALUE(MID('Raw Orders'!B1065,6,2)),VALUE(MID('Raw Orders'!B1065,9,2))),DATE(VALUE(MID('Raw Orders'!B1065,7,4)),VALUE(MID('Raw Orders'!B1065,4,2)),VALUE(LEFT('Raw Orders'!B1065,2)))))</f>
        <v>46203</v>
      </c>
      <c r="B1068" s="36" t="n">
        <f aca="false">IF(A1068="","",A1068-WEEKDAY(A1068,3))</f>
        <v>46202</v>
      </c>
      <c r="C1068" s="32" t="n">
        <f aca="false">IF(OR('Raw Orders'!C1065&lt;&gt;"Product",'Raw Orders'!K1065="Cancelled"),0,'Raw Orders'!G1065)</f>
        <v>89</v>
      </c>
      <c r="D1068" s="31" t="n">
        <f aca="false">IF(AND('Raw Orders'!C1065="Product",'Raw Orders'!K1065="Fulfilled",COUNTIFS('Raw Orders'!$A$2:$A1065,'Raw Orders'!A1065,'Raw Orders'!$C$2:$C1065,"Product",'Raw Orders'!$K$2:$K1065,"Fulfilled")=1),1,0)</f>
        <v>1</v>
      </c>
      <c r="E1068" s="31" t="n">
        <f aca="false">IF(AND('Raw Orders'!C1065="Product",'Raw Orders'!K1065="Fulfilled"),'Raw Orders'!E1065,0)</f>
        <v>1</v>
      </c>
      <c r="F1068" s="32" t="n">
        <f aca="false">IF('Raw Orders'!K1065="Refunded",'Raw Orders'!G1065,0)</f>
        <v>0</v>
      </c>
    </row>
    <row r="1069" customFormat="false" ht="15" hidden="false" customHeight="false" outlineLevel="0" collapsed="false">
      <c r="A1069" s="36" t="n">
        <f aca="false">IF('Raw Orders'!B1066="","",IF(MID('Raw Orders'!B1066,5,1)="-",DATE(VALUE(LEFT('Raw Orders'!B1066,4)),VALUE(MID('Raw Orders'!B1066,6,2)),VALUE(MID('Raw Orders'!B1066,9,2))),DATE(VALUE(MID('Raw Orders'!B1066,7,4)),VALUE(MID('Raw Orders'!B1066,4,2)),VALUE(LEFT('Raw Orders'!B1066,2)))))</f>
        <v>46203</v>
      </c>
      <c r="B1069" s="36" t="n">
        <f aca="false">IF(A1069="","",A1069-WEEKDAY(A1069,3))</f>
        <v>46202</v>
      </c>
      <c r="C1069" s="32" t="n">
        <f aca="false">IF(OR('Raw Orders'!C1066&lt;&gt;"Product",'Raw Orders'!K1066="Cancelled"),0,'Raw Orders'!G1066)</f>
        <v>0</v>
      </c>
      <c r="D1069" s="31" t="n">
        <f aca="false">IF(AND('Raw Orders'!C1066="Product",'Raw Orders'!K1066="Fulfilled",COUNTIFS('Raw Orders'!$A$2:$A1066,'Raw Orders'!A1066,'Raw Orders'!$C$2:$C1066,"Product",'Raw Orders'!$K$2:$K1066,"Fulfilled")=1),1,0)</f>
        <v>0</v>
      </c>
      <c r="E1069" s="31" t="n">
        <f aca="false">IF(AND('Raw Orders'!C1066="Product",'Raw Orders'!K1066="Fulfilled"),'Raw Orders'!E1066,0)</f>
        <v>0</v>
      </c>
      <c r="F1069" s="32" t="n">
        <f aca="false">IF('Raw Orders'!K1066="Refunded",'Raw Orders'!G1066,0)</f>
        <v>0</v>
      </c>
    </row>
    <row r="1070" customFormat="false" ht="15" hidden="false" customHeight="false" outlineLevel="0" collapsed="false">
      <c r="A1070" s="36" t="n">
        <f aca="false">IF('Raw Orders'!B1067="","",IF(MID('Raw Orders'!B1067,5,1)="-",DATE(VALUE(LEFT('Raw Orders'!B1067,4)),VALUE(MID('Raw Orders'!B1067,6,2)),VALUE(MID('Raw Orders'!B1067,9,2))),DATE(VALUE(MID('Raw Orders'!B1067,7,4)),VALUE(MID('Raw Orders'!B1067,4,2)),VALUE(LEFT('Raw Orders'!B1067,2)))))</f>
        <v>46203</v>
      </c>
      <c r="B1070" s="36" t="n">
        <f aca="false">IF(A1070="","",A1070-WEEKDAY(A1070,3))</f>
        <v>46202</v>
      </c>
      <c r="C1070" s="32" t="n">
        <f aca="false">IF(OR('Raw Orders'!C1067&lt;&gt;"Product",'Raw Orders'!K1067="Cancelled"),0,'Raw Orders'!G1067)</f>
        <v>0</v>
      </c>
      <c r="D1070" s="31" t="n">
        <f aca="false">IF(AND('Raw Orders'!C1067="Product",'Raw Orders'!K1067="Fulfilled",COUNTIFS('Raw Orders'!$A$2:$A1067,'Raw Orders'!A1067,'Raw Orders'!$C$2:$C1067,"Product",'Raw Orders'!$K$2:$K1067,"Fulfilled")=1),1,0)</f>
        <v>0</v>
      </c>
      <c r="E1070" s="31" t="n">
        <f aca="false">IF(AND('Raw Orders'!C1067="Product",'Raw Orders'!K1067="Fulfilled"),'Raw Orders'!E1067,0)</f>
        <v>0</v>
      </c>
      <c r="F1070" s="32" t="n">
        <f aca="false">IF('Raw Orders'!K1067="Refunded",'Raw Orders'!G1067,0)</f>
        <v>0</v>
      </c>
    </row>
    <row r="1071" customFormat="false" ht="15" hidden="false" customHeight="false" outlineLevel="0" collapsed="false">
      <c r="A1071" s="36" t="n">
        <f aca="false">IF('Raw Orders'!B1068="","",IF(MID('Raw Orders'!B1068,5,1)="-",DATE(VALUE(LEFT('Raw Orders'!B1068,4)),VALUE(MID('Raw Orders'!B1068,6,2)),VALUE(MID('Raw Orders'!B1068,9,2))),DATE(VALUE(MID('Raw Orders'!B1068,7,4)),VALUE(MID('Raw Orders'!B1068,4,2)),VALUE(LEFT('Raw Orders'!B1068,2)))))</f>
        <v>46203</v>
      </c>
      <c r="B1071" s="36" t="n">
        <f aca="false">IF(A1071="","",A1071-WEEKDAY(A1071,3))</f>
        <v>46202</v>
      </c>
      <c r="C1071" s="32" t="n">
        <f aca="false">IF(OR('Raw Orders'!C1068&lt;&gt;"Product",'Raw Orders'!K1068="Cancelled"),0,'Raw Orders'!G1068)</f>
        <v>117</v>
      </c>
      <c r="D1071" s="31" t="n">
        <f aca="false">IF(AND('Raw Orders'!C1068="Product",'Raw Orders'!K1068="Fulfilled",COUNTIFS('Raw Orders'!$A$2:$A1068,'Raw Orders'!A1068,'Raw Orders'!$C$2:$C1068,"Product",'Raw Orders'!$K$2:$K1068,"Fulfilled")=1),1,0)</f>
        <v>1</v>
      </c>
      <c r="E1071" s="31" t="n">
        <f aca="false">IF(AND('Raw Orders'!C1068="Product",'Raw Orders'!K1068="Fulfilled"),'Raw Orders'!E1068,0)</f>
        <v>3</v>
      </c>
      <c r="F1071" s="32" t="n">
        <f aca="false">IF('Raw Orders'!K1068="Refunded",'Raw Orders'!G1068,0)</f>
        <v>0</v>
      </c>
    </row>
    <row r="1072" customFormat="false" ht="15" hidden="false" customHeight="false" outlineLevel="0" collapsed="false">
      <c r="A1072" s="36" t="n">
        <f aca="false">IF('Raw Orders'!B1069="","",IF(MID('Raw Orders'!B1069,5,1)="-",DATE(VALUE(LEFT('Raw Orders'!B1069,4)),VALUE(MID('Raw Orders'!B1069,6,2)),VALUE(MID('Raw Orders'!B1069,9,2))),DATE(VALUE(MID('Raw Orders'!B1069,7,4)),VALUE(MID('Raw Orders'!B1069,4,2)),VALUE(LEFT('Raw Orders'!B1069,2)))))</f>
        <v>46203</v>
      </c>
      <c r="B1072" s="36" t="n">
        <f aca="false">IF(A1072="","",A1072-WEEKDAY(A1072,3))</f>
        <v>46202</v>
      </c>
      <c r="C1072" s="32" t="n">
        <f aca="false">IF(OR('Raw Orders'!C1069&lt;&gt;"Product",'Raw Orders'!K1069="Cancelled"),0,'Raw Orders'!G1069)</f>
        <v>0</v>
      </c>
      <c r="D1072" s="31" t="n">
        <f aca="false">IF(AND('Raw Orders'!C1069="Product",'Raw Orders'!K1069="Fulfilled",COUNTIFS('Raw Orders'!$A$2:$A1069,'Raw Orders'!A1069,'Raw Orders'!$C$2:$C1069,"Product",'Raw Orders'!$K$2:$K1069,"Fulfilled")=1),1,0)</f>
        <v>0</v>
      </c>
      <c r="E1072" s="31" t="n">
        <f aca="false">IF(AND('Raw Orders'!C1069="Product",'Raw Orders'!K1069="Fulfilled"),'Raw Orders'!E1069,0)</f>
        <v>0</v>
      </c>
      <c r="F1072" s="32" t="n">
        <f aca="false">IF('Raw Orders'!K1069="Refunded",'Raw Orders'!G1069,0)</f>
        <v>0</v>
      </c>
    </row>
    <row r="1073" customFormat="false" ht="15" hidden="false" customHeight="false" outlineLevel="0" collapsed="false">
      <c r="A1073" s="36" t="n">
        <f aca="false">IF('Raw Orders'!B1070="","",IF(MID('Raw Orders'!B1070,5,1)="-",DATE(VALUE(LEFT('Raw Orders'!B1070,4)),VALUE(MID('Raw Orders'!B1070,6,2)),VALUE(MID('Raw Orders'!B1070,9,2))),DATE(VALUE(MID('Raw Orders'!B1070,7,4)),VALUE(MID('Raw Orders'!B1070,4,2)),VALUE(LEFT('Raw Orders'!B1070,2)))))</f>
        <v>46203</v>
      </c>
      <c r="B1073" s="36" t="n">
        <f aca="false">IF(A1073="","",A1073-WEEKDAY(A1073,3))</f>
        <v>46202</v>
      </c>
      <c r="C1073" s="32" t="n">
        <f aca="false">IF(OR('Raw Orders'!C1070&lt;&gt;"Product",'Raw Orders'!K1070="Cancelled"),0,'Raw Orders'!G1070)</f>
        <v>29</v>
      </c>
      <c r="D1073" s="31" t="n">
        <f aca="false">IF(AND('Raw Orders'!C1070="Product",'Raw Orders'!K1070="Fulfilled",COUNTIFS('Raw Orders'!$A$2:$A1070,'Raw Orders'!A1070,'Raw Orders'!$C$2:$C1070,"Product",'Raw Orders'!$K$2:$K1070,"Fulfilled")=1),1,0)</f>
        <v>1</v>
      </c>
      <c r="E1073" s="31" t="n">
        <f aca="false">IF(AND('Raw Orders'!C1070="Product",'Raw Orders'!K1070="Fulfilled"),'Raw Orders'!E1070,0)</f>
        <v>1</v>
      </c>
      <c r="F1073" s="32" t="n">
        <f aca="false">IF('Raw Orders'!K1070="Refunded",'Raw Orders'!G1070,0)</f>
        <v>0</v>
      </c>
    </row>
    <row r="1074" customFormat="false" ht="15" hidden="false" customHeight="false" outlineLevel="0" collapsed="false">
      <c r="A1074" s="36" t="n">
        <f aca="false">IF('Raw Orders'!B1071="","",IF(MID('Raw Orders'!B1071,5,1)="-",DATE(VALUE(LEFT('Raw Orders'!B1071,4)),VALUE(MID('Raw Orders'!B1071,6,2)),VALUE(MID('Raw Orders'!B1071,9,2))),DATE(VALUE(MID('Raw Orders'!B1071,7,4)),VALUE(MID('Raw Orders'!B1071,4,2)),VALUE(LEFT('Raw Orders'!B1071,2)))))</f>
        <v>46203</v>
      </c>
      <c r="B1074" s="36" t="n">
        <f aca="false">IF(A1074="","",A1074-WEEKDAY(A1074,3))</f>
        <v>46202</v>
      </c>
      <c r="C1074" s="32" t="n">
        <f aca="false">IF(OR('Raw Orders'!C1071&lt;&gt;"Product",'Raw Orders'!K1071="Cancelled"),0,'Raw Orders'!G1071)</f>
        <v>64</v>
      </c>
      <c r="D1074" s="31" t="n">
        <f aca="false">IF(AND('Raw Orders'!C1071="Product",'Raw Orders'!K1071="Fulfilled",COUNTIFS('Raw Orders'!$A$2:$A1071,'Raw Orders'!A1071,'Raw Orders'!$C$2:$C1071,"Product",'Raw Orders'!$K$2:$K1071,"Fulfilled")=1),1,0)</f>
        <v>1</v>
      </c>
      <c r="E1074" s="31" t="n">
        <f aca="false">IF(AND('Raw Orders'!C1071="Product",'Raw Orders'!K1071="Fulfilled"),'Raw Orders'!E1071,0)</f>
        <v>2</v>
      </c>
      <c r="F1074" s="32" t="n">
        <f aca="false">IF('Raw Orders'!K1071="Refunded",'Raw Orders'!G1071,0)</f>
        <v>0</v>
      </c>
    </row>
    <row r="1075" customFormat="false" ht="15" hidden="false" customHeight="false" outlineLevel="0" collapsed="false">
      <c r="A1075" s="36" t="n">
        <f aca="false">IF('Raw Orders'!B1072="","",IF(MID('Raw Orders'!B1072,5,1)="-",DATE(VALUE(LEFT('Raw Orders'!B1072,4)),VALUE(MID('Raw Orders'!B1072,6,2)),VALUE(MID('Raw Orders'!B1072,9,2))),DATE(VALUE(MID('Raw Orders'!B1072,7,4)),VALUE(MID('Raw Orders'!B1072,4,2)),VALUE(LEFT('Raw Orders'!B1072,2)))))</f>
        <v>46203</v>
      </c>
      <c r="B1075" s="36" t="n">
        <f aca="false">IF(A1075="","",A1075-WEEKDAY(A1075,3))</f>
        <v>46202</v>
      </c>
      <c r="C1075" s="32" t="n">
        <f aca="false">IF(OR('Raw Orders'!C1072&lt;&gt;"Product",'Raw Orders'!K1072="Cancelled"),0,'Raw Orders'!G1072)</f>
        <v>28</v>
      </c>
      <c r="D1075" s="31" t="n">
        <f aca="false">IF(AND('Raw Orders'!C1072="Product",'Raw Orders'!K1072="Fulfilled",COUNTIFS('Raw Orders'!$A$2:$A1072,'Raw Orders'!A1072,'Raw Orders'!$C$2:$C1072,"Product",'Raw Orders'!$K$2:$K1072,"Fulfilled")=1),1,0)</f>
        <v>0</v>
      </c>
      <c r="E1075" s="31" t="n">
        <f aca="false">IF(AND('Raw Orders'!C1072="Product",'Raw Orders'!K1072="Fulfilled"),'Raw Orders'!E1072,0)</f>
        <v>2</v>
      </c>
      <c r="F1075" s="32" t="n">
        <f aca="false">IF('Raw Orders'!K1072="Refunded",'Raw Orders'!G1072,0)</f>
        <v>0</v>
      </c>
    </row>
    <row r="1076" customFormat="false" ht="15" hidden="false" customHeight="false" outlineLevel="0" collapsed="false">
      <c r="A1076" s="36" t="n">
        <f aca="false">IF('Raw Orders'!B1073="","",IF(MID('Raw Orders'!B1073,5,1)="-",DATE(VALUE(LEFT('Raw Orders'!B1073,4)),VALUE(MID('Raw Orders'!B1073,6,2)),VALUE(MID('Raw Orders'!B1073,9,2))),DATE(VALUE(MID('Raw Orders'!B1073,7,4)),VALUE(MID('Raw Orders'!B1073,4,2)),VALUE(LEFT('Raw Orders'!B1073,2)))))</f>
        <v>46203</v>
      </c>
      <c r="B1076" s="36" t="n">
        <f aca="false">IF(A1076="","",A1076-WEEKDAY(A1076,3))</f>
        <v>46202</v>
      </c>
      <c r="C1076" s="32" t="n">
        <f aca="false">IF(OR('Raw Orders'!C1073&lt;&gt;"Product",'Raw Orders'!K1073="Cancelled"),0,'Raw Orders'!G1073)</f>
        <v>29</v>
      </c>
      <c r="D1076" s="31" t="n">
        <f aca="false">IF(AND('Raw Orders'!C1073="Product",'Raw Orders'!K1073="Fulfilled",COUNTIFS('Raw Orders'!$A$2:$A1073,'Raw Orders'!A1073,'Raw Orders'!$C$2:$C1073,"Product",'Raw Orders'!$K$2:$K1073,"Fulfilled")=1),1,0)</f>
        <v>1</v>
      </c>
      <c r="E1076" s="31" t="n">
        <f aca="false">IF(AND('Raw Orders'!C1073="Product",'Raw Orders'!K1073="Fulfilled"),'Raw Orders'!E1073,0)</f>
        <v>1</v>
      </c>
      <c r="F1076" s="32" t="n">
        <f aca="false">IF('Raw Orders'!K1073="Refunded",'Raw Orders'!G1073,0)</f>
        <v>0</v>
      </c>
    </row>
    <row r="1077" customFormat="false" ht="15" hidden="false" customHeight="false" outlineLevel="0" collapsed="false">
      <c r="A1077" s="36" t="n">
        <f aca="false">IF('Raw Orders'!B1074="","",IF(MID('Raw Orders'!B1074,5,1)="-",DATE(VALUE(LEFT('Raw Orders'!B1074,4)),VALUE(MID('Raw Orders'!B1074,6,2)),VALUE(MID('Raw Orders'!B1074,9,2))),DATE(VALUE(MID('Raw Orders'!B1074,7,4)),VALUE(MID('Raw Orders'!B1074,4,2)),VALUE(LEFT('Raw Orders'!B1074,2)))))</f>
        <v>46203</v>
      </c>
      <c r="B1077" s="36" t="n">
        <f aca="false">IF(A1077="","",A1077-WEEKDAY(A1077,3))</f>
        <v>46202</v>
      </c>
      <c r="C1077" s="32" t="n">
        <f aca="false">IF(OR('Raw Orders'!C1074&lt;&gt;"Product",'Raw Orders'!K1074="Cancelled"),0,'Raw Orders'!G1074)</f>
        <v>138</v>
      </c>
      <c r="D1077" s="31" t="n">
        <f aca="false">IF(AND('Raw Orders'!C1074="Product",'Raw Orders'!K1074="Fulfilled",COUNTIFS('Raw Orders'!$A$2:$A1074,'Raw Orders'!A1074,'Raw Orders'!$C$2:$C1074,"Product",'Raw Orders'!$K$2:$K1074,"Fulfilled")=1),1,0)</f>
        <v>0</v>
      </c>
      <c r="E1077" s="31" t="n">
        <f aca="false">IF(AND('Raw Orders'!C1074="Product",'Raw Orders'!K1074="Fulfilled"),'Raw Orders'!E1074,0)</f>
        <v>2</v>
      </c>
      <c r="F1077" s="32" t="n">
        <f aca="false">IF('Raw Orders'!K1074="Refunded",'Raw Orders'!G1074,0)</f>
        <v>0</v>
      </c>
    </row>
    <row r="1078" customFormat="false" ht="15" hidden="false" customHeight="false" outlineLevel="0" collapsed="false">
      <c r="A1078" s="36" t="n">
        <f aca="false">IF('Raw Orders'!B1075="","",IF(MID('Raw Orders'!B1075,5,1)="-",DATE(VALUE(LEFT('Raw Orders'!B1075,4)),VALUE(MID('Raw Orders'!B1075,6,2)),VALUE(MID('Raw Orders'!B1075,9,2))),DATE(VALUE(MID('Raw Orders'!B1075,7,4)),VALUE(MID('Raw Orders'!B1075,4,2)),VALUE(LEFT('Raw Orders'!B1075,2)))))</f>
        <v>46204</v>
      </c>
      <c r="B1078" s="36" t="n">
        <f aca="false">IF(A1078="","",A1078-WEEKDAY(A1078,3))</f>
        <v>46202</v>
      </c>
      <c r="C1078" s="32" t="n">
        <f aca="false">IF(OR('Raw Orders'!C1075&lt;&gt;"Product",'Raw Orders'!K1075="Cancelled"),0,'Raw Orders'!G1075)</f>
        <v>89</v>
      </c>
      <c r="D1078" s="31" t="n">
        <f aca="false">IF(AND('Raw Orders'!C1075="Product",'Raw Orders'!K1075="Fulfilled",COUNTIFS('Raw Orders'!$A$2:$A1075,'Raw Orders'!A1075,'Raw Orders'!$C$2:$C1075,"Product",'Raw Orders'!$K$2:$K1075,"Fulfilled")=1),1,0)</f>
        <v>1</v>
      </c>
      <c r="E1078" s="31" t="n">
        <f aca="false">IF(AND('Raw Orders'!C1075="Product",'Raw Orders'!K1075="Fulfilled"),'Raw Orders'!E1075,0)</f>
        <v>1</v>
      </c>
      <c r="F1078" s="32" t="n">
        <f aca="false">IF('Raw Orders'!K1075="Refunded",'Raw Orders'!G1075,0)</f>
        <v>0</v>
      </c>
    </row>
    <row r="1079" customFormat="false" ht="15" hidden="false" customHeight="false" outlineLevel="0" collapsed="false">
      <c r="A1079" s="36" t="n">
        <f aca="false">IF('Raw Orders'!B1076="","",IF(MID('Raw Orders'!B1076,5,1)="-",DATE(VALUE(LEFT('Raw Orders'!B1076,4)),VALUE(MID('Raw Orders'!B1076,6,2)),VALUE(MID('Raw Orders'!B1076,9,2))),DATE(VALUE(MID('Raw Orders'!B1076,7,4)),VALUE(MID('Raw Orders'!B1076,4,2)),VALUE(LEFT('Raw Orders'!B1076,2)))))</f>
        <v>46204</v>
      </c>
      <c r="B1079" s="36" t="n">
        <f aca="false">IF(A1079="","",A1079-WEEKDAY(A1079,3))</f>
        <v>46202</v>
      </c>
      <c r="C1079" s="32" t="n">
        <f aca="false">IF(OR('Raw Orders'!C1076&lt;&gt;"Product",'Raw Orders'!K1076="Cancelled"),0,'Raw Orders'!G1076)</f>
        <v>0</v>
      </c>
      <c r="D1079" s="31" t="n">
        <f aca="false">IF(AND('Raw Orders'!C1076="Product",'Raw Orders'!K1076="Fulfilled",COUNTIFS('Raw Orders'!$A$2:$A1076,'Raw Orders'!A1076,'Raw Orders'!$C$2:$C1076,"Product",'Raw Orders'!$K$2:$K1076,"Fulfilled")=1),1,0)</f>
        <v>0</v>
      </c>
      <c r="E1079" s="31" t="n">
        <f aca="false">IF(AND('Raw Orders'!C1076="Product",'Raw Orders'!K1076="Fulfilled"),'Raw Orders'!E1076,0)</f>
        <v>0</v>
      </c>
      <c r="F1079" s="32" t="n">
        <f aca="false">IF('Raw Orders'!K1076="Refunded",'Raw Orders'!G1076,0)</f>
        <v>0</v>
      </c>
    </row>
    <row r="1080" customFormat="false" ht="15" hidden="false" customHeight="false" outlineLevel="0" collapsed="false">
      <c r="A1080" s="36" t="n">
        <f aca="false">IF('Raw Orders'!B1077="","",IF(MID('Raw Orders'!B1077,5,1)="-",DATE(VALUE(LEFT('Raw Orders'!B1077,4)),VALUE(MID('Raw Orders'!B1077,6,2)),VALUE(MID('Raw Orders'!B1077,9,2))),DATE(VALUE(MID('Raw Orders'!B1077,7,4)),VALUE(MID('Raw Orders'!B1077,4,2)),VALUE(LEFT('Raw Orders'!B1077,2)))))</f>
        <v>46204</v>
      </c>
      <c r="B1080" s="36" t="n">
        <f aca="false">IF(A1080="","",A1080-WEEKDAY(A1080,3))</f>
        <v>46202</v>
      </c>
      <c r="C1080" s="32" t="n">
        <f aca="false">IF(OR('Raw Orders'!C1077&lt;&gt;"Product",'Raw Orders'!K1077="Cancelled"),0,'Raw Orders'!G1077)</f>
        <v>75</v>
      </c>
      <c r="D1080" s="31" t="n">
        <f aca="false">IF(AND('Raw Orders'!C1077="Product",'Raw Orders'!K1077="Fulfilled",COUNTIFS('Raw Orders'!$A$2:$A1077,'Raw Orders'!A1077,'Raw Orders'!$C$2:$C1077,"Product",'Raw Orders'!$K$2:$K1077,"Fulfilled")=1),1,0)</f>
        <v>0</v>
      </c>
      <c r="E1080" s="31" t="n">
        <f aca="false">IF(AND('Raw Orders'!C1077="Product",'Raw Orders'!K1077="Fulfilled"),'Raw Orders'!E1077,0)</f>
        <v>1</v>
      </c>
      <c r="F1080" s="32" t="n">
        <f aca="false">IF('Raw Orders'!K1077="Refunded",'Raw Orders'!G1077,0)</f>
        <v>0</v>
      </c>
    </row>
    <row r="1081" customFormat="false" ht="15" hidden="false" customHeight="false" outlineLevel="0" collapsed="false">
      <c r="A1081" s="36" t="n">
        <f aca="false">IF('Raw Orders'!B1078="","",IF(MID('Raw Orders'!B1078,5,1)="-",DATE(VALUE(LEFT('Raw Orders'!B1078,4)),VALUE(MID('Raw Orders'!B1078,6,2)),VALUE(MID('Raw Orders'!B1078,9,2))),DATE(VALUE(MID('Raw Orders'!B1078,7,4)),VALUE(MID('Raw Orders'!B1078,4,2)),VALUE(LEFT('Raw Orders'!B1078,2)))))</f>
        <v>46204</v>
      </c>
      <c r="B1081" s="36" t="n">
        <f aca="false">IF(A1081="","",A1081-WEEKDAY(A1081,3))</f>
        <v>46202</v>
      </c>
      <c r="C1081" s="32" t="n">
        <f aca="false">IF(OR('Raw Orders'!C1078&lt;&gt;"Product",'Raw Orders'!K1078="Cancelled"),0,'Raw Orders'!G1078)</f>
        <v>89</v>
      </c>
      <c r="D1081" s="31" t="n">
        <f aca="false">IF(AND('Raw Orders'!C1078="Product",'Raw Orders'!K1078="Fulfilled",COUNTIFS('Raw Orders'!$A$2:$A1078,'Raw Orders'!A1078,'Raw Orders'!$C$2:$C1078,"Product",'Raw Orders'!$K$2:$K1078,"Fulfilled")=1),1,0)</f>
        <v>1</v>
      </c>
      <c r="E1081" s="31" t="n">
        <f aca="false">IF(AND('Raw Orders'!C1078="Product",'Raw Orders'!K1078="Fulfilled"),'Raw Orders'!E1078,0)</f>
        <v>1</v>
      </c>
      <c r="F1081" s="32" t="n">
        <f aca="false">IF('Raw Orders'!K1078="Refunded",'Raw Orders'!G1078,0)</f>
        <v>0</v>
      </c>
    </row>
    <row r="1082" customFormat="false" ht="15" hidden="false" customHeight="false" outlineLevel="0" collapsed="false">
      <c r="A1082" s="36" t="n">
        <f aca="false">IF('Raw Orders'!B1079="","",IF(MID('Raw Orders'!B1079,5,1)="-",DATE(VALUE(LEFT('Raw Orders'!B1079,4)),VALUE(MID('Raw Orders'!B1079,6,2)),VALUE(MID('Raw Orders'!B1079,9,2))),DATE(VALUE(MID('Raw Orders'!B1079,7,4)),VALUE(MID('Raw Orders'!B1079,4,2)),VALUE(LEFT('Raw Orders'!B1079,2)))))</f>
        <v>46204</v>
      </c>
      <c r="B1082" s="36" t="n">
        <f aca="false">IF(A1082="","",A1082-WEEKDAY(A1082,3))</f>
        <v>46202</v>
      </c>
      <c r="C1082" s="32" t="n">
        <f aca="false">IF(OR('Raw Orders'!C1079&lt;&gt;"Product",'Raw Orders'!K1079="Cancelled"),0,'Raw Orders'!G1079)</f>
        <v>14</v>
      </c>
      <c r="D1082" s="31" t="n">
        <f aca="false">IF(AND('Raw Orders'!C1079="Product",'Raw Orders'!K1079="Fulfilled",COUNTIFS('Raw Orders'!$A$2:$A1079,'Raw Orders'!A1079,'Raw Orders'!$C$2:$C1079,"Product",'Raw Orders'!$K$2:$K1079,"Fulfilled")=1),1,0)</f>
        <v>0</v>
      </c>
      <c r="E1082" s="31" t="n">
        <f aca="false">IF(AND('Raw Orders'!C1079="Product",'Raw Orders'!K1079="Fulfilled"),'Raw Orders'!E1079,0)</f>
        <v>1</v>
      </c>
      <c r="F1082" s="32" t="n">
        <f aca="false">IF('Raw Orders'!K1079="Refunded",'Raw Orders'!G1079,0)</f>
        <v>0</v>
      </c>
    </row>
    <row r="1083" customFormat="false" ht="15" hidden="false" customHeight="false" outlineLevel="0" collapsed="false">
      <c r="A1083" s="36" t="n">
        <f aca="false">IF('Raw Orders'!B1080="","",IF(MID('Raw Orders'!B1080,5,1)="-",DATE(VALUE(LEFT('Raw Orders'!B1080,4)),VALUE(MID('Raw Orders'!B1080,6,2)),VALUE(MID('Raw Orders'!B1080,9,2))),DATE(VALUE(MID('Raw Orders'!B1080,7,4)),VALUE(MID('Raw Orders'!B1080,4,2)),VALUE(LEFT('Raw Orders'!B1080,2)))))</f>
        <v>46204</v>
      </c>
      <c r="B1083" s="36" t="n">
        <f aca="false">IF(A1083="","",A1083-WEEKDAY(A1083,3))</f>
        <v>46202</v>
      </c>
      <c r="C1083" s="32" t="n">
        <f aca="false">IF(OR('Raw Orders'!C1080&lt;&gt;"Product",'Raw Orders'!K1080="Cancelled"),0,'Raw Orders'!G1080)</f>
        <v>0</v>
      </c>
      <c r="D1083" s="31" t="n">
        <f aca="false">IF(AND('Raw Orders'!C1080="Product",'Raw Orders'!K1080="Fulfilled",COUNTIFS('Raw Orders'!$A$2:$A1080,'Raw Orders'!A1080,'Raw Orders'!$C$2:$C1080,"Product",'Raw Orders'!$K$2:$K1080,"Fulfilled")=1),1,0)</f>
        <v>0</v>
      </c>
      <c r="E1083" s="31" t="n">
        <f aca="false">IF(AND('Raw Orders'!C1080="Product",'Raw Orders'!K1080="Fulfilled"),'Raw Orders'!E1080,0)</f>
        <v>0</v>
      </c>
      <c r="F1083" s="32" t="n">
        <f aca="false">IF('Raw Orders'!K1080="Refunded",'Raw Orders'!G1080,0)</f>
        <v>0</v>
      </c>
    </row>
    <row r="1084" customFormat="false" ht="15" hidden="false" customHeight="false" outlineLevel="0" collapsed="false">
      <c r="A1084" s="36" t="n">
        <f aca="false">IF('Raw Orders'!B1081="","",IF(MID('Raw Orders'!B1081,5,1)="-",DATE(VALUE(LEFT('Raw Orders'!B1081,4)),VALUE(MID('Raw Orders'!B1081,6,2)),VALUE(MID('Raw Orders'!B1081,9,2))),DATE(VALUE(MID('Raw Orders'!B1081,7,4)),VALUE(MID('Raw Orders'!B1081,4,2)),VALUE(LEFT('Raw Orders'!B1081,2)))))</f>
        <v>46204</v>
      </c>
      <c r="B1084" s="36" t="n">
        <f aca="false">IF(A1084="","",A1084-WEEKDAY(A1084,3))</f>
        <v>46202</v>
      </c>
      <c r="C1084" s="32" t="n">
        <f aca="false">IF(OR('Raw Orders'!C1081&lt;&gt;"Product",'Raw Orders'!K1081="Cancelled"),0,'Raw Orders'!G1081)</f>
        <v>0</v>
      </c>
      <c r="D1084" s="31" t="n">
        <f aca="false">IF(AND('Raw Orders'!C1081="Product",'Raw Orders'!K1081="Fulfilled",COUNTIFS('Raw Orders'!$A$2:$A1081,'Raw Orders'!A1081,'Raw Orders'!$C$2:$C1081,"Product",'Raw Orders'!$K$2:$K1081,"Fulfilled")=1),1,0)</f>
        <v>0</v>
      </c>
      <c r="E1084" s="31" t="n">
        <f aca="false">IF(AND('Raw Orders'!C1081="Product",'Raw Orders'!K1081="Fulfilled"),'Raw Orders'!E1081,0)</f>
        <v>0</v>
      </c>
      <c r="F1084" s="32" t="n">
        <f aca="false">IF('Raw Orders'!K1081="Refunded",'Raw Orders'!G1081,0)</f>
        <v>0</v>
      </c>
    </row>
    <row r="1085" customFormat="false" ht="15" hidden="false" customHeight="false" outlineLevel="0" collapsed="false">
      <c r="A1085" s="36" t="n">
        <f aca="false">IF('Raw Orders'!B1082="","",IF(MID('Raw Orders'!B1082,5,1)="-",DATE(VALUE(LEFT('Raw Orders'!B1082,4)),VALUE(MID('Raw Orders'!B1082,6,2)),VALUE(MID('Raw Orders'!B1082,9,2))),DATE(VALUE(MID('Raw Orders'!B1082,7,4)),VALUE(MID('Raw Orders'!B1082,4,2)),VALUE(LEFT('Raw Orders'!B1082,2)))))</f>
        <v>46204</v>
      </c>
      <c r="B1085" s="36" t="n">
        <f aca="false">IF(A1085="","",A1085-WEEKDAY(A1085,3))</f>
        <v>46202</v>
      </c>
      <c r="C1085" s="32" t="n">
        <f aca="false">IF(OR('Raw Orders'!C1082&lt;&gt;"Product",'Raw Orders'!K1082="Cancelled"),0,'Raw Orders'!G1082)</f>
        <v>33.15</v>
      </c>
      <c r="D1085" s="31" t="n">
        <f aca="false">IF(AND('Raw Orders'!C1082="Product",'Raw Orders'!K1082="Fulfilled",COUNTIFS('Raw Orders'!$A$2:$A1082,'Raw Orders'!A1082,'Raw Orders'!$C$2:$C1082,"Product",'Raw Orders'!$K$2:$K1082,"Fulfilled")=1),1,0)</f>
        <v>1</v>
      </c>
      <c r="E1085" s="31" t="n">
        <f aca="false">IF(AND('Raw Orders'!C1082="Product",'Raw Orders'!K1082="Fulfilled"),'Raw Orders'!E1082,0)</f>
        <v>1</v>
      </c>
      <c r="F1085" s="32" t="n">
        <f aca="false">IF('Raw Orders'!K1082="Refunded",'Raw Orders'!G1082,0)</f>
        <v>0</v>
      </c>
    </row>
    <row r="1086" customFormat="false" ht="15" hidden="false" customHeight="false" outlineLevel="0" collapsed="false">
      <c r="A1086" s="36" t="n">
        <f aca="false">IF('Raw Orders'!B1083="","",IF(MID('Raw Orders'!B1083,5,1)="-",DATE(VALUE(LEFT('Raw Orders'!B1083,4)),VALUE(MID('Raw Orders'!B1083,6,2)),VALUE(MID('Raw Orders'!B1083,9,2))),DATE(VALUE(MID('Raw Orders'!B1083,7,4)),VALUE(MID('Raw Orders'!B1083,4,2)),VALUE(LEFT('Raw Orders'!B1083,2)))))</f>
        <v>46204</v>
      </c>
      <c r="B1086" s="36" t="n">
        <f aca="false">IF(A1086="","",A1086-WEEKDAY(A1086,3))</f>
        <v>46202</v>
      </c>
      <c r="C1086" s="32" t="n">
        <f aca="false">IF(OR('Raw Orders'!C1083&lt;&gt;"Product",'Raw Orders'!K1083="Cancelled"),0,'Raw Orders'!G1083)</f>
        <v>138</v>
      </c>
      <c r="D1086" s="31" t="n">
        <f aca="false">IF(AND('Raw Orders'!C1083="Product",'Raw Orders'!K1083="Fulfilled",COUNTIFS('Raw Orders'!$A$2:$A1083,'Raw Orders'!A1083,'Raw Orders'!$C$2:$C1083,"Product",'Raw Orders'!$K$2:$K1083,"Fulfilled")=1),1,0)</f>
        <v>1</v>
      </c>
      <c r="E1086" s="31" t="n">
        <f aca="false">IF(AND('Raw Orders'!C1083="Product",'Raw Orders'!K1083="Fulfilled"),'Raw Orders'!E1083,0)</f>
        <v>2</v>
      </c>
      <c r="F1086" s="32" t="n">
        <f aca="false">IF('Raw Orders'!K1083="Refunded",'Raw Orders'!G1083,0)</f>
        <v>0</v>
      </c>
    </row>
    <row r="1087" customFormat="false" ht="15" hidden="false" customHeight="false" outlineLevel="0" collapsed="false">
      <c r="A1087" s="36" t="n">
        <f aca="false">IF('Raw Orders'!B1084="","",IF(MID('Raw Orders'!B1084,5,1)="-",DATE(VALUE(LEFT('Raw Orders'!B1084,4)),VALUE(MID('Raw Orders'!B1084,6,2)),VALUE(MID('Raw Orders'!B1084,9,2))),DATE(VALUE(MID('Raw Orders'!B1084,7,4)),VALUE(MID('Raw Orders'!B1084,4,2)),VALUE(LEFT('Raw Orders'!B1084,2)))))</f>
        <v>46204</v>
      </c>
      <c r="B1087" s="36" t="n">
        <f aca="false">IF(A1087="","",A1087-WEEKDAY(A1087,3))</f>
        <v>46202</v>
      </c>
      <c r="C1087" s="32" t="n">
        <f aca="false">IF(OR('Raw Orders'!C1084&lt;&gt;"Product",'Raw Orders'!K1084="Cancelled"),0,'Raw Orders'!G1084)</f>
        <v>28.8</v>
      </c>
      <c r="D1087" s="31" t="n">
        <f aca="false">IF(AND('Raw Orders'!C1084="Product",'Raw Orders'!K1084="Fulfilled",COUNTIFS('Raw Orders'!$A$2:$A1084,'Raw Orders'!A1084,'Raw Orders'!$C$2:$C1084,"Product",'Raw Orders'!$K$2:$K1084,"Fulfilled")=1),1,0)</f>
        <v>0</v>
      </c>
      <c r="E1087" s="31" t="n">
        <f aca="false">IF(AND('Raw Orders'!C1084="Product",'Raw Orders'!K1084="Fulfilled"),'Raw Orders'!E1084,0)</f>
        <v>1</v>
      </c>
      <c r="F1087" s="32" t="n">
        <f aca="false">IF('Raw Orders'!K1084="Refunded",'Raw Orders'!G1084,0)</f>
        <v>0</v>
      </c>
    </row>
    <row r="1088" customFormat="false" ht="15" hidden="false" customHeight="false" outlineLevel="0" collapsed="false">
      <c r="A1088" s="36" t="n">
        <f aca="false">IF('Raw Orders'!B1085="","",IF(MID('Raw Orders'!B1085,5,1)="-",DATE(VALUE(LEFT('Raw Orders'!B1085,4)),VALUE(MID('Raw Orders'!B1085,6,2)),VALUE(MID('Raw Orders'!B1085,9,2))),DATE(VALUE(MID('Raw Orders'!B1085,7,4)),VALUE(MID('Raw Orders'!B1085,4,2)),VALUE(LEFT('Raw Orders'!B1085,2)))))</f>
        <v>46204</v>
      </c>
      <c r="B1088" s="36" t="n">
        <f aca="false">IF(A1088="","",A1088-WEEKDAY(A1088,3))</f>
        <v>46202</v>
      </c>
      <c r="C1088" s="32" t="n">
        <f aca="false">IF(OR('Raw Orders'!C1085&lt;&gt;"Product",'Raw Orders'!K1085="Cancelled"),0,'Raw Orders'!G1085)</f>
        <v>58</v>
      </c>
      <c r="D1088" s="31" t="n">
        <f aca="false">IF(AND('Raw Orders'!C1085="Product",'Raw Orders'!K1085="Fulfilled",COUNTIFS('Raw Orders'!$A$2:$A1085,'Raw Orders'!A1085,'Raw Orders'!$C$2:$C1085,"Product",'Raw Orders'!$K$2:$K1085,"Fulfilled")=1),1,0)</f>
        <v>0</v>
      </c>
      <c r="E1088" s="31" t="n">
        <f aca="false">IF(AND('Raw Orders'!C1085="Product",'Raw Orders'!K1085="Fulfilled"),'Raw Orders'!E1085,0)</f>
        <v>2</v>
      </c>
      <c r="F1088" s="32" t="n">
        <f aca="false">IF('Raw Orders'!K1085="Refunded",'Raw Orders'!G1085,0)</f>
        <v>0</v>
      </c>
    </row>
    <row r="1089" customFormat="false" ht="15" hidden="false" customHeight="false" outlineLevel="0" collapsed="false">
      <c r="A1089" s="36" t="n">
        <f aca="false">IF('Raw Orders'!B1086="","",IF(MID('Raw Orders'!B1086,5,1)="-",DATE(VALUE(LEFT('Raw Orders'!B1086,4)),VALUE(MID('Raw Orders'!B1086,6,2)),VALUE(MID('Raw Orders'!B1086,9,2))),DATE(VALUE(MID('Raw Orders'!B1086,7,4)),VALUE(MID('Raw Orders'!B1086,4,2)),VALUE(LEFT('Raw Orders'!B1086,2)))))</f>
        <v>46204</v>
      </c>
      <c r="B1089" s="36" t="n">
        <f aca="false">IF(A1089="","",A1089-WEEKDAY(A1089,3))</f>
        <v>46202</v>
      </c>
      <c r="C1089" s="32" t="n">
        <f aca="false">IF(OR('Raw Orders'!C1086&lt;&gt;"Product",'Raw Orders'!K1086="Cancelled"),0,'Raw Orders'!G1086)</f>
        <v>89</v>
      </c>
      <c r="D1089" s="31" t="n">
        <f aca="false">IF(AND('Raw Orders'!C1086="Product",'Raw Orders'!K1086="Fulfilled",COUNTIFS('Raw Orders'!$A$2:$A1086,'Raw Orders'!A1086,'Raw Orders'!$C$2:$C1086,"Product",'Raw Orders'!$K$2:$K1086,"Fulfilled")=1),1,0)</f>
        <v>1</v>
      </c>
      <c r="E1089" s="31" t="n">
        <f aca="false">IF(AND('Raw Orders'!C1086="Product",'Raw Orders'!K1086="Fulfilled"),'Raw Orders'!E1086,0)</f>
        <v>1</v>
      </c>
      <c r="F1089" s="32" t="n">
        <f aca="false">IF('Raw Orders'!K1086="Refunded",'Raw Orders'!G1086,0)</f>
        <v>0</v>
      </c>
    </row>
    <row r="1090" customFormat="false" ht="15" hidden="false" customHeight="false" outlineLevel="0" collapsed="false">
      <c r="A1090" s="36" t="n">
        <f aca="false">IF('Raw Orders'!B1087="","",IF(MID('Raw Orders'!B1087,5,1)="-",DATE(VALUE(LEFT('Raw Orders'!B1087,4)),VALUE(MID('Raw Orders'!B1087,6,2)),VALUE(MID('Raw Orders'!B1087,9,2))),DATE(VALUE(MID('Raw Orders'!B1087,7,4)),VALUE(MID('Raw Orders'!B1087,4,2)),VALUE(LEFT('Raw Orders'!B1087,2)))))</f>
        <v>46204</v>
      </c>
      <c r="B1090" s="36" t="n">
        <f aca="false">IF(A1090="","",A1090-WEEKDAY(A1090,3))</f>
        <v>46202</v>
      </c>
      <c r="C1090" s="32" t="n">
        <f aca="false">IF(OR('Raw Orders'!C1087&lt;&gt;"Product",'Raw Orders'!K1087="Cancelled"),0,'Raw Orders'!G1087)</f>
        <v>0</v>
      </c>
      <c r="D1090" s="31" t="n">
        <f aca="false">IF(AND('Raw Orders'!C1087="Product",'Raw Orders'!K1087="Fulfilled",COUNTIFS('Raw Orders'!$A$2:$A1087,'Raw Orders'!A1087,'Raw Orders'!$C$2:$C1087,"Product",'Raw Orders'!$K$2:$K1087,"Fulfilled")=1),1,0)</f>
        <v>0</v>
      </c>
      <c r="E1090" s="31" t="n">
        <f aca="false">IF(AND('Raw Orders'!C1087="Product",'Raw Orders'!K1087="Fulfilled"),'Raw Orders'!E1087,0)</f>
        <v>0</v>
      </c>
      <c r="F1090" s="32" t="n">
        <f aca="false">IF('Raw Orders'!K1087="Refunded",'Raw Orders'!G1087,0)</f>
        <v>0</v>
      </c>
    </row>
    <row r="1091" customFormat="false" ht="15" hidden="false" customHeight="false" outlineLevel="0" collapsed="false">
      <c r="A1091" s="36" t="n">
        <f aca="false">IF('Raw Orders'!B1088="","",IF(MID('Raw Orders'!B1088,5,1)="-",DATE(VALUE(LEFT('Raw Orders'!B1088,4)),VALUE(MID('Raw Orders'!B1088,6,2)),VALUE(MID('Raw Orders'!B1088,9,2))),DATE(VALUE(MID('Raw Orders'!B1088,7,4)),VALUE(MID('Raw Orders'!B1088,4,2)),VALUE(LEFT('Raw Orders'!B1088,2)))))</f>
        <v>46204</v>
      </c>
      <c r="B1091" s="36" t="n">
        <f aca="false">IF(A1091="","",A1091-WEEKDAY(A1091,3))</f>
        <v>46202</v>
      </c>
      <c r="C1091" s="32" t="n">
        <f aca="false">IF(OR('Raw Orders'!C1088&lt;&gt;"Product",'Raw Orders'!K1088="Cancelled"),0,'Raw Orders'!G1088)</f>
        <v>0</v>
      </c>
      <c r="D1091" s="31" t="n">
        <f aca="false">IF(AND('Raw Orders'!C1088="Product",'Raw Orders'!K1088="Fulfilled",COUNTIFS('Raw Orders'!$A$2:$A1088,'Raw Orders'!A1088,'Raw Orders'!$C$2:$C1088,"Product",'Raw Orders'!$K$2:$K1088,"Fulfilled")=1),1,0)</f>
        <v>0</v>
      </c>
      <c r="E1091" s="31" t="n">
        <f aca="false">IF(AND('Raw Orders'!C1088="Product",'Raw Orders'!K1088="Fulfilled"),'Raw Orders'!E1088,0)</f>
        <v>0</v>
      </c>
      <c r="F1091" s="32" t="n">
        <f aca="false">IF('Raw Orders'!K1088="Refunded",'Raw Orders'!G1088,0)</f>
        <v>0</v>
      </c>
    </row>
    <row r="1092" customFormat="false" ht="15" hidden="false" customHeight="false" outlineLevel="0" collapsed="false">
      <c r="A1092" s="36" t="n">
        <f aca="false">IF('Raw Orders'!B1089="","",IF(MID('Raw Orders'!B1089,5,1)="-",DATE(VALUE(LEFT('Raw Orders'!B1089,4)),VALUE(MID('Raw Orders'!B1089,6,2)),VALUE(MID('Raw Orders'!B1089,9,2))),DATE(VALUE(MID('Raw Orders'!B1089,7,4)),VALUE(MID('Raw Orders'!B1089,4,2)),VALUE(LEFT('Raw Orders'!B1089,2)))))</f>
        <v>46204</v>
      </c>
      <c r="B1092" s="36" t="n">
        <f aca="false">IF(A1092="","",A1092-WEEKDAY(A1092,3))</f>
        <v>46202</v>
      </c>
      <c r="C1092" s="32" t="n">
        <f aca="false">IF(OR('Raw Orders'!C1089&lt;&gt;"Product",'Raw Orders'!K1089="Cancelled"),0,'Raw Orders'!G1089)</f>
        <v>0</v>
      </c>
      <c r="D1092" s="31" t="n">
        <f aca="false">IF(AND('Raw Orders'!C1089="Product",'Raw Orders'!K1089="Fulfilled",COUNTIFS('Raw Orders'!$A$2:$A1089,'Raw Orders'!A1089,'Raw Orders'!$C$2:$C1089,"Product",'Raw Orders'!$K$2:$K1089,"Fulfilled")=1),1,0)</f>
        <v>0</v>
      </c>
      <c r="E1092" s="31" t="n">
        <f aca="false">IF(AND('Raw Orders'!C1089="Product",'Raw Orders'!K1089="Fulfilled"),'Raw Orders'!E1089,0)</f>
        <v>0</v>
      </c>
      <c r="F1092" s="32" t="n">
        <f aca="false">IF('Raw Orders'!K1089="Refunded",'Raw Orders'!G1089,0)</f>
        <v>0</v>
      </c>
    </row>
    <row r="1093" customFormat="false" ht="15" hidden="false" customHeight="false" outlineLevel="0" collapsed="false">
      <c r="A1093" s="36" t="n">
        <f aca="false">IF('Raw Orders'!B1090="","",IF(MID('Raw Orders'!B1090,5,1)="-",DATE(VALUE(LEFT('Raw Orders'!B1090,4)),VALUE(MID('Raw Orders'!B1090,6,2)),VALUE(MID('Raw Orders'!B1090,9,2))),DATE(VALUE(MID('Raw Orders'!B1090,7,4)),VALUE(MID('Raw Orders'!B1090,4,2)),VALUE(LEFT('Raw Orders'!B1090,2)))))</f>
        <v>46204</v>
      </c>
      <c r="B1093" s="36" t="n">
        <f aca="false">IF(A1093="","",A1093-WEEKDAY(A1093,3))</f>
        <v>46202</v>
      </c>
      <c r="C1093" s="32" t="n">
        <f aca="false">IF(OR('Raw Orders'!C1090&lt;&gt;"Product",'Raw Orders'!K1090="Cancelled"),0,'Raw Orders'!G1090)</f>
        <v>178</v>
      </c>
      <c r="D1093" s="31" t="n">
        <f aca="false">IF(AND('Raw Orders'!C1090="Product",'Raw Orders'!K1090="Fulfilled",COUNTIFS('Raw Orders'!$A$2:$A1090,'Raw Orders'!A1090,'Raw Orders'!$C$2:$C1090,"Product",'Raw Orders'!$K$2:$K1090,"Fulfilled")=1),1,0)</f>
        <v>1</v>
      </c>
      <c r="E1093" s="31" t="n">
        <f aca="false">IF(AND('Raw Orders'!C1090="Product",'Raw Orders'!K1090="Fulfilled"),'Raw Orders'!E1090,0)</f>
        <v>2</v>
      </c>
      <c r="F1093" s="32" t="n">
        <f aca="false">IF('Raw Orders'!K1090="Refunded",'Raw Orders'!G1090,0)</f>
        <v>0</v>
      </c>
    </row>
    <row r="1094" customFormat="false" ht="15" hidden="false" customHeight="false" outlineLevel="0" collapsed="false">
      <c r="A1094" s="36" t="n">
        <f aca="false">IF('Raw Orders'!B1091="","",IF(MID('Raw Orders'!B1091,5,1)="-",DATE(VALUE(LEFT('Raw Orders'!B1091,4)),VALUE(MID('Raw Orders'!B1091,6,2)),VALUE(MID('Raw Orders'!B1091,9,2))),DATE(VALUE(MID('Raw Orders'!B1091,7,4)),VALUE(MID('Raw Orders'!B1091,4,2)),VALUE(LEFT('Raw Orders'!B1091,2)))))</f>
        <v>46204</v>
      </c>
      <c r="B1094" s="36" t="n">
        <f aca="false">IF(A1094="","",A1094-WEEKDAY(A1094,3))</f>
        <v>46202</v>
      </c>
      <c r="C1094" s="32" t="n">
        <f aca="false">IF(OR('Raw Orders'!C1091&lt;&gt;"Product",'Raw Orders'!K1091="Cancelled"),0,'Raw Orders'!G1091)</f>
        <v>80.1</v>
      </c>
      <c r="D1094" s="31" t="n">
        <f aca="false">IF(AND('Raw Orders'!C1091="Product",'Raw Orders'!K1091="Fulfilled",COUNTIFS('Raw Orders'!$A$2:$A1091,'Raw Orders'!A1091,'Raw Orders'!$C$2:$C1091,"Product",'Raw Orders'!$K$2:$K1091,"Fulfilled")=1),1,0)</f>
        <v>1</v>
      </c>
      <c r="E1094" s="31" t="n">
        <f aca="false">IF(AND('Raw Orders'!C1091="Product",'Raw Orders'!K1091="Fulfilled"),'Raw Orders'!E1091,0)</f>
        <v>1</v>
      </c>
      <c r="F1094" s="32" t="n">
        <f aca="false">IF('Raw Orders'!K1091="Refunded",'Raw Orders'!G1091,0)</f>
        <v>0</v>
      </c>
    </row>
    <row r="1095" customFormat="false" ht="15" hidden="false" customHeight="false" outlineLevel="0" collapsed="false">
      <c r="A1095" s="36" t="n">
        <f aca="false">IF('Raw Orders'!B1092="","",IF(MID('Raw Orders'!B1092,5,1)="-",DATE(VALUE(LEFT('Raw Orders'!B1092,4)),VALUE(MID('Raw Orders'!B1092,6,2)),VALUE(MID('Raw Orders'!B1092,9,2))),DATE(VALUE(MID('Raw Orders'!B1092,7,4)),VALUE(MID('Raw Orders'!B1092,4,2)),VALUE(LEFT('Raw Orders'!B1092,2)))))</f>
        <v>46204</v>
      </c>
      <c r="B1095" s="36" t="n">
        <f aca="false">IF(A1095="","",A1095-WEEKDAY(A1095,3))</f>
        <v>46202</v>
      </c>
      <c r="C1095" s="32" t="n">
        <f aca="false">IF(OR('Raw Orders'!C1092&lt;&gt;"Product",'Raw Orders'!K1092="Cancelled"),0,'Raw Orders'!G1092)</f>
        <v>45</v>
      </c>
      <c r="D1095" s="31" t="n">
        <f aca="false">IF(AND('Raw Orders'!C1092="Product",'Raw Orders'!K1092="Fulfilled",COUNTIFS('Raw Orders'!$A$2:$A1092,'Raw Orders'!A1092,'Raw Orders'!$C$2:$C1092,"Product",'Raw Orders'!$K$2:$K1092,"Fulfilled")=1),1,0)</f>
        <v>0</v>
      </c>
      <c r="E1095" s="31" t="n">
        <f aca="false">IF(AND('Raw Orders'!C1092="Product",'Raw Orders'!K1092="Fulfilled"),'Raw Orders'!E1092,0)</f>
        <v>1</v>
      </c>
      <c r="F1095" s="32" t="n">
        <f aca="false">IF('Raw Orders'!K1092="Refunded",'Raw Orders'!G1092,0)</f>
        <v>0</v>
      </c>
    </row>
    <row r="1096" customFormat="false" ht="15" hidden="false" customHeight="false" outlineLevel="0" collapsed="false">
      <c r="A1096" s="36" t="n">
        <f aca="false">IF('Raw Orders'!B1093="","",IF(MID('Raw Orders'!B1093,5,1)="-",DATE(VALUE(LEFT('Raw Orders'!B1093,4)),VALUE(MID('Raw Orders'!B1093,6,2)),VALUE(MID('Raw Orders'!B1093,9,2))),DATE(VALUE(MID('Raw Orders'!B1093,7,4)),VALUE(MID('Raw Orders'!B1093,4,2)),VALUE(LEFT('Raw Orders'!B1093,2)))))</f>
        <v>46204</v>
      </c>
      <c r="B1096" s="36" t="n">
        <f aca="false">IF(A1096="","",A1096-WEEKDAY(A1096,3))</f>
        <v>46202</v>
      </c>
      <c r="C1096" s="32" t="n">
        <f aca="false">IF(OR('Raw Orders'!C1093&lt;&gt;"Product",'Raw Orders'!K1093="Cancelled"),0,'Raw Orders'!G1093)</f>
        <v>0</v>
      </c>
      <c r="D1096" s="31" t="n">
        <f aca="false">IF(AND('Raw Orders'!C1093="Product",'Raw Orders'!K1093="Fulfilled",COUNTIFS('Raw Orders'!$A$2:$A1093,'Raw Orders'!A1093,'Raw Orders'!$C$2:$C1093,"Product",'Raw Orders'!$K$2:$K1093,"Fulfilled")=1),1,0)</f>
        <v>0</v>
      </c>
      <c r="E1096" s="31" t="n">
        <f aca="false">IF(AND('Raw Orders'!C1093="Product",'Raw Orders'!K1093="Fulfilled"),'Raw Orders'!E1093,0)</f>
        <v>0</v>
      </c>
      <c r="F1096" s="32" t="n">
        <f aca="false">IF('Raw Orders'!K1093="Refunded",'Raw Orders'!G1093,0)</f>
        <v>0</v>
      </c>
    </row>
    <row r="1097" customFormat="false" ht="15" hidden="false" customHeight="false" outlineLevel="0" collapsed="false">
      <c r="A1097" s="36" t="n">
        <f aca="false">IF('Raw Orders'!B1094="","",IF(MID('Raw Orders'!B1094,5,1)="-",DATE(VALUE(LEFT('Raw Orders'!B1094,4)),VALUE(MID('Raw Orders'!B1094,6,2)),VALUE(MID('Raw Orders'!B1094,9,2))),DATE(VALUE(MID('Raw Orders'!B1094,7,4)),VALUE(MID('Raw Orders'!B1094,4,2)),VALUE(LEFT('Raw Orders'!B1094,2)))))</f>
        <v>46204</v>
      </c>
      <c r="B1097" s="36" t="n">
        <f aca="false">IF(A1097="","",A1097-WEEKDAY(A1097,3))</f>
        <v>46202</v>
      </c>
      <c r="C1097" s="32" t="n">
        <f aca="false">IF(OR('Raw Orders'!C1094&lt;&gt;"Product",'Raw Orders'!K1094="Cancelled"),0,'Raw Orders'!G1094)</f>
        <v>69</v>
      </c>
      <c r="D1097" s="31" t="n">
        <f aca="false">IF(AND('Raw Orders'!C1094="Product",'Raw Orders'!K1094="Fulfilled",COUNTIFS('Raw Orders'!$A$2:$A1094,'Raw Orders'!A1094,'Raw Orders'!$C$2:$C1094,"Product",'Raw Orders'!$K$2:$K1094,"Fulfilled")=1),1,0)</f>
        <v>0</v>
      </c>
      <c r="E1097" s="31" t="n">
        <f aca="false">IF(AND('Raw Orders'!C1094="Product",'Raw Orders'!K1094="Fulfilled"),'Raw Orders'!E1094,0)</f>
        <v>1</v>
      </c>
      <c r="F1097" s="32" t="n">
        <f aca="false">IF('Raw Orders'!K1094="Refunded",'Raw Orders'!G1094,0)</f>
        <v>0</v>
      </c>
    </row>
    <row r="1098" customFormat="false" ht="15" hidden="false" customHeight="false" outlineLevel="0" collapsed="false">
      <c r="A1098" s="36" t="n">
        <f aca="false">IF('Raw Orders'!B1095="","",IF(MID('Raw Orders'!B1095,5,1)="-",DATE(VALUE(LEFT('Raw Orders'!B1095,4)),VALUE(MID('Raw Orders'!B1095,6,2)),VALUE(MID('Raw Orders'!B1095,9,2))),DATE(VALUE(MID('Raw Orders'!B1095,7,4)),VALUE(MID('Raw Orders'!B1095,4,2)),VALUE(LEFT('Raw Orders'!B1095,2)))))</f>
        <v>46204</v>
      </c>
      <c r="B1098" s="36" t="n">
        <f aca="false">IF(A1098="","",A1098-WEEKDAY(A1098,3))</f>
        <v>46202</v>
      </c>
      <c r="C1098" s="32" t="n">
        <f aca="false">IF(OR('Raw Orders'!C1095&lt;&gt;"Product",'Raw Orders'!K1095="Cancelled"),0,'Raw Orders'!G1095)</f>
        <v>14</v>
      </c>
      <c r="D1098" s="31" t="n">
        <f aca="false">IF(AND('Raw Orders'!C1095="Product",'Raw Orders'!K1095="Fulfilled",COUNTIFS('Raw Orders'!$A$2:$A1095,'Raw Orders'!A1095,'Raw Orders'!$C$2:$C1095,"Product",'Raw Orders'!$K$2:$K1095,"Fulfilled")=1),1,0)</f>
        <v>1</v>
      </c>
      <c r="E1098" s="31" t="n">
        <f aca="false">IF(AND('Raw Orders'!C1095="Product",'Raw Orders'!K1095="Fulfilled"),'Raw Orders'!E1095,0)</f>
        <v>1</v>
      </c>
      <c r="F1098" s="32" t="n">
        <f aca="false">IF('Raw Orders'!K1095="Refunded",'Raw Orders'!G1095,0)</f>
        <v>0</v>
      </c>
    </row>
    <row r="1099" customFormat="false" ht="15" hidden="false" customHeight="false" outlineLevel="0" collapsed="false">
      <c r="A1099" s="36" t="n">
        <f aca="false">IF('Raw Orders'!B1096="","",IF(MID('Raw Orders'!B1096,5,1)="-",DATE(VALUE(LEFT('Raw Orders'!B1096,4)),VALUE(MID('Raw Orders'!B1096,6,2)),VALUE(MID('Raw Orders'!B1096,9,2))),DATE(VALUE(MID('Raw Orders'!B1096,7,4)),VALUE(MID('Raw Orders'!B1096,4,2)),VALUE(LEFT('Raw Orders'!B1096,2)))))</f>
        <v>46204</v>
      </c>
      <c r="B1099" s="36" t="n">
        <f aca="false">IF(A1099="","",A1099-WEEKDAY(A1099,3))</f>
        <v>46202</v>
      </c>
      <c r="C1099" s="32" t="n">
        <f aca="false">IF(OR('Raw Orders'!C1096&lt;&gt;"Product",'Raw Orders'!K1096="Cancelled"),0,'Raw Orders'!G1096)</f>
        <v>0</v>
      </c>
      <c r="D1099" s="31" t="n">
        <f aca="false">IF(AND('Raw Orders'!C1096="Product",'Raw Orders'!K1096="Fulfilled",COUNTIFS('Raw Orders'!$A$2:$A1096,'Raw Orders'!A1096,'Raw Orders'!$C$2:$C1096,"Product",'Raw Orders'!$K$2:$K1096,"Fulfilled")=1),1,0)</f>
        <v>0</v>
      </c>
      <c r="E1099" s="31" t="n">
        <f aca="false">IF(AND('Raw Orders'!C1096="Product",'Raw Orders'!K1096="Fulfilled"),'Raw Orders'!E1096,0)</f>
        <v>0</v>
      </c>
      <c r="F1099" s="32" t="n">
        <f aca="false">IF('Raw Orders'!K1096="Refunded",'Raw Orders'!G1096,0)</f>
        <v>0</v>
      </c>
    </row>
    <row r="1100" customFormat="false" ht="15" hidden="false" customHeight="false" outlineLevel="0" collapsed="false">
      <c r="A1100" s="36" t="n">
        <f aca="false">IF('Raw Orders'!B1097="","",IF(MID('Raw Orders'!B1097,5,1)="-",DATE(VALUE(LEFT('Raw Orders'!B1097,4)),VALUE(MID('Raw Orders'!B1097,6,2)),VALUE(MID('Raw Orders'!B1097,9,2))),DATE(VALUE(MID('Raw Orders'!B1097,7,4)),VALUE(MID('Raw Orders'!B1097,4,2)),VALUE(LEFT('Raw Orders'!B1097,2)))))</f>
        <v>46204</v>
      </c>
      <c r="B1100" s="36" t="n">
        <f aca="false">IF(A1100="","",A1100-WEEKDAY(A1100,3))</f>
        <v>46202</v>
      </c>
      <c r="C1100" s="32" t="n">
        <f aca="false">IF(OR('Raw Orders'!C1097&lt;&gt;"Product",'Raw Orders'!K1097="Cancelled"),0,'Raw Orders'!G1097)</f>
        <v>128</v>
      </c>
      <c r="D1100" s="31" t="n">
        <f aca="false">IF(AND('Raw Orders'!C1097="Product",'Raw Orders'!K1097="Fulfilled",COUNTIFS('Raw Orders'!$A$2:$A1097,'Raw Orders'!A1097,'Raw Orders'!$C$2:$C1097,"Product",'Raw Orders'!$K$2:$K1097,"Fulfilled")=1),1,0)</f>
        <v>0</v>
      </c>
      <c r="E1100" s="31" t="n">
        <f aca="false">IF(AND('Raw Orders'!C1097="Product",'Raw Orders'!K1097="Fulfilled"),'Raw Orders'!E1097,0)</f>
        <v>4</v>
      </c>
      <c r="F1100" s="32" t="n">
        <f aca="false">IF('Raw Orders'!K1097="Refunded",'Raw Orders'!G1097,0)</f>
        <v>0</v>
      </c>
    </row>
    <row r="1101" customFormat="false" ht="15" hidden="false" customHeight="false" outlineLevel="0" collapsed="false">
      <c r="A1101" s="36" t="n">
        <f aca="false">IF('Raw Orders'!B1098="","",IF(MID('Raw Orders'!B1098,5,1)="-",DATE(VALUE(LEFT('Raw Orders'!B1098,4)),VALUE(MID('Raw Orders'!B1098,6,2)),VALUE(MID('Raw Orders'!B1098,9,2))),DATE(VALUE(MID('Raw Orders'!B1098,7,4)),VALUE(MID('Raw Orders'!B1098,4,2)),VALUE(LEFT('Raw Orders'!B1098,2)))))</f>
        <v>46204</v>
      </c>
      <c r="B1101" s="36" t="n">
        <f aca="false">IF(A1101="","",A1101-WEEKDAY(A1101,3))</f>
        <v>46202</v>
      </c>
      <c r="C1101" s="32" t="n">
        <f aca="false">IF(OR('Raw Orders'!C1098&lt;&gt;"Product",'Raw Orders'!K1098="Cancelled"),0,'Raw Orders'!G1098)</f>
        <v>0</v>
      </c>
      <c r="D1101" s="31" t="n">
        <f aca="false">IF(AND('Raw Orders'!C1098="Product",'Raw Orders'!K1098="Fulfilled",COUNTIFS('Raw Orders'!$A$2:$A1098,'Raw Orders'!A1098,'Raw Orders'!$C$2:$C1098,"Product",'Raw Orders'!$K$2:$K1098,"Fulfilled")=1),1,0)</f>
        <v>0</v>
      </c>
      <c r="E1101" s="31" t="n">
        <f aca="false">IF(AND('Raw Orders'!C1098="Product",'Raw Orders'!K1098="Fulfilled"),'Raw Orders'!E1098,0)</f>
        <v>0</v>
      </c>
      <c r="F1101" s="32" t="n">
        <f aca="false">IF('Raw Orders'!K1098="Refunded",'Raw Orders'!G1098,0)</f>
        <v>0</v>
      </c>
    </row>
    <row r="1102" customFormat="false" ht="15" hidden="false" customHeight="false" outlineLevel="0" collapsed="false">
      <c r="A1102" s="36" t="n">
        <f aca="false">IF('Raw Orders'!B1099="","",IF(MID('Raw Orders'!B1099,5,1)="-",DATE(VALUE(LEFT('Raw Orders'!B1099,4)),VALUE(MID('Raw Orders'!B1099,6,2)),VALUE(MID('Raw Orders'!B1099,9,2))),DATE(VALUE(MID('Raw Orders'!B1099,7,4)),VALUE(MID('Raw Orders'!B1099,4,2)),VALUE(LEFT('Raw Orders'!B1099,2)))))</f>
        <v>46204</v>
      </c>
      <c r="B1102" s="36" t="n">
        <f aca="false">IF(A1102="","",A1102-WEEKDAY(A1102,3))</f>
        <v>46202</v>
      </c>
      <c r="C1102" s="32" t="n">
        <f aca="false">IF(OR('Raw Orders'!C1099&lt;&gt;"Product",'Raw Orders'!K1099="Cancelled"),0,'Raw Orders'!G1099)</f>
        <v>58</v>
      </c>
      <c r="D1102" s="31" t="n">
        <f aca="false">IF(AND('Raw Orders'!C1099="Product",'Raw Orders'!K1099="Fulfilled",COUNTIFS('Raw Orders'!$A$2:$A1099,'Raw Orders'!A1099,'Raw Orders'!$C$2:$C1099,"Product",'Raw Orders'!$K$2:$K1099,"Fulfilled")=1),1,0)</f>
        <v>1</v>
      </c>
      <c r="E1102" s="31" t="n">
        <f aca="false">IF(AND('Raw Orders'!C1099="Product",'Raw Orders'!K1099="Fulfilled"),'Raw Orders'!E1099,0)</f>
        <v>2</v>
      </c>
      <c r="F1102" s="32" t="n">
        <f aca="false">IF('Raw Orders'!K1099="Refunded",'Raw Orders'!G1099,0)</f>
        <v>0</v>
      </c>
    </row>
    <row r="1103" customFormat="false" ht="15" hidden="false" customHeight="false" outlineLevel="0" collapsed="false">
      <c r="A1103" s="36" t="n">
        <f aca="false">IF('Raw Orders'!B1100="","",IF(MID('Raw Orders'!B1100,5,1)="-",DATE(VALUE(LEFT('Raw Orders'!B1100,4)),VALUE(MID('Raw Orders'!B1100,6,2)),VALUE(MID('Raw Orders'!B1100,9,2))),DATE(VALUE(MID('Raw Orders'!B1100,7,4)),VALUE(MID('Raw Orders'!B1100,4,2)),VALUE(LEFT('Raw Orders'!B1100,2)))))</f>
        <v>46204</v>
      </c>
      <c r="B1103" s="36" t="n">
        <f aca="false">IF(A1103="","",A1103-WEEKDAY(A1103,3))</f>
        <v>46202</v>
      </c>
      <c r="C1103" s="32" t="n">
        <f aca="false">IF(OR('Raw Orders'!C1100&lt;&gt;"Product",'Raw Orders'!K1100="Cancelled"),0,'Raw Orders'!G1100)</f>
        <v>0</v>
      </c>
      <c r="D1103" s="31" t="n">
        <f aca="false">IF(AND('Raw Orders'!C1100="Product",'Raw Orders'!K1100="Fulfilled",COUNTIFS('Raw Orders'!$A$2:$A1100,'Raw Orders'!A1100,'Raw Orders'!$C$2:$C1100,"Product",'Raw Orders'!$K$2:$K1100,"Fulfilled")=1),1,0)</f>
        <v>0</v>
      </c>
      <c r="E1103" s="31" t="n">
        <f aca="false">IF(AND('Raw Orders'!C1100="Product",'Raw Orders'!K1100="Fulfilled"),'Raw Orders'!E1100,0)</f>
        <v>0</v>
      </c>
      <c r="F1103" s="32" t="n">
        <f aca="false">IF('Raw Orders'!K1100="Refunded",'Raw Orders'!G1100,0)</f>
        <v>0</v>
      </c>
    </row>
    <row r="1104" customFormat="false" ht="15" hidden="false" customHeight="false" outlineLevel="0" collapsed="false">
      <c r="A1104" s="36" t="n">
        <f aca="false">IF('Raw Orders'!B1101="","",IF(MID('Raw Orders'!B1101,5,1)="-",DATE(VALUE(LEFT('Raw Orders'!B1101,4)),VALUE(MID('Raw Orders'!B1101,6,2)),VALUE(MID('Raw Orders'!B1101,9,2))),DATE(VALUE(MID('Raw Orders'!B1101,7,4)),VALUE(MID('Raw Orders'!B1101,4,2)),VALUE(LEFT('Raw Orders'!B1101,2)))))</f>
        <v>46204</v>
      </c>
      <c r="B1104" s="36" t="n">
        <f aca="false">IF(A1104="","",A1104-WEEKDAY(A1104,3))</f>
        <v>46202</v>
      </c>
      <c r="C1104" s="32" t="n">
        <f aca="false">IF(OR('Raw Orders'!C1101&lt;&gt;"Product",'Raw Orders'!K1101="Cancelled"),0,'Raw Orders'!G1101)</f>
        <v>90</v>
      </c>
      <c r="D1104" s="31" t="n">
        <f aca="false">IF(AND('Raw Orders'!C1101="Product",'Raw Orders'!K1101="Fulfilled",COUNTIFS('Raw Orders'!$A$2:$A1101,'Raw Orders'!A1101,'Raw Orders'!$C$2:$C1101,"Product",'Raw Orders'!$K$2:$K1101,"Fulfilled")=1),1,0)</f>
        <v>1</v>
      </c>
      <c r="E1104" s="31" t="n">
        <f aca="false">IF(AND('Raw Orders'!C1101="Product",'Raw Orders'!K1101="Fulfilled"),'Raw Orders'!E1101,0)</f>
        <v>2</v>
      </c>
      <c r="F1104" s="32" t="n">
        <f aca="false">IF('Raw Orders'!K1101="Refunded",'Raw Orders'!G1101,0)</f>
        <v>0</v>
      </c>
    </row>
    <row r="1105" customFormat="false" ht="15" hidden="false" customHeight="false" outlineLevel="0" collapsed="false">
      <c r="A1105" s="36" t="n">
        <f aca="false">IF('Raw Orders'!B1102="","",IF(MID('Raw Orders'!B1102,5,1)="-",DATE(VALUE(LEFT('Raw Orders'!B1102,4)),VALUE(MID('Raw Orders'!B1102,6,2)),VALUE(MID('Raw Orders'!B1102,9,2))),DATE(VALUE(MID('Raw Orders'!B1102,7,4)),VALUE(MID('Raw Orders'!B1102,4,2)),VALUE(LEFT('Raw Orders'!B1102,2)))))</f>
        <v>46205</v>
      </c>
      <c r="B1105" s="36" t="n">
        <f aca="false">IF(A1105="","",A1105-WEEKDAY(A1105,3))</f>
        <v>46202</v>
      </c>
      <c r="C1105" s="32" t="n">
        <f aca="false">IF(OR('Raw Orders'!C1102&lt;&gt;"Product",'Raw Orders'!K1102="Cancelled"),0,'Raw Orders'!G1102)</f>
        <v>0</v>
      </c>
      <c r="D1105" s="31" t="n">
        <f aca="false">IF(AND('Raw Orders'!C1102="Product",'Raw Orders'!K1102="Fulfilled",COUNTIFS('Raw Orders'!$A$2:$A1102,'Raw Orders'!A1102,'Raw Orders'!$C$2:$C1102,"Product",'Raw Orders'!$K$2:$K1102,"Fulfilled")=1),1,0)</f>
        <v>0</v>
      </c>
      <c r="E1105" s="31" t="n">
        <f aca="false">IF(AND('Raw Orders'!C1102="Product",'Raw Orders'!K1102="Fulfilled"),'Raw Orders'!E1102,0)</f>
        <v>0</v>
      </c>
      <c r="F1105" s="32" t="n">
        <f aca="false">IF('Raw Orders'!K1102="Refunded",'Raw Orders'!G1102,0)</f>
        <v>0</v>
      </c>
    </row>
    <row r="1106" customFormat="false" ht="15" hidden="false" customHeight="false" outlineLevel="0" collapsed="false">
      <c r="A1106" s="36" t="n">
        <f aca="false">IF('Raw Orders'!B1103="","",IF(MID('Raw Orders'!B1103,5,1)="-",DATE(VALUE(LEFT('Raw Orders'!B1103,4)),VALUE(MID('Raw Orders'!B1103,6,2)),VALUE(MID('Raw Orders'!B1103,9,2))),DATE(VALUE(MID('Raw Orders'!B1103,7,4)),VALUE(MID('Raw Orders'!B1103,4,2)),VALUE(LEFT('Raw Orders'!B1103,2)))))</f>
        <v>46205</v>
      </c>
      <c r="B1106" s="36" t="n">
        <f aca="false">IF(A1106="","",A1106-WEEKDAY(A1106,3))</f>
        <v>46202</v>
      </c>
      <c r="C1106" s="32" t="n">
        <f aca="false">IF(OR('Raw Orders'!C1103&lt;&gt;"Product",'Raw Orders'!K1103="Cancelled"),0,'Raw Orders'!G1103)</f>
        <v>58</v>
      </c>
      <c r="D1106" s="31" t="n">
        <f aca="false">IF(AND('Raw Orders'!C1103="Product",'Raw Orders'!K1103="Fulfilled",COUNTIFS('Raw Orders'!$A$2:$A1103,'Raw Orders'!A1103,'Raw Orders'!$C$2:$C1103,"Product",'Raw Orders'!$K$2:$K1103,"Fulfilled")=1),1,0)</f>
        <v>1</v>
      </c>
      <c r="E1106" s="31" t="n">
        <f aca="false">IF(AND('Raw Orders'!C1103="Product",'Raw Orders'!K1103="Fulfilled"),'Raw Orders'!E1103,0)</f>
        <v>2</v>
      </c>
      <c r="F1106" s="32" t="n">
        <f aca="false">IF('Raw Orders'!K1103="Refunded",'Raw Orders'!G1103,0)</f>
        <v>0</v>
      </c>
    </row>
    <row r="1107" customFormat="false" ht="15" hidden="false" customHeight="false" outlineLevel="0" collapsed="false">
      <c r="A1107" s="36" t="n">
        <f aca="false">IF('Raw Orders'!B1104="","",IF(MID('Raw Orders'!B1104,5,1)="-",DATE(VALUE(LEFT('Raw Orders'!B1104,4)),VALUE(MID('Raw Orders'!B1104,6,2)),VALUE(MID('Raw Orders'!B1104,9,2))),DATE(VALUE(MID('Raw Orders'!B1104,7,4)),VALUE(MID('Raw Orders'!B1104,4,2)),VALUE(LEFT('Raw Orders'!B1104,2)))))</f>
        <v>46205</v>
      </c>
      <c r="B1107" s="36" t="n">
        <f aca="false">IF(A1107="","",A1107-WEEKDAY(A1107,3))</f>
        <v>46202</v>
      </c>
      <c r="C1107" s="32" t="n">
        <f aca="false">IF(OR('Raw Orders'!C1104&lt;&gt;"Product",'Raw Orders'!K1104="Cancelled"),0,'Raw Orders'!G1104)</f>
        <v>178</v>
      </c>
      <c r="D1107" s="31" t="n">
        <f aca="false">IF(AND('Raw Orders'!C1104="Product",'Raw Orders'!K1104="Fulfilled",COUNTIFS('Raw Orders'!$A$2:$A1104,'Raw Orders'!A1104,'Raw Orders'!$C$2:$C1104,"Product",'Raw Orders'!$K$2:$K1104,"Fulfilled")=1),1,0)</f>
        <v>1</v>
      </c>
      <c r="E1107" s="31" t="n">
        <f aca="false">IF(AND('Raw Orders'!C1104="Product",'Raw Orders'!K1104="Fulfilled"),'Raw Orders'!E1104,0)</f>
        <v>2</v>
      </c>
      <c r="F1107" s="32" t="n">
        <f aca="false">IF('Raw Orders'!K1104="Refunded",'Raw Orders'!G1104,0)</f>
        <v>0</v>
      </c>
    </row>
    <row r="1108" customFormat="false" ht="15" hidden="false" customHeight="false" outlineLevel="0" collapsed="false">
      <c r="A1108" s="36" t="n">
        <f aca="false">IF('Raw Orders'!B1105="","",IF(MID('Raw Orders'!B1105,5,1)="-",DATE(VALUE(LEFT('Raw Orders'!B1105,4)),VALUE(MID('Raw Orders'!B1105,6,2)),VALUE(MID('Raw Orders'!B1105,9,2))),DATE(VALUE(MID('Raw Orders'!B1105,7,4)),VALUE(MID('Raw Orders'!B1105,4,2)),VALUE(LEFT('Raw Orders'!B1105,2)))))</f>
        <v>46205</v>
      </c>
      <c r="B1108" s="36" t="n">
        <f aca="false">IF(A1108="","",A1108-WEEKDAY(A1108,3))</f>
        <v>46202</v>
      </c>
      <c r="C1108" s="32" t="n">
        <f aca="false">IF(OR('Raw Orders'!C1105&lt;&gt;"Product",'Raw Orders'!K1105="Cancelled"),0,'Raw Orders'!G1105)</f>
        <v>0</v>
      </c>
      <c r="D1108" s="31" t="n">
        <f aca="false">IF(AND('Raw Orders'!C1105="Product",'Raw Orders'!K1105="Fulfilled",COUNTIFS('Raw Orders'!$A$2:$A1105,'Raw Orders'!A1105,'Raw Orders'!$C$2:$C1105,"Product",'Raw Orders'!$K$2:$K1105,"Fulfilled")=1),1,0)</f>
        <v>0</v>
      </c>
      <c r="E1108" s="31" t="n">
        <f aca="false">IF(AND('Raw Orders'!C1105="Product",'Raw Orders'!K1105="Fulfilled"),'Raw Orders'!E1105,0)</f>
        <v>0</v>
      </c>
      <c r="F1108" s="32" t="n">
        <f aca="false">IF('Raw Orders'!K1105="Refunded",'Raw Orders'!G1105,0)</f>
        <v>0</v>
      </c>
    </row>
    <row r="1109" customFormat="false" ht="15" hidden="false" customHeight="false" outlineLevel="0" collapsed="false">
      <c r="A1109" s="36" t="n">
        <f aca="false">IF('Raw Orders'!B1106="","",IF(MID('Raw Orders'!B1106,5,1)="-",DATE(VALUE(LEFT('Raw Orders'!B1106,4)),VALUE(MID('Raw Orders'!B1106,6,2)),VALUE(MID('Raw Orders'!B1106,9,2))),DATE(VALUE(MID('Raw Orders'!B1106,7,4)),VALUE(MID('Raw Orders'!B1106,4,2)),VALUE(LEFT('Raw Orders'!B1106,2)))))</f>
        <v>46205</v>
      </c>
      <c r="B1109" s="36" t="n">
        <f aca="false">IF(A1109="","",A1109-WEEKDAY(A1109,3))</f>
        <v>46202</v>
      </c>
      <c r="C1109" s="32" t="n">
        <f aca="false">IF(OR('Raw Orders'!C1106&lt;&gt;"Product",'Raw Orders'!K1106="Cancelled"),0,'Raw Orders'!G1106)</f>
        <v>75</v>
      </c>
      <c r="D1109" s="31" t="n">
        <f aca="false">IF(AND('Raw Orders'!C1106="Product",'Raw Orders'!K1106="Fulfilled",COUNTIFS('Raw Orders'!$A$2:$A1106,'Raw Orders'!A1106,'Raw Orders'!$C$2:$C1106,"Product",'Raw Orders'!$K$2:$K1106,"Fulfilled")=1),1,0)</f>
        <v>1</v>
      </c>
      <c r="E1109" s="31" t="n">
        <f aca="false">IF(AND('Raw Orders'!C1106="Product",'Raw Orders'!K1106="Fulfilled"),'Raw Orders'!E1106,0)</f>
        <v>1</v>
      </c>
      <c r="F1109" s="32" t="n">
        <f aca="false">IF('Raw Orders'!K1106="Refunded",'Raw Orders'!G1106,0)</f>
        <v>0</v>
      </c>
    </row>
    <row r="1110" customFormat="false" ht="15" hidden="false" customHeight="false" outlineLevel="0" collapsed="false">
      <c r="A1110" s="36" t="n">
        <f aca="false">IF('Raw Orders'!B1107="","",IF(MID('Raw Orders'!B1107,5,1)="-",DATE(VALUE(LEFT('Raw Orders'!B1107,4)),VALUE(MID('Raw Orders'!B1107,6,2)),VALUE(MID('Raw Orders'!B1107,9,2))),DATE(VALUE(MID('Raw Orders'!B1107,7,4)),VALUE(MID('Raw Orders'!B1107,4,2)),VALUE(LEFT('Raw Orders'!B1107,2)))))</f>
        <v>46205</v>
      </c>
      <c r="B1110" s="36" t="n">
        <f aca="false">IF(A1110="","",A1110-WEEKDAY(A1110,3))</f>
        <v>46202</v>
      </c>
      <c r="C1110" s="32" t="n">
        <f aca="false">IF(OR('Raw Orders'!C1107&lt;&gt;"Product",'Raw Orders'!K1107="Cancelled"),0,'Raw Orders'!G1107)</f>
        <v>44</v>
      </c>
      <c r="D1110" s="31" t="n">
        <f aca="false">IF(AND('Raw Orders'!C1107="Product",'Raw Orders'!K1107="Fulfilled",COUNTIFS('Raw Orders'!$A$2:$A1107,'Raw Orders'!A1107,'Raw Orders'!$C$2:$C1107,"Product",'Raw Orders'!$K$2:$K1107,"Fulfilled")=1),1,0)</f>
        <v>0</v>
      </c>
      <c r="E1110" s="31" t="n">
        <f aca="false">IF(AND('Raw Orders'!C1107="Product",'Raw Orders'!K1107="Fulfilled"),'Raw Orders'!E1107,0)</f>
        <v>2</v>
      </c>
      <c r="F1110" s="32" t="n">
        <f aca="false">IF('Raw Orders'!K1107="Refunded",'Raw Orders'!G1107,0)</f>
        <v>0</v>
      </c>
    </row>
    <row r="1111" customFormat="false" ht="15" hidden="false" customHeight="false" outlineLevel="0" collapsed="false">
      <c r="A1111" s="36" t="n">
        <f aca="false">IF('Raw Orders'!B1108="","",IF(MID('Raw Orders'!B1108,5,1)="-",DATE(VALUE(LEFT('Raw Orders'!B1108,4)),VALUE(MID('Raw Orders'!B1108,6,2)),VALUE(MID('Raw Orders'!B1108,9,2))),DATE(VALUE(MID('Raw Orders'!B1108,7,4)),VALUE(MID('Raw Orders'!B1108,4,2)),VALUE(LEFT('Raw Orders'!B1108,2)))))</f>
        <v>46205</v>
      </c>
      <c r="B1111" s="36" t="n">
        <f aca="false">IF(A1111="","",A1111-WEEKDAY(A1111,3))</f>
        <v>46202</v>
      </c>
      <c r="C1111" s="32" t="n">
        <f aca="false">IF(OR('Raw Orders'!C1108&lt;&gt;"Product",'Raw Orders'!K1108="Cancelled"),0,'Raw Orders'!G1108)</f>
        <v>0</v>
      </c>
      <c r="D1111" s="31" t="n">
        <f aca="false">IF(AND('Raw Orders'!C1108="Product",'Raw Orders'!K1108="Fulfilled",COUNTIFS('Raw Orders'!$A$2:$A1108,'Raw Orders'!A1108,'Raw Orders'!$C$2:$C1108,"Product",'Raw Orders'!$K$2:$K1108,"Fulfilled")=1),1,0)</f>
        <v>0</v>
      </c>
      <c r="E1111" s="31" t="n">
        <f aca="false">IF(AND('Raw Orders'!C1108="Product",'Raw Orders'!K1108="Fulfilled"),'Raw Orders'!E1108,0)</f>
        <v>0</v>
      </c>
      <c r="F1111" s="32" t="n">
        <f aca="false">IF('Raw Orders'!K1108="Refunded",'Raw Orders'!G1108,0)</f>
        <v>0</v>
      </c>
    </row>
    <row r="1112" customFormat="false" ht="15" hidden="false" customHeight="false" outlineLevel="0" collapsed="false">
      <c r="A1112" s="36" t="n">
        <f aca="false">IF('Raw Orders'!B1109="","",IF(MID('Raw Orders'!B1109,5,1)="-",DATE(VALUE(LEFT('Raw Orders'!B1109,4)),VALUE(MID('Raw Orders'!B1109,6,2)),VALUE(MID('Raw Orders'!B1109,9,2))),DATE(VALUE(MID('Raw Orders'!B1109,7,4)),VALUE(MID('Raw Orders'!B1109,4,2)),VALUE(LEFT('Raw Orders'!B1109,2)))))</f>
        <v>46205</v>
      </c>
      <c r="B1112" s="36" t="n">
        <f aca="false">IF(A1112="","",A1112-WEEKDAY(A1112,3))</f>
        <v>46202</v>
      </c>
      <c r="C1112" s="32" t="n">
        <f aca="false">IF(OR('Raw Orders'!C1109&lt;&gt;"Product",'Raw Orders'!K1109="Cancelled"),0,'Raw Orders'!G1109)</f>
        <v>0</v>
      </c>
      <c r="D1112" s="31" t="n">
        <f aca="false">IF(AND('Raw Orders'!C1109="Product",'Raw Orders'!K1109="Fulfilled",COUNTIFS('Raw Orders'!$A$2:$A1109,'Raw Orders'!A1109,'Raw Orders'!$C$2:$C1109,"Product",'Raw Orders'!$K$2:$K1109,"Fulfilled")=1),1,0)</f>
        <v>0</v>
      </c>
      <c r="E1112" s="31" t="n">
        <f aca="false">IF(AND('Raw Orders'!C1109="Product",'Raw Orders'!K1109="Fulfilled"),'Raw Orders'!E1109,0)</f>
        <v>0</v>
      </c>
      <c r="F1112" s="32" t="n">
        <f aca="false">IF('Raw Orders'!K1109="Refunded",'Raw Orders'!G1109,0)</f>
        <v>0</v>
      </c>
    </row>
    <row r="1113" customFormat="false" ht="15" hidden="false" customHeight="false" outlineLevel="0" collapsed="false">
      <c r="A1113" s="36" t="n">
        <f aca="false">IF('Raw Orders'!B1110="","",IF(MID('Raw Orders'!B1110,5,1)="-",DATE(VALUE(LEFT('Raw Orders'!B1110,4)),VALUE(MID('Raw Orders'!B1110,6,2)),VALUE(MID('Raw Orders'!B1110,9,2))),DATE(VALUE(MID('Raw Orders'!B1110,7,4)),VALUE(MID('Raw Orders'!B1110,4,2)),VALUE(LEFT('Raw Orders'!B1110,2)))))</f>
        <v>46205</v>
      </c>
      <c r="B1113" s="36" t="n">
        <f aca="false">IF(A1113="","",A1113-WEEKDAY(A1113,3))</f>
        <v>46202</v>
      </c>
      <c r="C1113" s="32" t="n">
        <f aca="false">IF(OR('Raw Orders'!C1110&lt;&gt;"Product",'Raw Orders'!K1110="Cancelled"),0,'Raw Orders'!G1110)</f>
        <v>35</v>
      </c>
      <c r="D1113" s="31" t="n">
        <f aca="false">IF(AND('Raw Orders'!C1110="Product",'Raw Orders'!K1110="Fulfilled",COUNTIFS('Raw Orders'!$A$2:$A1110,'Raw Orders'!A1110,'Raw Orders'!$C$2:$C1110,"Product",'Raw Orders'!$K$2:$K1110,"Fulfilled")=1),1,0)</f>
        <v>1</v>
      </c>
      <c r="E1113" s="31" t="n">
        <f aca="false">IF(AND('Raw Orders'!C1110="Product",'Raw Orders'!K1110="Fulfilled"),'Raw Orders'!E1110,0)</f>
        <v>1</v>
      </c>
      <c r="F1113" s="32" t="n">
        <f aca="false">IF('Raw Orders'!K1110="Refunded",'Raw Orders'!G1110,0)</f>
        <v>0</v>
      </c>
    </row>
    <row r="1114" customFormat="false" ht="15" hidden="false" customHeight="false" outlineLevel="0" collapsed="false">
      <c r="A1114" s="36" t="n">
        <f aca="false">IF('Raw Orders'!B1111="","",IF(MID('Raw Orders'!B1111,5,1)="-",DATE(VALUE(LEFT('Raw Orders'!B1111,4)),VALUE(MID('Raw Orders'!B1111,6,2)),VALUE(MID('Raw Orders'!B1111,9,2))),DATE(VALUE(MID('Raw Orders'!B1111,7,4)),VALUE(MID('Raw Orders'!B1111,4,2)),VALUE(LEFT('Raw Orders'!B1111,2)))))</f>
        <v>46205</v>
      </c>
      <c r="B1114" s="36" t="n">
        <f aca="false">IF(A1114="","",A1114-WEEKDAY(A1114,3))</f>
        <v>46202</v>
      </c>
      <c r="C1114" s="32" t="n">
        <f aca="false">IF(OR('Raw Orders'!C1111&lt;&gt;"Product",'Raw Orders'!K1111="Cancelled"),0,'Raw Orders'!G1111)</f>
        <v>29</v>
      </c>
      <c r="D1114" s="31" t="n">
        <f aca="false">IF(AND('Raw Orders'!C1111="Product",'Raw Orders'!K1111="Fulfilled",COUNTIFS('Raw Orders'!$A$2:$A1111,'Raw Orders'!A1111,'Raw Orders'!$C$2:$C1111,"Product",'Raw Orders'!$K$2:$K1111,"Fulfilled")=1),1,0)</f>
        <v>1</v>
      </c>
      <c r="E1114" s="31" t="n">
        <f aca="false">IF(AND('Raw Orders'!C1111="Product",'Raw Orders'!K1111="Fulfilled"),'Raw Orders'!E1111,0)</f>
        <v>1</v>
      </c>
      <c r="F1114" s="32" t="n">
        <f aca="false">IF('Raw Orders'!K1111="Refunded",'Raw Orders'!G1111,0)</f>
        <v>0</v>
      </c>
    </row>
    <row r="1115" customFormat="false" ht="15" hidden="false" customHeight="false" outlineLevel="0" collapsed="false">
      <c r="A1115" s="36" t="n">
        <f aca="false">IF('Raw Orders'!B1112="","",IF(MID('Raw Orders'!B1112,5,1)="-",DATE(VALUE(LEFT('Raw Orders'!B1112,4)),VALUE(MID('Raw Orders'!B1112,6,2)),VALUE(MID('Raw Orders'!B1112,9,2))),DATE(VALUE(MID('Raw Orders'!B1112,7,4)),VALUE(MID('Raw Orders'!B1112,4,2)),VALUE(LEFT('Raw Orders'!B1112,2)))))</f>
        <v>46205</v>
      </c>
      <c r="B1115" s="36" t="n">
        <f aca="false">IF(A1115="","",A1115-WEEKDAY(A1115,3))</f>
        <v>46202</v>
      </c>
      <c r="C1115" s="32" t="n">
        <f aca="false">IF(OR('Raw Orders'!C1112&lt;&gt;"Product",'Raw Orders'!K1112="Cancelled"),0,'Raw Orders'!G1112)</f>
        <v>35</v>
      </c>
      <c r="D1115" s="31" t="n">
        <f aca="false">IF(AND('Raw Orders'!C1112="Product",'Raw Orders'!K1112="Fulfilled",COUNTIFS('Raw Orders'!$A$2:$A1112,'Raw Orders'!A1112,'Raw Orders'!$C$2:$C1112,"Product",'Raw Orders'!$K$2:$K1112,"Fulfilled")=1),1,0)</f>
        <v>0</v>
      </c>
      <c r="E1115" s="31" t="n">
        <f aca="false">IF(AND('Raw Orders'!C1112="Product",'Raw Orders'!K1112="Fulfilled"),'Raw Orders'!E1112,0)</f>
        <v>1</v>
      </c>
      <c r="F1115" s="32" t="n">
        <f aca="false">IF('Raw Orders'!K1112="Refunded",'Raw Orders'!G1112,0)</f>
        <v>0</v>
      </c>
    </row>
    <row r="1116" customFormat="false" ht="15" hidden="false" customHeight="false" outlineLevel="0" collapsed="false">
      <c r="A1116" s="36" t="n">
        <f aca="false">IF('Raw Orders'!B1113="","",IF(MID('Raw Orders'!B1113,5,1)="-",DATE(VALUE(LEFT('Raw Orders'!B1113,4)),VALUE(MID('Raw Orders'!B1113,6,2)),VALUE(MID('Raw Orders'!B1113,9,2))),DATE(VALUE(MID('Raw Orders'!B1113,7,4)),VALUE(MID('Raw Orders'!B1113,4,2)),VALUE(LEFT('Raw Orders'!B1113,2)))))</f>
        <v>46205</v>
      </c>
      <c r="B1116" s="36" t="n">
        <f aca="false">IF(A1116="","",A1116-WEEKDAY(A1116,3))</f>
        <v>46202</v>
      </c>
      <c r="C1116" s="32" t="n">
        <f aca="false">IF(OR('Raw Orders'!C1113&lt;&gt;"Product",'Raw Orders'!K1113="Cancelled"),0,'Raw Orders'!G1113)</f>
        <v>89</v>
      </c>
      <c r="D1116" s="31" t="n">
        <f aca="false">IF(AND('Raw Orders'!C1113="Product",'Raw Orders'!K1113="Fulfilled",COUNTIFS('Raw Orders'!$A$2:$A1113,'Raw Orders'!A1113,'Raw Orders'!$C$2:$C1113,"Product",'Raw Orders'!$K$2:$K1113,"Fulfilled")=1),1,0)</f>
        <v>0</v>
      </c>
      <c r="E1116" s="31" t="n">
        <f aca="false">IF(AND('Raw Orders'!C1113="Product",'Raw Orders'!K1113="Fulfilled"),'Raw Orders'!E1113,0)</f>
        <v>1</v>
      </c>
      <c r="F1116" s="32" t="n">
        <f aca="false">IF('Raw Orders'!K1113="Refunded",'Raw Orders'!G1113,0)</f>
        <v>0</v>
      </c>
    </row>
    <row r="1117" customFormat="false" ht="15" hidden="false" customHeight="false" outlineLevel="0" collapsed="false">
      <c r="A1117" s="36" t="n">
        <f aca="false">IF('Raw Orders'!B1114="","",IF(MID('Raw Orders'!B1114,5,1)="-",DATE(VALUE(LEFT('Raw Orders'!B1114,4)),VALUE(MID('Raw Orders'!B1114,6,2)),VALUE(MID('Raw Orders'!B1114,9,2))),DATE(VALUE(MID('Raw Orders'!B1114,7,4)),VALUE(MID('Raw Orders'!B1114,4,2)),VALUE(LEFT('Raw Orders'!B1114,2)))))</f>
        <v>46205</v>
      </c>
      <c r="B1117" s="36" t="n">
        <f aca="false">IF(A1117="","",A1117-WEEKDAY(A1117,3))</f>
        <v>46202</v>
      </c>
      <c r="C1117" s="32" t="n">
        <f aca="false">IF(OR('Raw Orders'!C1114&lt;&gt;"Product",'Raw Orders'!K1114="Cancelled"),0,'Raw Orders'!G1114)</f>
        <v>0</v>
      </c>
      <c r="D1117" s="31" t="n">
        <f aca="false">IF(AND('Raw Orders'!C1114="Product",'Raw Orders'!K1114="Fulfilled",COUNTIFS('Raw Orders'!$A$2:$A1114,'Raw Orders'!A1114,'Raw Orders'!$C$2:$C1114,"Product",'Raw Orders'!$K$2:$K1114,"Fulfilled")=1),1,0)</f>
        <v>0</v>
      </c>
      <c r="E1117" s="31" t="n">
        <f aca="false">IF(AND('Raw Orders'!C1114="Product",'Raw Orders'!K1114="Fulfilled"),'Raw Orders'!E1114,0)</f>
        <v>0</v>
      </c>
      <c r="F1117" s="32" t="n">
        <f aca="false">IF('Raw Orders'!K1114="Refunded",'Raw Orders'!G1114,0)</f>
        <v>0</v>
      </c>
    </row>
    <row r="1118" customFormat="false" ht="15" hidden="false" customHeight="false" outlineLevel="0" collapsed="false">
      <c r="A1118" s="36" t="n">
        <f aca="false">IF('Raw Orders'!B1115="","",IF(MID('Raw Orders'!B1115,5,1)="-",DATE(VALUE(LEFT('Raw Orders'!B1115,4)),VALUE(MID('Raw Orders'!B1115,6,2)),VALUE(MID('Raw Orders'!B1115,9,2))),DATE(VALUE(MID('Raw Orders'!B1115,7,4)),VALUE(MID('Raw Orders'!B1115,4,2)),VALUE(LEFT('Raw Orders'!B1115,2)))))</f>
        <v>46205</v>
      </c>
      <c r="B1118" s="36" t="n">
        <f aca="false">IF(A1118="","",A1118-WEEKDAY(A1118,3))</f>
        <v>46202</v>
      </c>
      <c r="C1118" s="32" t="n">
        <f aca="false">IF(OR('Raw Orders'!C1115&lt;&gt;"Product",'Raw Orders'!K1115="Cancelled"),0,'Raw Orders'!G1115)</f>
        <v>0</v>
      </c>
      <c r="D1118" s="31" t="n">
        <f aca="false">IF(AND('Raw Orders'!C1115="Product",'Raw Orders'!K1115="Fulfilled",COUNTIFS('Raw Orders'!$A$2:$A1115,'Raw Orders'!A1115,'Raw Orders'!$C$2:$C1115,"Product",'Raw Orders'!$K$2:$K1115,"Fulfilled")=1),1,0)</f>
        <v>0</v>
      </c>
      <c r="E1118" s="31" t="n">
        <f aca="false">IF(AND('Raw Orders'!C1115="Product",'Raw Orders'!K1115="Fulfilled"),'Raw Orders'!E1115,0)</f>
        <v>0</v>
      </c>
      <c r="F1118" s="32" t="n">
        <f aca="false">IF('Raw Orders'!K1115="Refunded",'Raw Orders'!G1115,0)</f>
        <v>0</v>
      </c>
    </row>
    <row r="1119" customFormat="false" ht="15" hidden="false" customHeight="false" outlineLevel="0" collapsed="false">
      <c r="A1119" s="36" t="n">
        <f aca="false">IF('Raw Orders'!B1116="","",IF(MID('Raw Orders'!B1116,5,1)="-",DATE(VALUE(LEFT('Raw Orders'!B1116,4)),VALUE(MID('Raw Orders'!B1116,6,2)),VALUE(MID('Raw Orders'!B1116,9,2))),DATE(VALUE(MID('Raw Orders'!B1116,7,4)),VALUE(MID('Raw Orders'!B1116,4,2)),VALUE(LEFT('Raw Orders'!B1116,2)))))</f>
        <v>46205</v>
      </c>
      <c r="B1119" s="36" t="n">
        <f aca="false">IF(A1119="","",A1119-WEEKDAY(A1119,3))</f>
        <v>46202</v>
      </c>
      <c r="C1119" s="32" t="n">
        <f aca="false">IF(OR('Raw Orders'!C1116&lt;&gt;"Product",'Raw Orders'!K1116="Cancelled"),0,'Raw Orders'!G1116)</f>
        <v>75</v>
      </c>
      <c r="D1119" s="31" t="n">
        <f aca="false">IF(AND('Raw Orders'!C1116="Product",'Raw Orders'!K1116="Fulfilled",COUNTIFS('Raw Orders'!$A$2:$A1116,'Raw Orders'!A1116,'Raw Orders'!$C$2:$C1116,"Product",'Raw Orders'!$K$2:$K1116,"Fulfilled")=1),1,0)</f>
        <v>1</v>
      </c>
      <c r="E1119" s="31" t="n">
        <f aca="false">IF(AND('Raw Orders'!C1116="Product",'Raw Orders'!K1116="Fulfilled"),'Raw Orders'!E1116,0)</f>
        <v>1</v>
      </c>
      <c r="F1119" s="32" t="n">
        <f aca="false">IF('Raw Orders'!K1116="Refunded",'Raw Orders'!G1116,0)</f>
        <v>0</v>
      </c>
    </row>
    <row r="1120" customFormat="false" ht="15" hidden="false" customHeight="false" outlineLevel="0" collapsed="false">
      <c r="A1120" s="36" t="n">
        <f aca="false">IF('Raw Orders'!B1117="","",IF(MID('Raw Orders'!B1117,5,1)="-",DATE(VALUE(LEFT('Raw Orders'!B1117,4)),VALUE(MID('Raw Orders'!B1117,6,2)),VALUE(MID('Raw Orders'!B1117,9,2))),DATE(VALUE(MID('Raw Orders'!B1117,7,4)),VALUE(MID('Raw Orders'!B1117,4,2)),VALUE(LEFT('Raw Orders'!B1117,2)))))</f>
        <v>46205</v>
      </c>
      <c r="B1120" s="36" t="n">
        <f aca="false">IF(A1120="","",A1120-WEEKDAY(A1120,3))</f>
        <v>46202</v>
      </c>
      <c r="C1120" s="32" t="n">
        <f aca="false">IF(OR('Raw Orders'!C1117&lt;&gt;"Product",'Raw Orders'!K1117="Cancelled"),0,'Raw Orders'!G1117)</f>
        <v>89</v>
      </c>
      <c r="D1120" s="31" t="n">
        <f aca="false">IF(AND('Raw Orders'!C1117="Product",'Raw Orders'!K1117="Fulfilled",COUNTIFS('Raw Orders'!$A$2:$A1117,'Raw Orders'!A1117,'Raw Orders'!$C$2:$C1117,"Product",'Raw Orders'!$K$2:$K1117,"Fulfilled")=1),1,0)</f>
        <v>1</v>
      </c>
      <c r="E1120" s="31" t="n">
        <f aca="false">IF(AND('Raw Orders'!C1117="Product",'Raw Orders'!K1117="Fulfilled"),'Raw Orders'!E1117,0)</f>
        <v>1</v>
      </c>
      <c r="F1120" s="32" t="n">
        <f aca="false">IF('Raw Orders'!K1117="Refunded",'Raw Orders'!G1117,0)</f>
        <v>0</v>
      </c>
    </row>
    <row r="1121" customFormat="false" ht="15" hidden="false" customHeight="false" outlineLevel="0" collapsed="false">
      <c r="A1121" s="36" t="n">
        <f aca="false">IF('Raw Orders'!B1118="","",IF(MID('Raw Orders'!B1118,5,1)="-",DATE(VALUE(LEFT('Raw Orders'!B1118,4)),VALUE(MID('Raw Orders'!B1118,6,2)),VALUE(MID('Raw Orders'!B1118,9,2))),DATE(VALUE(MID('Raw Orders'!B1118,7,4)),VALUE(MID('Raw Orders'!B1118,4,2)),VALUE(LEFT('Raw Orders'!B1118,2)))))</f>
        <v>46205</v>
      </c>
      <c r="B1121" s="36" t="n">
        <f aca="false">IF(A1121="","",A1121-WEEKDAY(A1121,3))</f>
        <v>46202</v>
      </c>
      <c r="C1121" s="32" t="n">
        <f aca="false">IF(OR('Raw Orders'!C1118&lt;&gt;"Product",'Raw Orders'!K1118="Cancelled"),0,'Raw Orders'!G1118)</f>
        <v>75</v>
      </c>
      <c r="D1121" s="31" t="n">
        <f aca="false">IF(AND('Raw Orders'!C1118="Product",'Raw Orders'!K1118="Fulfilled",COUNTIFS('Raw Orders'!$A$2:$A1118,'Raw Orders'!A1118,'Raw Orders'!$C$2:$C1118,"Product",'Raw Orders'!$K$2:$K1118,"Fulfilled")=1),1,0)</f>
        <v>0</v>
      </c>
      <c r="E1121" s="31" t="n">
        <f aca="false">IF(AND('Raw Orders'!C1118="Product",'Raw Orders'!K1118="Fulfilled"),'Raw Orders'!E1118,0)</f>
        <v>1</v>
      </c>
      <c r="F1121" s="32" t="n">
        <f aca="false">IF('Raw Orders'!K1118="Refunded",'Raw Orders'!G1118,0)</f>
        <v>0</v>
      </c>
    </row>
    <row r="1122" customFormat="false" ht="15" hidden="false" customHeight="false" outlineLevel="0" collapsed="false">
      <c r="A1122" s="36" t="n">
        <f aca="false">IF('Raw Orders'!B1119="","",IF(MID('Raw Orders'!B1119,5,1)="-",DATE(VALUE(LEFT('Raw Orders'!B1119,4)),VALUE(MID('Raw Orders'!B1119,6,2)),VALUE(MID('Raw Orders'!B1119,9,2))),DATE(VALUE(MID('Raw Orders'!B1119,7,4)),VALUE(MID('Raw Orders'!B1119,4,2)),VALUE(LEFT('Raw Orders'!B1119,2)))))</f>
        <v>46205</v>
      </c>
      <c r="B1122" s="36" t="n">
        <f aca="false">IF(A1122="","",A1122-WEEKDAY(A1122,3))</f>
        <v>46202</v>
      </c>
      <c r="C1122" s="32" t="n">
        <f aca="false">IF(OR('Raw Orders'!C1119&lt;&gt;"Product",'Raw Orders'!K1119="Cancelled"),0,'Raw Orders'!G1119)</f>
        <v>138</v>
      </c>
      <c r="D1122" s="31" t="n">
        <f aca="false">IF(AND('Raw Orders'!C1119="Product",'Raw Orders'!K1119="Fulfilled",COUNTIFS('Raw Orders'!$A$2:$A1119,'Raw Orders'!A1119,'Raw Orders'!$C$2:$C1119,"Product",'Raw Orders'!$K$2:$K1119,"Fulfilled")=1),1,0)</f>
        <v>1</v>
      </c>
      <c r="E1122" s="31" t="n">
        <f aca="false">IF(AND('Raw Orders'!C1119="Product",'Raw Orders'!K1119="Fulfilled"),'Raw Orders'!E1119,0)</f>
        <v>2</v>
      </c>
      <c r="F1122" s="32" t="n">
        <f aca="false">IF('Raw Orders'!K1119="Refunded",'Raw Orders'!G1119,0)</f>
        <v>0</v>
      </c>
    </row>
    <row r="1123" customFormat="false" ht="15" hidden="false" customHeight="false" outlineLevel="0" collapsed="false">
      <c r="A1123" s="36" t="n">
        <f aca="false">IF('Raw Orders'!B1120="","",IF(MID('Raw Orders'!B1120,5,1)="-",DATE(VALUE(LEFT('Raw Orders'!B1120,4)),VALUE(MID('Raw Orders'!B1120,6,2)),VALUE(MID('Raw Orders'!B1120,9,2))),DATE(VALUE(MID('Raw Orders'!B1120,7,4)),VALUE(MID('Raw Orders'!B1120,4,2)),VALUE(LEFT('Raw Orders'!B1120,2)))))</f>
        <v>46206</v>
      </c>
      <c r="B1123" s="36" t="n">
        <f aca="false">IF(A1123="","",A1123-WEEKDAY(A1123,3))</f>
        <v>46202</v>
      </c>
      <c r="C1123" s="32" t="n">
        <f aca="false">IF(OR('Raw Orders'!C1120&lt;&gt;"Product",'Raw Orders'!K1120="Cancelled"),0,'Raw Orders'!G1120)</f>
        <v>69</v>
      </c>
      <c r="D1123" s="31" t="n">
        <f aca="false">IF(AND('Raw Orders'!C1120="Product",'Raw Orders'!K1120="Fulfilled",COUNTIFS('Raw Orders'!$A$2:$A1120,'Raw Orders'!A1120,'Raw Orders'!$C$2:$C1120,"Product",'Raw Orders'!$K$2:$K1120,"Fulfilled")=1),1,0)</f>
        <v>1</v>
      </c>
      <c r="E1123" s="31" t="n">
        <f aca="false">IF(AND('Raw Orders'!C1120="Product",'Raw Orders'!K1120="Fulfilled"),'Raw Orders'!E1120,0)</f>
        <v>1</v>
      </c>
      <c r="F1123" s="32" t="n">
        <f aca="false">IF('Raw Orders'!K1120="Refunded",'Raw Orders'!G1120,0)</f>
        <v>0</v>
      </c>
    </row>
    <row r="1124" customFormat="false" ht="15" hidden="false" customHeight="false" outlineLevel="0" collapsed="false">
      <c r="A1124" s="36" t="n">
        <f aca="false">IF('Raw Orders'!B1121="","",IF(MID('Raw Orders'!B1121,5,1)="-",DATE(VALUE(LEFT('Raw Orders'!B1121,4)),VALUE(MID('Raw Orders'!B1121,6,2)),VALUE(MID('Raw Orders'!B1121,9,2))),DATE(VALUE(MID('Raw Orders'!B1121,7,4)),VALUE(MID('Raw Orders'!B1121,4,2)),VALUE(LEFT('Raw Orders'!B1121,2)))))</f>
        <v>46206</v>
      </c>
      <c r="B1124" s="36" t="n">
        <f aca="false">IF(A1124="","",A1124-WEEKDAY(A1124,3))</f>
        <v>46202</v>
      </c>
      <c r="C1124" s="32" t="n">
        <f aca="false">IF(OR('Raw Orders'!C1121&lt;&gt;"Product",'Raw Orders'!K1121="Cancelled"),0,'Raw Orders'!G1121)</f>
        <v>0</v>
      </c>
      <c r="D1124" s="31" t="n">
        <f aca="false">IF(AND('Raw Orders'!C1121="Product",'Raw Orders'!K1121="Fulfilled",COUNTIFS('Raw Orders'!$A$2:$A1121,'Raw Orders'!A1121,'Raw Orders'!$C$2:$C1121,"Product",'Raw Orders'!$K$2:$K1121,"Fulfilled")=1),1,0)</f>
        <v>0</v>
      </c>
      <c r="E1124" s="31" t="n">
        <f aca="false">IF(AND('Raw Orders'!C1121="Product",'Raw Orders'!K1121="Fulfilled"),'Raw Orders'!E1121,0)</f>
        <v>0</v>
      </c>
      <c r="F1124" s="32" t="n">
        <f aca="false">IF('Raw Orders'!K1121="Refunded",'Raw Orders'!G1121,0)</f>
        <v>0</v>
      </c>
    </row>
    <row r="1125" customFormat="false" ht="15" hidden="false" customHeight="false" outlineLevel="0" collapsed="false">
      <c r="A1125" s="36" t="n">
        <f aca="false">IF('Raw Orders'!B1122="","",IF(MID('Raw Orders'!B1122,5,1)="-",DATE(VALUE(LEFT('Raw Orders'!B1122,4)),VALUE(MID('Raw Orders'!B1122,6,2)),VALUE(MID('Raw Orders'!B1122,9,2))),DATE(VALUE(MID('Raw Orders'!B1122,7,4)),VALUE(MID('Raw Orders'!B1122,4,2)),VALUE(LEFT('Raw Orders'!B1122,2)))))</f>
        <v>46206</v>
      </c>
      <c r="B1125" s="36" t="n">
        <f aca="false">IF(A1125="","",A1125-WEEKDAY(A1125,3))</f>
        <v>46202</v>
      </c>
      <c r="C1125" s="32" t="n">
        <f aca="false">IF(OR('Raw Orders'!C1122&lt;&gt;"Product",'Raw Orders'!K1122="Cancelled"),0,'Raw Orders'!G1122)</f>
        <v>32</v>
      </c>
      <c r="D1125" s="31" t="n">
        <f aca="false">IF(AND('Raw Orders'!C1122="Product",'Raw Orders'!K1122="Fulfilled",COUNTIFS('Raw Orders'!$A$2:$A1122,'Raw Orders'!A1122,'Raw Orders'!$C$2:$C1122,"Product",'Raw Orders'!$K$2:$K1122,"Fulfilled")=1),1,0)</f>
        <v>1</v>
      </c>
      <c r="E1125" s="31" t="n">
        <f aca="false">IF(AND('Raw Orders'!C1122="Product",'Raw Orders'!K1122="Fulfilled"),'Raw Orders'!E1122,0)</f>
        <v>1</v>
      </c>
      <c r="F1125" s="32" t="n">
        <f aca="false">IF('Raw Orders'!K1122="Refunded",'Raw Orders'!G1122,0)</f>
        <v>0</v>
      </c>
    </row>
    <row r="1126" customFormat="false" ht="15" hidden="false" customHeight="false" outlineLevel="0" collapsed="false">
      <c r="A1126" s="36" t="n">
        <f aca="false">IF('Raw Orders'!B1123="","",IF(MID('Raw Orders'!B1123,5,1)="-",DATE(VALUE(LEFT('Raw Orders'!B1123,4)),VALUE(MID('Raw Orders'!B1123,6,2)),VALUE(MID('Raw Orders'!B1123,9,2))),DATE(VALUE(MID('Raw Orders'!B1123,7,4)),VALUE(MID('Raw Orders'!B1123,4,2)),VALUE(LEFT('Raw Orders'!B1123,2)))))</f>
        <v>46206</v>
      </c>
      <c r="B1126" s="36" t="n">
        <f aca="false">IF(A1126="","",A1126-WEEKDAY(A1126,3))</f>
        <v>46202</v>
      </c>
      <c r="C1126" s="32" t="n">
        <f aca="false">IF(OR('Raw Orders'!C1123&lt;&gt;"Product",'Raw Orders'!K1123="Cancelled"),0,'Raw Orders'!G1123)</f>
        <v>138</v>
      </c>
      <c r="D1126" s="31" t="n">
        <f aca="false">IF(AND('Raw Orders'!C1123="Product",'Raw Orders'!K1123="Fulfilled",COUNTIFS('Raw Orders'!$A$2:$A1123,'Raw Orders'!A1123,'Raw Orders'!$C$2:$C1123,"Product",'Raw Orders'!$K$2:$K1123,"Fulfilled")=1),1,0)</f>
        <v>1</v>
      </c>
      <c r="E1126" s="31" t="n">
        <f aca="false">IF(AND('Raw Orders'!C1123="Product",'Raw Orders'!K1123="Fulfilled"),'Raw Orders'!E1123,0)</f>
        <v>2</v>
      </c>
      <c r="F1126" s="32" t="n">
        <f aca="false">IF('Raw Orders'!K1123="Refunded",'Raw Orders'!G1123,0)</f>
        <v>0</v>
      </c>
    </row>
    <row r="1127" customFormat="false" ht="15" hidden="false" customHeight="false" outlineLevel="0" collapsed="false">
      <c r="A1127" s="36" t="n">
        <f aca="false">IF('Raw Orders'!B1124="","",IF(MID('Raw Orders'!B1124,5,1)="-",DATE(VALUE(LEFT('Raw Orders'!B1124,4)),VALUE(MID('Raw Orders'!B1124,6,2)),VALUE(MID('Raw Orders'!B1124,9,2))),DATE(VALUE(MID('Raw Orders'!B1124,7,4)),VALUE(MID('Raw Orders'!B1124,4,2)),VALUE(LEFT('Raw Orders'!B1124,2)))))</f>
        <v>46206</v>
      </c>
      <c r="B1127" s="36" t="n">
        <f aca="false">IF(A1127="","",A1127-WEEKDAY(A1127,3))</f>
        <v>46202</v>
      </c>
      <c r="C1127" s="32" t="n">
        <f aca="false">IF(OR('Raw Orders'!C1124&lt;&gt;"Product",'Raw Orders'!K1124="Cancelled"),0,'Raw Orders'!G1124)</f>
        <v>52</v>
      </c>
      <c r="D1127" s="31" t="n">
        <f aca="false">IF(AND('Raw Orders'!C1124="Product",'Raw Orders'!K1124="Fulfilled",COUNTIFS('Raw Orders'!$A$2:$A1124,'Raw Orders'!A1124,'Raw Orders'!$C$2:$C1124,"Product",'Raw Orders'!$K$2:$K1124,"Fulfilled")=1),1,0)</f>
        <v>0</v>
      </c>
      <c r="E1127" s="31" t="n">
        <f aca="false">IF(AND('Raw Orders'!C1124="Product",'Raw Orders'!K1124="Fulfilled"),'Raw Orders'!E1124,0)</f>
        <v>2</v>
      </c>
      <c r="F1127" s="32" t="n">
        <f aca="false">IF('Raw Orders'!K1124="Refunded",'Raw Orders'!G1124,0)</f>
        <v>0</v>
      </c>
    </row>
    <row r="1128" customFormat="false" ht="15" hidden="false" customHeight="false" outlineLevel="0" collapsed="false">
      <c r="A1128" s="36" t="n">
        <f aca="false">IF('Raw Orders'!B1125="","",IF(MID('Raw Orders'!B1125,5,1)="-",DATE(VALUE(LEFT('Raw Orders'!B1125,4)),VALUE(MID('Raw Orders'!B1125,6,2)),VALUE(MID('Raw Orders'!B1125,9,2))),DATE(VALUE(MID('Raw Orders'!B1125,7,4)),VALUE(MID('Raw Orders'!B1125,4,2)),VALUE(LEFT('Raw Orders'!B1125,2)))))</f>
        <v>46206</v>
      </c>
      <c r="B1128" s="36" t="n">
        <f aca="false">IF(A1128="","",A1128-WEEKDAY(A1128,3))</f>
        <v>46202</v>
      </c>
      <c r="C1128" s="32" t="n">
        <f aca="false">IF(OR('Raw Orders'!C1125&lt;&gt;"Product",'Raw Orders'!K1125="Cancelled"),0,'Raw Orders'!G1125)</f>
        <v>0</v>
      </c>
      <c r="D1128" s="31" t="n">
        <f aca="false">IF(AND('Raw Orders'!C1125="Product",'Raw Orders'!K1125="Fulfilled",COUNTIFS('Raw Orders'!$A$2:$A1125,'Raw Orders'!A1125,'Raw Orders'!$C$2:$C1125,"Product",'Raw Orders'!$K$2:$K1125,"Fulfilled")=1),1,0)</f>
        <v>0</v>
      </c>
      <c r="E1128" s="31" t="n">
        <f aca="false">IF(AND('Raw Orders'!C1125="Product",'Raw Orders'!K1125="Fulfilled"),'Raw Orders'!E1125,0)</f>
        <v>0</v>
      </c>
      <c r="F1128" s="32" t="n">
        <f aca="false">IF('Raw Orders'!K1125="Refunded",'Raw Orders'!G1125,0)</f>
        <v>0</v>
      </c>
    </row>
    <row r="1129" customFormat="false" ht="15" hidden="false" customHeight="false" outlineLevel="0" collapsed="false">
      <c r="A1129" s="36" t="n">
        <f aca="false">IF('Raw Orders'!B1126="","",IF(MID('Raw Orders'!B1126,5,1)="-",DATE(VALUE(LEFT('Raw Orders'!B1126,4)),VALUE(MID('Raw Orders'!B1126,6,2)),VALUE(MID('Raw Orders'!B1126,9,2))),DATE(VALUE(MID('Raw Orders'!B1126,7,4)),VALUE(MID('Raw Orders'!B1126,4,2)),VALUE(LEFT('Raw Orders'!B1126,2)))))</f>
        <v>46206</v>
      </c>
      <c r="B1129" s="36" t="n">
        <f aca="false">IF(A1129="","",A1129-WEEKDAY(A1129,3))</f>
        <v>46202</v>
      </c>
      <c r="C1129" s="32" t="n">
        <f aca="false">IF(OR('Raw Orders'!C1126&lt;&gt;"Product",'Raw Orders'!K1126="Cancelled"),0,'Raw Orders'!G1126)</f>
        <v>0</v>
      </c>
      <c r="D1129" s="31" t="n">
        <f aca="false">IF(AND('Raw Orders'!C1126="Product",'Raw Orders'!K1126="Fulfilled",COUNTIFS('Raw Orders'!$A$2:$A1126,'Raw Orders'!A1126,'Raw Orders'!$C$2:$C1126,"Product",'Raw Orders'!$K$2:$K1126,"Fulfilled")=1),1,0)</f>
        <v>0</v>
      </c>
      <c r="E1129" s="31" t="n">
        <f aca="false">IF(AND('Raw Orders'!C1126="Product",'Raw Orders'!K1126="Fulfilled"),'Raw Orders'!E1126,0)</f>
        <v>0</v>
      </c>
      <c r="F1129" s="32" t="n">
        <f aca="false">IF('Raw Orders'!K1126="Refunded",'Raw Orders'!G1126,0)</f>
        <v>0</v>
      </c>
    </row>
    <row r="1130" customFormat="false" ht="15" hidden="false" customHeight="false" outlineLevel="0" collapsed="false">
      <c r="A1130" s="36" t="n">
        <f aca="false">IF('Raw Orders'!B1127="","",IF(MID('Raw Orders'!B1127,5,1)="-",DATE(VALUE(LEFT('Raw Orders'!B1127,4)),VALUE(MID('Raw Orders'!B1127,6,2)),VALUE(MID('Raw Orders'!B1127,9,2))),DATE(VALUE(MID('Raw Orders'!B1127,7,4)),VALUE(MID('Raw Orders'!B1127,4,2)),VALUE(LEFT('Raw Orders'!B1127,2)))))</f>
        <v>46206</v>
      </c>
      <c r="B1130" s="36" t="n">
        <f aca="false">IF(A1130="","",A1130-WEEKDAY(A1130,3))</f>
        <v>46202</v>
      </c>
      <c r="C1130" s="32" t="n">
        <f aca="false">IF(OR('Raw Orders'!C1127&lt;&gt;"Product",'Raw Orders'!K1127="Cancelled"),0,'Raw Orders'!G1127)</f>
        <v>26</v>
      </c>
      <c r="D1130" s="31" t="n">
        <f aca="false">IF(AND('Raw Orders'!C1127="Product",'Raw Orders'!K1127="Fulfilled",COUNTIFS('Raw Orders'!$A$2:$A1127,'Raw Orders'!A1127,'Raw Orders'!$C$2:$C1127,"Product",'Raw Orders'!$K$2:$K1127,"Fulfilled")=1),1,0)</f>
        <v>1</v>
      </c>
      <c r="E1130" s="31" t="n">
        <f aca="false">IF(AND('Raw Orders'!C1127="Product",'Raw Orders'!K1127="Fulfilled"),'Raw Orders'!E1127,0)</f>
        <v>1</v>
      </c>
      <c r="F1130" s="32" t="n">
        <f aca="false">IF('Raw Orders'!K1127="Refunded",'Raw Orders'!G1127,0)</f>
        <v>0</v>
      </c>
    </row>
    <row r="1131" customFormat="false" ht="15" hidden="false" customHeight="false" outlineLevel="0" collapsed="false">
      <c r="A1131" s="36" t="n">
        <f aca="false">IF('Raw Orders'!B1128="","",IF(MID('Raw Orders'!B1128,5,1)="-",DATE(VALUE(LEFT('Raw Orders'!B1128,4)),VALUE(MID('Raw Orders'!B1128,6,2)),VALUE(MID('Raw Orders'!B1128,9,2))),DATE(VALUE(MID('Raw Orders'!B1128,7,4)),VALUE(MID('Raw Orders'!B1128,4,2)),VALUE(LEFT('Raw Orders'!B1128,2)))))</f>
        <v>46206</v>
      </c>
      <c r="B1131" s="36" t="n">
        <f aca="false">IF(A1131="","",A1131-WEEKDAY(A1131,3))</f>
        <v>46202</v>
      </c>
      <c r="C1131" s="32" t="n">
        <f aca="false">IF(OR('Raw Orders'!C1128&lt;&gt;"Product",'Raw Orders'!K1128="Cancelled"),0,'Raw Orders'!G1128)</f>
        <v>22</v>
      </c>
      <c r="D1131" s="31" t="n">
        <f aca="false">IF(AND('Raw Orders'!C1128="Product",'Raw Orders'!K1128="Fulfilled",COUNTIFS('Raw Orders'!$A$2:$A1128,'Raw Orders'!A1128,'Raw Orders'!$C$2:$C1128,"Product",'Raw Orders'!$K$2:$K1128,"Fulfilled")=1),1,0)</f>
        <v>0</v>
      </c>
      <c r="E1131" s="31" t="n">
        <f aca="false">IF(AND('Raw Orders'!C1128="Product",'Raw Orders'!K1128="Fulfilled"),'Raw Orders'!E1128,0)</f>
        <v>1</v>
      </c>
      <c r="F1131" s="32" t="n">
        <f aca="false">IF('Raw Orders'!K1128="Refunded",'Raw Orders'!G1128,0)</f>
        <v>0</v>
      </c>
    </row>
    <row r="1132" customFormat="false" ht="15" hidden="false" customHeight="false" outlineLevel="0" collapsed="false">
      <c r="A1132" s="36" t="n">
        <f aca="false">IF('Raw Orders'!B1129="","",IF(MID('Raw Orders'!B1129,5,1)="-",DATE(VALUE(LEFT('Raw Orders'!B1129,4)),VALUE(MID('Raw Orders'!B1129,6,2)),VALUE(MID('Raw Orders'!B1129,9,2))),DATE(VALUE(MID('Raw Orders'!B1129,7,4)),VALUE(MID('Raw Orders'!B1129,4,2)),VALUE(LEFT('Raw Orders'!B1129,2)))))</f>
        <v>46206</v>
      </c>
      <c r="B1132" s="36" t="n">
        <f aca="false">IF(A1132="","",A1132-WEEKDAY(A1132,3))</f>
        <v>46202</v>
      </c>
      <c r="C1132" s="32" t="n">
        <f aca="false">IF(OR('Raw Orders'!C1129&lt;&gt;"Product",'Raw Orders'!K1129="Cancelled"),0,'Raw Orders'!G1129)</f>
        <v>45</v>
      </c>
      <c r="D1132" s="31" t="n">
        <f aca="false">IF(AND('Raw Orders'!C1129="Product",'Raw Orders'!K1129="Fulfilled",COUNTIFS('Raw Orders'!$A$2:$A1129,'Raw Orders'!A1129,'Raw Orders'!$C$2:$C1129,"Product",'Raw Orders'!$K$2:$K1129,"Fulfilled")=1),1,0)</f>
        <v>1</v>
      </c>
      <c r="E1132" s="31" t="n">
        <f aca="false">IF(AND('Raw Orders'!C1129="Product",'Raw Orders'!K1129="Fulfilled"),'Raw Orders'!E1129,0)</f>
        <v>1</v>
      </c>
      <c r="F1132" s="32" t="n">
        <f aca="false">IF('Raw Orders'!K1129="Refunded",'Raw Orders'!G1129,0)</f>
        <v>0</v>
      </c>
    </row>
    <row r="1133" customFormat="false" ht="15" hidden="false" customHeight="false" outlineLevel="0" collapsed="false">
      <c r="A1133" s="36" t="n">
        <f aca="false">IF('Raw Orders'!B1130="","",IF(MID('Raw Orders'!B1130,5,1)="-",DATE(VALUE(LEFT('Raw Orders'!B1130,4)),VALUE(MID('Raw Orders'!B1130,6,2)),VALUE(MID('Raw Orders'!B1130,9,2))),DATE(VALUE(MID('Raw Orders'!B1130,7,4)),VALUE(MID('Raw Orders'!B1130,4,2)),VALUE(LEFT('Raw Orders'!B1130,2)))))</f>
        <v>46206</v>
      </c>
      <c r="B1133" s="36" t="n">
        <f aca="false">IF(A1133="","",A1133-WEEKDAY(A1133,3))</f>
        <v>46202</v>
      </c>
      <c r="C1133" s="32" t="n">
        <f aca="false">IF(OR('Raw Orders'!C1130&lt;&gt;"Product",'Raw Orders'!K1130="Cancelled"),0,'Raw Orders'!G1130)</f>
        <v>35</v>
      </c>
      <c r="D1133" s="31" t="n">
        <f aca="false">IF(AND('Raw Orders'!C1130="Product",'Raw Orders'!K1130="Fulfilled",COUNTIFS('Raw Orders'!$A$2:$A1130,'Raw Orders'!A1130,'Raw Orders'!$C$2:$C1130,"Product",'Raw Orders'!$K$2:$K1130,"Fulfilled")=1),1,0)</f>
        <v>0</v>
      </c>
      <c r="E1133" s="31" t="n">
        <f aca="false">IF(AND('Raw Orders'!C1130="Product",'Raw Orders'!K1130="Fulfilled"),'Raw Orders'!E1130,0)</f>
        <v>1</v>
      </c>
      <c r="F1133" s="32" t="n">
        <f aca="false">IF('Raw Orders'!K1130="Refunded",'Raw Orders'!G1130,0)</f>
        <v>0</v>
      </c>
    </row>
    <row r="1134" customFormat="false" ht="15" hidden="false" customHeight="false" outlineLevel="0" collapsed="false">
      <c r="A1134" s="36" t="n">
        <f aca="false">IF('Raw Orders'!B1131="","",IF(MID('Raw Orders'!B1131,5,1)="-",DATE(VALUE(LEFT('Raw Orders'!B1131,4)),VALUE(MID('Raw Orders'!B1131,6,2)),VALUE(MID('Raw Orders'!B1131,9,2))),DATE(VALUE(MID('Raw Orders'!B1131,7,4)),VALUE(MID('Raw Orders'!B1131,4,2)),VALUE(LEFT('Raw Orders'!B1131,2)))))</f>
        <v>46206</v>
      </c>
      <c r="B1134" s="36" t="n">
        <f aca="false">IF(A1134="","",A1134-WEEKDAY(A1134,3))</f>
        <v>46202</v>
      </c>
      <c r="C1134" s="32" t="n">
        <f aca="false">IF(OR('Raw Orders'!C1131&lt;&gt;"Product",'Raw Orders'!K1131="Cancelled"),0,'Raw Orders'!G1131)</f>
        <v>14</v>
      </c>
      <c r="D1134" s="31" t="n">
        <f aca="false">IF(AND('Raw Orders'!C1131="Product",'Raw Orders'!K1131="Fulfilled",COUNTIFS('Raw Orders'!$A$2:$A1131,'Raw Orders'!A1131,'Raw Orders'!$C$2:$C1131,"Product",'Raw Orders'!$K$2:$K1131,"Fulfilled")=1),1,0)</f>
        <v>1</v>
      </c>
      <c r="E1134" s="31" t="n">
        <f aca="false">IF(AND('Raw Orders'!C1131="Product",'Raw Orders'!K1131="Fulfilled"),'Raw Orders'!E1131,0)</f>
        <v>1</v>
      </c>
      <c r="F1134" s="32" t="n">
        <f aca="false">IF('Raw Orders'!K1131="Refunded",'Raw Orders'!G1131,0)</f>
        <v>0</v>
      </c>
    </row>
    <row r="1135" customFormat="false" ht="15" hidden="false" customHeight="false" outlineLevel="0" collapsed="false">
      <c r="A1135" s="36" t="n">
        <f aca="false">IF('Raw Orders'!B1132="","",IF(MID('Raw Orders'!B1132,5,1)="-",DATE(VALUE(LEFT('Raw Orders'!B1132,4)),VALUE(MID('Raw Orders'!B1132,6,2)),VALUE(MID('Raw Orders'!B1132,9,2))),DATE(VALUE(MID('Raw Orders'!B1132,7,4)),VALUE(MID('Raw Orders'!B1132,4,2)),VALUE(LEFT('Raw Orders'!B1132,2)))))</f>
        <v>46206</v>
      </c>
      <c r="B1135" s="36" t="n">
        <f aca="false">IF(A1135="","",A1135-WEEKDAY(A1135,3))</f>
        <v>46202</v>
      </c>
      <c r="C1135" s="32" t="n">
        <f aca="false">IF(OR('Raw Orders'!C1132&lt;&gt;"Product",'Raw Orders'!K1132="Cancelled"),0,'Raw Orders'!G1132)</f>
        <v>0</v>
      </c>
      <c r="D1135" s="31" t="n">
        <f aca="false">IF(AND('Raw Orders'!C1132="Product",'Raw Orders'!K1132="Fulfilled",COUNTIFS('Raw Orders'!$A$2:$A1132,'Raw Orders'!A1132,'Raw Orders'!$C$2:$C1132,"Product",'Raw Orders'!$K$2:$K1132,"Fulfilled")=1),1,0)</f>
        <v>0</v>
      </c>
      <c r="E1135" s="31" t="n">
        <f aca="false">IF(AND('Raw Orders'!C1132="Product",'Raw Orders'!K1132="Fulfilled"),'Raw Orders'!E1132,0)</f>
        <v>0</v>
      </c>
      <c r="F1135" s="32" t="n">
        <f aca="false">IF('Raw Orders'!K1132="Refunded",'Raw Orders'!G1132,0)</f>
        <v>0</v>
      </c>
    </row>
    <row r="1136" customFormat="false" ht="15" hidden="false" customHeight="false" outlineLevel="0" collapsed="false">
      <c r="A1136" s="36" t="n">
        <f aca="false">IF('Raw Orders'!B1133="","",IF(MID('Raw Orders'!B1133,5,1)="-",DATE(VALUE(LEFT('Raw Orders'!B1133,4)),VALUE(MID('Raw Orders'!B1133,6,2)),VALUE(MID('Raw Orders'!B1133,9,2))),DATE(VALUE(MID('Raw Orders'!B1133,7,4)),VALUE(MID('Raw Orders'!B1133,4,2)),VALUE(LEFT('Raw Orders'!B1133,2)))))</f>
        <v>46207</v>
      </c>
      <c r="B1136" s="36" t="n">
        <f aca="false">IF(A1136="","",A1136-WEEKDAY(A1136,3))</f>
        <v>46202</v>
      </c>
      <c r="C1136" s="32" t="n">
        <f aca="false">IF(OR('Raw Orders'!C1133&lt;&gt;"Product",'Raw Orders'!K1133="Cancelled"),0,'Raw Orders'!G1133)</f>
        <v>22</v>
      </c>
      <c r="D1136" s="31" t="n">
        <f aca="false">IF(AND('Raw Orders'!C1133="Product",'Raw Orders'!K1133="Fulfilled",COUNTIFS('Raw Orders'!$A$2:$A1133,'Raw Orders'!A1133,'Raw Orders'!$C$2:$C1133,"Product",'Raw Orders'!$K$2:$K1133,"Fulfilled")=1),1,0)</f>
        <v>1</v>
      </c>
      <c r="E1136" s="31" t="n">
        <f aca="false">IF(AND('Raw Orders'!C1133="Product",'Raw Orders'!K1133="Fulfilled"),'Raw Orders'!E1133,0)</f>
        <v>1</v>
      </c>
      <c r="F1136" s="32" t="n">
        <f aca="false">IF('Raw Orders'!K1133="Refunded",'Raw Orders'!G1133,0)</f>
        <v>0</v>
      </c>
    </row>
    <row r="1137" customFormat="false" ht="15" hidden="false" customHeight="false" outlineLevel="0" collapsed="false">
      <c r="A1137" s="36" t="n">
        <f aca="false">IF('Raw Orders'!B1134="","",IF(MID('Raw Orders'!B1134,5,1)="-",DATE(VALUE(LEFT('Raw Orders'!B1134,4)),VALUE(MID('Raw Orders'!B1134,6,2)),VALUE(MID('Raw Orders'!B1134,9,2))),DATE(VALUE(MID('Raw Orders'!B1134,7,4)),VALUE(MID('Raw Orders'!B1134,4,2)),VALUE(LEFT('Raw Orders'!B1134,2)))))</f>
        <v>46207</v>
      </c>
      <c r="B1137" s="36" t="n">
        <f aca="false">IF(A1137="","",A1137-WEEKDAY(A1137,3))</f>
        <v>46202</v>
      </c>
      <c r="C1137" s="32" t="n">
        <f aca="false">IF(OR('Raw Orders'!C1134&lt;&gt;"Product",'Raw Orders'!K1134="Cancelled"),0,'Raw Orders'!G1134)</f>
        <v>0</v>
      </c>
      <c r="D1137" s="31" t="n">
        <f aca="false">IF(AND('Raw Orders'!C1134="Product",'Raw Orders'!K1134="Fulfilled",COUNTIFS('Raw Orders'!$A$2:$A1134,'Raw Orders'!A1134,'Raw Orders'!$C$2:$C1134,"Product",'Raw Orders'!$K$2:$K1134,"Fulfilled")=1),1,0)</f>
        <v>0</v>
      </c>
      <c r="E1137" s="31" t="n">
        <f aca="false">IF(AND('Raw Orders'!C1134="Product",'Raw Orders'!K1134="Fulfilled"),'Raw Orders'!E1134,0)</f>
        <v>0</v>
      </c>
      <c r="F1137" s="32" t="n">
        <f aca="false">IF('Raw Orders'!K1134="Refunded",'Raw Orders'!G1134,0)</f>
        <v>0</v>
      </c>
    </row>
    <row r="1138" customFormat="false" ht="15" hidden="false" customHeight="false" outlineLevel="0" collapsed="false">
      <c r="A1138" s="36" t="n">
        <f aca="false">IF('Raw Orders'!B1135="","",IF(MID('Raw Orders'!B1135,5,1)="-",DATE(VALUE(LEFT('Raw Orders'!B1135,4)),VALUE(MID('Raw Orders'!B1135,6,2)),VALUE(MID('Raw Orders'!B1135,9,2))),DATE(VALUE(MID('Raw Orders'!B1135,7,4)),VALUE(MID('Raw Orders'!B1135,4,2)),VALUE(LEFT('Raw Orders'!B1135,2)))))</f>
        <v>46207</v>
      </c>
      <c r="B1138" s="36" t="n">
        <f aca="false">IF(A1138="","",A1138-WEEKDAY(A1138,3))</f>
        <v>46202</v>
      </c>
      <c r="C1138" s="32" t="n">
        <f aca="false">IF(OR('Raw Orders'!C1135&lt;&gt;"Product",'Raw Orders'!K1135="Cancelled"),0,'Raw Orders'!G1135)</f>
        <v>89</v>
      </c>
      <c r="D1138" s="31" t="n">
        <f aca="false">IF(AND('Raw Orders'!C1135="Product",'Raw Orders'!K1135="Fulfilled",COUNTIFS('Raw Orders'!$A$2:$A1135,'Raw Orders'!A1135,'Raw Orders'!$C$2:$C1135,"Product",'Raw Orders'!$K$2:$K1135,"Fulfilled")=1),1,0)</f>
        <v>1</v>
      </c>
      <c r="E1138" s="31" t="n">
        <f aca="false">IF(AND('Raw Orders'!C1135="Product",'Raw Orders'!K1135="Fulfilled"),'Raw Orders'!E1135,0)</f>
        <v>1</v>
      </c>
      <c r="F1138" s="32" t="n">
        <f aca="false">IF('Raw Orders'!K1135="Refunded",'Raw Orders'!G1135,0)</f>
        <v>0</v>
      </c>
    </row>
    <row r="1139" customFormat="false" ht="15" hidden="false" customHeight="false" outlineLevel="0" collapsed="false">
      <c r="A1139" s="36" t="n">
        <f aca="false">IF('Raw Orders'!B1136="","",IF(MID('Raw Orders'!B1136,5,1)="-",DATE(VALUE(LEFT('Raw Orders'!B1136,4)),VALUE(MID('Raw Orders'!B1136,6,2)),VALUE(MID('Raw Orders'!B1136,9,2))),DATE(VALUE(MID('Raw Orders'!B1136,7,4)),VALUE(MID('Raw Orders'!B1136,4,2)),VALUE(LEFT('Raw Orders'!B1136,2)))))</f>
        <v>46207</v>
      </c>
      <c r="B1139" s="36" t="n">
        <f aca="false">IF(A1139="","",A1139-WEEKDAY(A1139,3))</f>
        <v>46202</v>
      </c>
      <c r="C1139" s="32" t="n">
        <f aca="false">IF(OR('Raw Orders'!C1136&lt;&gt;"Product",'Raw Orders'!K1136="Cancelled"),0,'Raw Orders'!G1136)</f>
        <v>0</v>
      </c>
      <c r="D1139" s="31" t="n">
        <f aca="false">IF(AND('Raw Orders'!C1136="Product",'Raw Orders'!K1136="Fulfilled",COUNTIFS('Raw Orders'!$A$2:$A1136,'Raw Orders'!A1136,'Raw Orders'!$C$2:$C1136,"Product",'Raw Orders'!$K$2:$K1136,"Fulfilled")=1),1,0)</f>
        <v>0</v>
      </c>
      <c r="E1139" s="31" t="n">
        <f aca="false">IF(AND('Raw Orders'!C1136="Product",'Raw Orders'!K1136="Fulfilled"),'Raw Orders'!E1136,0)</f>
        <v>0</v>
      </c>
      <c r="F1139" s="32" t="n">
        <f aca="false">IF('Raw Orders'!K1136="Refunded",'Raw Orders'!G1136,0)</f>
        <v>0</v>
      </c>
    </row>
    <row r="1140" customFormat="false" ht="15" hidden="false" customHeight="false" outlineLevel="0" collapsed="false">
      <c r="A1140" s="36" t="n">
        <f aca="false">IF('Raw Orders'!B1137="","",IF(MID('Raw Orders'!B1137,5,1)="-",DATE(VALUE(LEFT('Raw Orders'!B1137,4)),VALUE(MID('Raw Orders'!B1137,6,2)),VALUE(MID('Raw Orders'!B1137,9,2))),DATE(VALUE(MID('Raw Orders'!B1137,7,4)),VALUE(MID('Raw Orders'!B1137,4,2)),VALUE(LEFT('Raw Orders'!B1137,2)))))</f>
        <v>46207</v>
      </c>
      <c r="B1140" s="36" t="n">
        <f aca="false">IF(A1140="","",A1140-WEEKDAY(A1140,3))</f>
        <v>46202</v>
      </c>
      <c r="C1140" s="32" t="n">
        <f aca="false">IF(OR('Raw Orders'!C1137&lt;&gt;"Product",'Raw Orders'!K1137="Cancelled"),0,'Raw Orders'!G1137)</f>
        <v>32</v>
      </c>
      <c r="D1140" s="31" t="n">
        <f aca="false">IF(AND('Raw Orders'!C1137="Product",'Raw Orders'!K1137="Fulfilled",COUNTIFS('Raw Orders'!$A$2:$A1137,'Raw Orders'!A1137,'Raw Orders'!$C$2:$C1137,"Product",'Raw Orders'!$K$2:$K1137,"Fulfilled")=1),1,0)</f>
        <v>1</v>
      </c>
      <c r="E1140" s="31" t="n">
        <f aca="false">IF(AND('Raw Orders'!C1137="Product",'Raw Orders'!K1137="Fulfilled"),'Raw Orders'!E1137,0)</f>
        <v>1</v>
      </c>
      <c r="F1140" s="32" t="n">
        <f aca="false">IF('Raw Orders'!K1137="Refunded",'Raw Orders'!G1137,0)</f>
        <v>0</v>
      </c>
    </row>
    <row r="1141" customFormat="false" ht="15" hidden="false" customHeight="false" outlineLevel="0" collapsed="false">
      <c r="A1141" s="36" t="n">
        <f aca="false">IF('Raw Orders'!B1138="","",IF(MID('Raw Orders'!B1138,5,1)="-",DATE(VALUE(LEFT('Raw Orders'!B1138,4)),VALUE(MID('Raw Orders'!B1138,6,2)),VALUE(MID('Raw Orders'!B1138,9,2))),DATE(VALUE(MID('Raw Orders'!B1138,7,4)),VALUE(MID('Raw Orders'!B1138,4,2)),VALUE(LEFT('Raw Orders'!B1138,2)))))</f>
        <v>46207</v>
      </c>
      <c r="B1141" s="36" t="n">
        <f aca="false">IF(A1141="","",A1141-WEEKDAY(A1141,3))</f>
        <v>46202</v>
      </c>
      <c r="C1141" s="32" t="n">
        <f aca="false">IF(OR('Raw Orders'!C1138&lt;&gt;"Product",'Raw Orders'!K1138="Cancelled"),0,'Raw Orders'!G1138)</f>
        <v>58</v>
      </c>
      <c r="D1141" s="31" t="n">
        <f aca="false">IF(AND('Raw Orders'!C1138="Product",'Raw Orders'!K1138="Fulfilled",COUNTIFS('Raw Orders'!$A$2:$A1138,'Raw Orders'!A1138,'Raw Orders'!$C$2:$C1138,"Product",'Raw Orders'!$K$2:$K1138,"Fulfilled")=1),1,0)</f>
        <v>1</v>
      </c>
      <c r="E1141" s="31" t="n">
        <f aca="false">IF(AND('Raw Orders'!C1138="Product",'Raw Orders'!K1138="Fulfilled"),'Raw Orders'!E1138,0)</f>
        <v>2</v>
      </c>
      <c r="F1141" s="32" t="n">
        <f aca="false">IF('Raw Orders'!K1138="Refunded",'Raw Orders'!G1138,0)</f>
        <v>0</v>
      </c>
    </row>
    <row r="1142" customFormat="false" ht="15" hidden="false" customHeight="false" outlineLevel="0" collapsed="false">
      <c r="A1142" s="36" t="n">
        <f aca="false">IF('Raw Orders'!B1139="","",IF(MID('Raw Orders'!B1139,5,1)="-",DATE(VALUE(LEFT('Raw Orders'!B1139,4)),VALUE(MID('Raw Orders'!B1139,6,2)),VALUE(MID('Raw Orders'!B1139,9,2))),DATE(VALUE(MID('Raw Orders'!B1139,7,4)),VALUE(MID('Raw Orders'!B1139,4,2)),VALUE(LEFT('Raw Orders'!B1139,2)))))</f>
        <v>46207</v>
      </c>
      <c r="B1142" s="36" t="n">
        <f aca="false">IF(A1142="","",A1142-WEEKDAY(A1142,3))</f>
        <v>46202</v>
      </c>
      <c r="C1142" s="32" t="n">
        <f aca="false">IF(OR('Raw Orders'!C1139&lt;&gt;"Product",'Raw Orders'!K1139="Cancelled"),0,'Raw Orders'!G1139)</f>
        <v>90</v>
      </c>
      <c r="D1142" s="31" t="n">
        <f aca="false">IF(AND('Raw Orders'!C1139="Product",'Raw Orders'!K1139="Fulfilled",COUNTIFS('Raw Orders'!$A$2:$A1139,'Raw Orders'!A1139,'Raw Orders'!$C$2:$C1139,"Product",'Raw Orders'!$K$2:$K1139,"Fulfilled")=1),1,0)</f>
        <v>0</v>
      </c>
      <c r="E1142" s="31" t="n">
        <f aca="false">IF(AND('Raw Orders'!C1139="Product",'Raw Orders'!K1139="Fulfilled"),'Raw Orders'!E1139,0)</f>
        <v>2</v>
      </c>
      <c r="F1142" s="32" t="n">
        <f aca="false">IF('Raw Orders'!K1139="Refunded",'Raw Orders'!G1139,0)</f>
        <v>0</v>
      </c>
    </row>
    <row r="1143" customFormat="false" ht="15" hidden="false" customHeight="false" outlineLevel="0" collapsed="false">
      <c r="A1143" s="36" t="n">
        <f aca="false">IF('Raw Orders'!B1140="","",IF(MID('Raw Orders'!B1140,5,1)="-",DATE(VALUE(LEFT('Raw Orders'!B1140,4)),VALUE(MID('Raw Orders'!B1140,6,2)),VALUE(MID('Raw Orders'!B1140,9,2))),DATE(VALUE(MID('Raw Orders'!B1140,7,4)),VALUE(MID('Raw Orders'!B1140,4,2)),VALUE(LEFT('Raw Orders'!B1140,2)))))</f>
        <v>46207</v>
      </c>
      <c r="B1143" s="36" t="n">
        <f aca="false">IF(A1143="","",A1143-WEEKDAY(A1143,3))</f>
        <v>46202</v>
      </c>
      <c r="C1143" s="32" t="n">
        <f aca="false">IF(OR('Raw Orders'!C1140&lt;&gt;"Product",'Raw Orders'!K1140="Cancelled"),0,'Raw Orders'!G1140)</f>
        <v>0</v>
      </c>
      <c r="D1143" s="31" t="n">
        <f aca="false">IF(AND('Raw Orders'!C1140="Product",'Raw Orders'!K1140="Fulfilled",COUNTIFS('Raw Orders'!$A$2:$A1140,'Raw Orders'!A1140,'Raw Orders'!$C$2:$C1140,"Product",'Raw Orders'!$K$2:$K1140,"Fulfilled")=1),1,0)</f>
        <v>0</v>
      </c>
      <c r="E1143" s="31" t="n">
        <f aca="false">IF(AND('Raw Orders'!C1140="Product",'Raw Orders'!K1140="Fulfilled"),'Raw Orders'!E1140,0)</f>
        <v>0</v>
      </c>
      <c r="F1143" s="32" t="n">
        <f aca="false">IF('Raw Orders'!K1140="Refunded",'Raw Orders'!G1140,0)</f>
        <v>0</v>
      </c>
    </row>
    <row r="1144" customFormat="false" ht="15" hidden="false" customHeight="false" outlineLevel="0" collapsed="false">
      <c r="A1144" s="36" t="n">
        <f aca="false">IF('Raw Orders'!B1141="","",IF(MID('Raw Orders'!B1141,5,1)="-",DATE(VALUE(LEFT('Raw Orders'!B1141,4)),VALUE(MID('Raw Orders'!B1141,6,2)),VALUE(MID('Raw Orders'!B1141,9,2))),DATE(VALUE(MID('Raw Orders'!B1141,7,4)),VALUE(MID('Raw Orders'!B1141,4,2)),VALUE(LEFT('Raw Orders'!B1141,2)))))</f>
        <v>46207</v>
      </c>
      <c r="B1144" s="36" t="n">
        <f aca="false">IF(A1144="","",A1144-WEEKDAY(A1144,3))</f>
        <v>46202</v>
      </c>
      <c r="C1144" s="32" t="n">
        <f aca="false">IF(OR('Raw Orders'!C1141&lt;&gt;"Product",'Raw Orders'!K1141="Cancelled"),0,'Raw Orders'!G1141)</f>
        <v>89</v>
      </c>
      <c r="D1144" s="31" t="n">
        <f aca="false">IF(AND('Raw Orders'!C1141="Product",'Raw Orders'!K1141="Fulfilled",COUNTIFS('Raw Orders'!$A$2:$A1141,'Raw Orders'!A1141,'Raw Orders'!$C$2:$C1141,"Product",'Raw Orders'!$K$2:$K1141,"Fulfilled")=1),1,0)</f>
        <v>1</v>
      </c>
      <c r="E1144" s="31" t="n">
        <f aca="false">IF(AND('Raw Orders'!C1141="Product",'Raw Orders'!K1141="Fulfilled"),'Raw Orders'!E1141,0)</f>
        <v>1</v>
      </c>
      <c r="F1144" s="32" t="n">
        <f aca="false">IF('Raw Orders'!K1141="Refunded",'Raw Orders'!G1141,0)</f>
        <v>0</v>
      </c>
    </row>
    <row r="1145" customFormat="false" ht="15" hidden="false" customHeight="false" outlineLevel="0" collapsed="false">
      <c r="A1145" s="36" t="n">
        <f aca="false">IF('Raw Orders'!B1142="","",IF(MID('Raw Orders'!B1142,5,1)="-",DATE(VALUE(LEFT('Raw Orders'!B1142,4)),VALUE(MID('Raw Orders'!B1142,6,2)),VALUE(MID('Raw Orders'!B1142,9,2))),DATE(VALUE(MID('Raw Orders'!B1142,7,4)),VALUE(MID('Raw Orders'!B1142,4,2)),VALUE(LEFT('Raw Orders'!B1142,2)))))</f>
        <v>46207</v>
      </c>
      <c r="B1145" s="36" t="n">
        <f aca="false">IF(A1145="","",A1145-WEEKDAY(A1145,3))</f>
        <v>46202</v>
      </c>
      <c r="C1145" s="32" t="n">
        <f aca="false">IF(OR('Raw Orders'!C1142&lt;&gt;"Product",'Raw Orders'!K1142="Cancelled"),0,'Raw Orders'!G1142)</f>
        <v>0</v>
      </c>
      <c r="D1145" s="31" t="n">
        <f aca="false">IF(AND('Raw Orders'!C1142="Product",'Raw Orders'!K1142="Fulfilled",COUNTIFS('Raw Orders'!$A$2:$A1142,'Raw Orders'!A1142,'Raw Orders'!$C$2:$C1142,"Product",'Raw Orders'!$K$2:$K1142,"Fulfilled")=1),1,0)</f>
        <v>0</v>
      </c>
      <c r="E1145" s="31" t="n">
        <f aca="false">IF(AND('Raw Orders'!C1142="Product",'Raw Orders'!K1142="Fulfilled"),'Raw Orders'!E1142,0)</f>
        <v>0</v>
      </c>
      <c r="F1145" s="32" t="n">
        <f aca="false">IF('Raw Orders'!K1142="Refunded",'Raw Orders'!G1142,0)</f>
        <v>0</v>
      </c>
    </row>
    <row r="1146" customFormat="false" ht="15" hidden="false" customHeight="false" outlineLevel="0" collapsed="false">
      <c r="A1146" s="36" t="n">
        <f aca="false">IF('Raw Orders'!B1143="","",IF(MID('Raw Orders'!B1143,5,1)="-",DATE(VALUE(LEFT('Raw Orders'!B1143,4)),VALUE(MID('Raw Orders'!B1143,6,2)),VALUE(MID('Raw Orders'!B1143,9,2))),DATE(VALUE(MID('Raw Orders'!B1143,7,4)),VALUE(MID('Raw Orders'!B1143,4,2)),VALUE(LEFT('Raw Orders'!B1143,2)))))</f>
        <v>46207</v>
      </c>
      <c r="B1146" s="36" t="n">
        <f aca="false">IF(A1146="","",A1146-WEEKDAY(A1146,3))</f>
        <v>46202</v>
      </c>
      <c r="C1146" s="32" t="n">
        <f aca="false">IF(OR('Raw Orders'!C1143&lt;&gt;"Product",'Raw Orders'!K1143="Cancelled"),0,'Raw Orders'!G1143)</f>
        <v>29</v>
      </c>
      <c r="D1146" s="31" t="n">
        <f aca="false">IF(AND('Raw Orders'!C1143="Product",'Raw Orders'!K1143="Fulfilled",COUNTIFS('Raw Orders'!$A$2:$A1143,'Raw Orders'!A1143,'Raw Orders'!$C$2:$C1143,"Product",'Raw Orders'!$K$2:$K1143,"Fulfilled")=1),1,0)</f>
        <v>0</v>
      </c>
      <c r="E1146" s="31" t="n">
        <f aca="false">IF(AND('Raw Orders'!C1143="Product",'Raw Orders'!K1143="Fulfilled"),'Raw Orders'!E1143,0)</f>
        <v>1</v>
      </c>
      <c r="F1146" s="32" t="n">
        <f aca="false">IF('Raw Orders'!K1143="Refunded",'Raw Orders'!G1143,0)</f>
        <v>0</v>
      </c>
    </row>
    <row r="1147" customFormat="false" ht="15" hidden="false" customHeight="false" outlineLevel="0" collapsed="false">
      <c r="A1147" s="36" t="n">
        <f aca="false">IF('Raw Orders'!B1144="","",IF(MID('Raw Orders'!B1144,5,1)="-",DATE(VALUE(LEFT('Raw Orders'!B1144,4)),VALUE(MID('Raw Orders'!B1144,6,2)),VALUE(MID('Raw Orders'!B1144,9,2))),DATE(VALUE(MID('Raw Orders'!B1144,7,4)),VALUE(MID('Raw Orders'!B1144,4,2)),VALUE(LEFT('Raw Orders'!B1144,2)))))</f>
        <v>46207</v>
      </c>
      <c r="B1147" s="36" t="n">
        <f aca="false">IF(A1147="","",A1147-WEEKDAY(A1147,3))</f>
        <v>46202</v>
      </c>
      <c r="C1147" s="32" t="n">
        <f aca="false">IF(OR('Raw Orders'!C1144&lt;&gt;"Product",'Raw Orders'!K1144="Cancelled"),0,'Raw Orders'!G1144)</f>
        <v>0</v>
      </c>
      <c r="D1147" s="31" t="n">
        <f aca="false">IF(AND('Raw Orders'!C1144="Product",'Raw Orders'!K1144="Fulfilled",COUNTIFS('Raw Orders'!$A$2:$A1144,'Raw Orders'!A1144,'Raw Orders'!$C$2:$C1144,"Product",'Raw Orders'!$K$2:$K1144,"Fulfilled")=1),1,0)</f>
        <v>0</v>
      </c>
      <c r="E1147" s="31" t="n">
        <f aca="false">IF(AND('Raw Orders'!C1144="Product",'Raw Orders'!K1144="Fulfilled"),'Raw Orders'!E1144,0)</f>
        <v>0</v>
      </c>
      <c r="F1147" s="32" t="n">
        <f aca="false">IF('Raw Orders'!K1144="Refunded",'Raw Orders'!G1144,0)</f>
        <v>0</v>
      </c>
    </row>
    <row r="1148" customFormat="false" ht="15" hidden="false" customHeight="false" outlineLevel="0" collapsed="false">
      <c r="A1148" s="36" t="n">
        <f aca="false">IF('Raw Orders'!B1145="","",IF(MID('Raw Orders'!B1145,5,1)="-",DATE(VALUE(LEFT('Raw Orders'!B1145,4)),VALUE(MID('Raw Orders'!B1145,6,2)),VALUE(MID('Raw Orders'!B1145,9,2))),DATE(VALUE(MID('Raw Orders'!B1145,7,4)),VALUE(MID('Raw Orders'!B1145,4,2)),VALUE(LEFT('Raw Orders'!B1145,2)))))</f>
        <v>46207</v>
      </c>
      <c r="B1148" s="36" t="n">
        <f aca="false">IF(A1148="","",A1148-WEEKDAY(A1148,3))</f>
        <v>46202</v>
      </c>
      <c r="C1148" s="32" t="n">
        <f aca="false">IF(OR('Raw Orders'!C1145&lt;&gt;"Product",'Raw Orders'!K1145="Cancelled"),0,'Raw Orders'!G1145)</f>
        <v>75</v>
      </c>
      <c r="D1148" s="31" t="n">
        <f aca="false">IF(AND('Raw Orders'!C1145="Product",'Raw Orders'!K1145="Fulfilled",COUNTIFS('Raw Orders'!$A$2:$A1145,'Raw Orders'!A1145,'Raw Orders'!$C$2:$C1145,"Product",'Raw Orders'!$K$2:$K1145,"Fulfilled")=1),1,0)</f>
        <v>1</v>
      </c>
      <c r="E1148" s="31" t="n">
        <f aca="false">IF(AND('Raw Orders'!C1145="Product",'Raw Orders'!K1145="Fulfilled"),'Raw Orders'!E1145,0)</f>
        <v>1</v>
      </c>
      <c r="F1148" s="32" t="n">
        <f aca="false">IF('Raw Orders'!K1145="Refunded",'Raw Orders'!G1145,0)</f>
        <v>0</v>
      </c>
    </row>
    <row r="1149" customFormat="false" ht="15" hidden="false" customHeight="false" outlineLevel="0" collapsed="false">
      <c r="A1149" s="36" t="n">
        <f aca="false">IF('Raw Orders'!B1146="","",IF(MID('Raw Orders'!B1146,5,1)="-",DATE(VALUE(LEFT('Raw Orders'!B1146,4)),VALUE(MID('Raw Orders'!B1146,6,2)),VALUE(MID('Raw Orders'!B1146,9,2))),DATE(VALUE(MID('Raw Orders'!B1146,7,4)),VALUE(MID('Raw Orders'!B1146,4,2)),VALUE(LEFT('Raw Orders'!B1146,2)))))</f>
        <v>46207</v>
      </c>
      <c r="B1149" s="36" t="n">
        <f aca="false">IF(A1149="","",A1149-WEEKDAY(A1149,3))</f>
        <v>46202</v>
      </c>
      <c r="C1149" s="32" t="n">
        <f aca="false">IF(OR('Raw Orders'!C1146&lt;&gt;"Product",'Raw Orders'!K1146="Cancelled"),0,'Raw Orders'!G1146)</f>
        <v>35.2</v>
      </c>
      <c r="D1149" s="31" t="n">
        <f aca="false">IF(AND('Raw Orders'!C1146="Product",'Raw Orders'!K1146="Fulfilled",COUNTIFS('Raw Orders'!$A$2:$A1146,'Raw Orders'!A1146,'Raw Orders'!$C$2:$C1146,"Product",'Raw Orders'!$K$2:$K1146,"Fulfilled")=1),1,0)</f>
        <v>1</v>
      </c>
      <c r="E1149" s="31" t="n">
        <f aca="false">IF(AND('Raw Orders'!C1146="Product",'Raw Orders'!K1146="Fulfilled"),'Raw Orders'!E1146,0)</f>
        <v>2</v>
      </c>
      <c r="F1149" s="32" t="n">
        <f aca="false">IF('Raw Orders'!K1146="Refunded",'Raw Orders'!G1146,0)</f>
        <v>0</v>
      </c>
    </row>
    <row r="1150" customFormat="false" ht="15" hidden="false" customHeight="false" outlineLevel="0" collapsed="false">
      <c r="A1150" s="36" t="n">
        <f aca="false">IF('Raw Orders'!B1147="","",IF(MID('Raw Orders'!B1147,5,1)="-",DATE(VALUE(LEFT('Raw Orders'!B1147,4)),VALUE(MID('Raw Orders'!B1147,6,2)),VALUE(MID('Raw Orders'!B1147,9,2))),DATE(VALUE(MID('Raw Orders'!B1147,7,4)),VALUE(MID('Raw Orders'!B1147,4,2)),VALUE(LEFT('Raw Orders'!B1147,2)))))</f>
        <v>46207</v>
      </c>
      <c r="B1150" s="36" t="n">
        <f aca="false">IF(A1150="","",A1150-WEEKDAY(A1150,3))</f>
        <v>46202</v>
      </c>
      <c r="C1150" s="32" t="n">
        <f aca="false">IF(OR('Raw Orders'!C1147&lt;&gt;"Product",'Raw Orders'!K1147="Cancelled"),0,'Raw Orders'!G1147)</f>
        <v>29</v>
      </c>
      <c r="D1150" s="31" t="n">
        <f aca="false">IF(AND('Raw Orders'!C1147="Product",'Raw Orders'!K1147="Fulfilled",COUNTIFS('Raw Orders'!$A$2:$A1147,'Raw Orders'!A1147,'Raw Orders'!$C$2:$C1147,"Product",'Raw Orders'!$K$2:$K1147,"Fulfilled")=1),1,0)</f>
        <v>0</v>
      </c>
      <c r="E1150" s="31" t="n">
        <f aca="false">IF(AND('Raw Orders'!C1147="Product",'Raw Orders'!K1147="Fulfilled"),'Raw Orders'!E1147,0)</f>
        <v>1</v>
      </c>
      <c r="F1150" s="32" t="n">
        <f aca="false">IF('Raw Orders'!K1147="Refunded",'Raw Orders'!G1147,0)</f>
        <v>0</v>
      </c>
    </row>
    <row r="1151" customFormat="false" ht="15" hidden="false" customHeight="false" outlineLevel="0" collapsed="false">
      <c r="A1151" s="36" t="n">
        <f aca="false">IF('Raw Orders'!B1148="","",IF(MID('Raw Orders'!B1148,5,1)="-",DATE(VALUE(LEFT('Raw Orders'!B1148,4)),VALUE(MID('Raw Orders'!B1148,6,2)),VALUE(MID('Raw Orders'!B1148,9,2))),DATE(VALUE(MID('Raw Orders'!B1148,7,4)),VALUE(MID('Raw Orders'!B1148,4,2)),VALUE(LEFT('Raw Orders'!B1148,2)))))</f>
        <v>46207</v>
      </c>
      <c r="B1151" s="36" t="n">
        <f aca="false">IF(A1151="","",A1151-WEEKDAY(A1151,3))</f>
        <v>46202</v>
      </c>
      <c r="C1151" s="32" t="n">
        <f aca="false">IF(OR('Raw Orders'!C1148&lt;&gt;"Product",'Raw Orders'!K1148="Cancelled"),0,'Raw Orders'!G1148)</f>
        <v>31.5</v>
      </c>
      <c r="D1151" s="31" t="n">
        <f aca="false">IF(AND('Raw Orders'!C1148="Product",'Raw Orders'!K1148="Fulfilled",COUNTIFS('Raw Orders'!$A$2:$A1148,'Raw Orders'!A1148,'Raw Orders'!$C$2:$C1148,"Product",'Raw Orders'!$K$2:$K1148,"Fulfilled")=1),1,0)</f>
        <v>0</v>
      </c>
      <c r="E1151" s="31" t="n">
        <f aca="false">IF(AND('Raw Orders'!C1148="Product",'Raw Orders'!K1148="Fulfilled"),'Raw Orders'!E1148,0)</f>
        <v>1</v>
      </c>
      <c r="F1151" s="32" t="n">
        <f aca="false">IF('Raw Orders'!K1148="Refunded",'Raw Orders'!G1148,0)</f>
        <v>0</v>
      </c>
    </row>
    <row r="1152" customFormat="false" ht="15" hidden="false" customHeight="false" outlineLevel="0" collapsed="false">
      <c r="A1152" s="36" t="n">
        <f aca="false">IF('Raw Orders'!B1149="","",IF(MID('Raw Orders'!B1149,5,1)="-",DATE(VALUE(LEFT('Raw Orders'!B1149,4)),VALUE(MID('Raw Orders'!B1149,6,2)),VALUE(MID('Raw Orders'!B1149,9,2))),DATE(VALUE(MID('Raw Orders'!B1149,7,4)),VALUE(MID('Raw Orders'!B1149,4,2)),VALUE(LEFT('Raw Orders'!B1149,2)))))</f>
        <v>46207</v>
      </c>
      <c r="B1152" s="36" t="n">
        <f aca="false">IF(A1152="","",A1152-WEEKDAY(A1152,3))</f>
        <v>46202</v>
      </c>
      <c r="C1152" s="32" t="n">
        <f aca="false">IF(OR('Raw Orders'!C1149&lt;&gt;"Product",'Raw Orders'!K1149="Cancelled"),0,'Raw Orders'!G1149)</f>
        <v>0</v>
      </c>
      <c r="D1152" s="31" t="n">
        <f aca="false">IF(AND('Raw Orders'!C1149="Product",'Raw Orders'!K1149="Fulfilled",COUNTIFS('Raw Orders'!$A$2:$A1149,'Raw Orders'!A1149,'Raw Orders'!$C$2:$C1149,"Product",'Raw Orders'!$K$2:$K1149,"Fulfilled")=1),1,0)</f>
        <v>0</v>
      </c>
      <c r="E1152" s="31" t="n">
        <f aca="false">IF(AND('Raw Orders'!C1149="Product",'Raw Orders'!K1149="Fulfilled"),'Raw Orders'!E1149,0)</f>
        <v>0</v>
      </c>
      <c r="F1152" s="32" t="n">
        <f aca="false">IF('Raw Orders'!K1149="Refunded",'Raw Orders'!G1149,0)</f>
        <v>0</v>
      </c>
    </row>
    <row r="1153" customFormat="false" ht="15" hidden="false" customHeight="false" outlineLevel="0" collapsed="false">
      <c r="A1153" s="36" t="n">
        <f aca="false">IF('Raw Orders'!B1150="","",IF(MID('Raw Orders'!B1150,5,1)="-",DATE(VALUE(LEFT('Raw Orders'!B1150,4)),VALUE(MID('Raw Orders'!B1150,6,2)),VALUE(MID('Raw Orders'!B1150,9,2))),DATE(VALUE(MID('Raw Orders'!B1150,7,4)),VALUE(MID('Raw Orders'!B1150,4,2)),VALUE(LEFT('Raw Orders'!B1150,2)))))</f>
        <v>46207</v>
      </c>
      <c r="B1153" s="36" t="n">
        <f aca="false">IF(A1153="","",A1153-WEEKDAY(A1153,3))</f>
        <v>46202</v>
      </c>
      <c r="C1153" s="32" t="n">
        <f aca="false">IF(OR('Raw Orders'!C1150&lt;&gt;"Product",'Raw Orders'!K1150="Cancelled"),0,'Raw Orders'!G1150)</f>
        <v>32</v>
      </c>
      <c r="D1153" s="31" t="n">
        <f aca="false">IF(AND('Raw Orders'!C1150="Product",'Raw Orders'!K1150="Fulfilled",COUNTIFS('Raw Orders'!$A$2:$A1150,'Raw Orders'!A1150,'Raw Orders'!$C$2:$C1150,"Product",'Raw Orders'!$K$2:$K1150,"Fulfilled")=1),1,0)</f>
        <v>1</v>
      </c>
      <c r="E1153" s="31" t="n">
        <f aca="false">IF(AND('Raw Orders'!C1150="Product",'Raw Orders'!K1150="Fulfilled"),'Raw Orders'!E1150,0)</f>
        <v>1</v>
      </c>
      <c r="F1153" s="32" t="n">
        <f aca="false">IF('Raw Orders'!K1150="Refunded",'Raw Orders'!G1150,0)</f>
        <v>0</v>
      </c>
    </row>
    <row r="1154" customFormat="false" ht="15" hidden="false" customHeight="false" outlineLevel="0" collapsed="false">
      <c r="A1154" s="36" t="n">
        <f aca="false">IF('Raw Orders'!B1151="","",IF(MID('Raw Orders'!B1151,5,1)="-",DATE(VALUE(LEFT('Raw Orders'!B1151,4)),VALUE(MID('Raw Orders'!B1151,6,2)),VALUE(MID('Raw Orders'!B1151,9,2))),DATE(VALUE(MID('Raw Orders'!B1151,7,4)),VALUE(MID('Raw Orders'!B1151,4,2)),VALUE(LEFT('Raw Orders'!B1151,2)))))</f>
        <v>46207</v>
      </c>
      <c r="B1154" s="36" t="n">
        <f aca="false">IF(A1154="","",A1154-WEEKDAY(A1154,3))</f>
        <v>46202</v>
      </c>
      <c r="C1154" s="32" t="n">
        <f aca="false">IF(OR('Raw Orders'!C1151&lt;&gt;"Product",'Raw Orders'!K1151="Cancelled"),0,'Raw Orders'!G1151)</f>
        <v>22</v>
      </c>
      <c r="D1154" s="31" t="n">
        <f aca="false">IF(AND('Raw Orders'!C1151="Product",'Raw Orders'!K1151="Fulfilled",COUNTIFS('Raw Orders'!$A$2:$A1151,'Raw Orders'!A1151,'Raw Orders'!$C$2:$C1151,"Product",'Raw Orders'!$K$2:$K1151,"Fulfilled")=1),1,0)</f>
        <v>1</v>
      </c>
      <c r="E1154" s="31" t="n">
        <f aca="false">IF(AND('Raw Orders'!C1151="Product",'Raw Orders'!K1151="Fulfilled"),'Raw Orders'!E1151,0)</f>
        <v>1</v>
      </c>
      <c r="F1154" s="32" t="n">
        <f aca="false">IF('Raw Orders'!K1151="Refunded",'Raw Orders'!G1151,0)</f>
        <v>0</v>
      </c>
    </row>
    <row r="1155" customFormat="false" ht="15" hidden="false" customHeight="false" outlineLevel="0" collapsed="false">
      <c r="A1155" s="36" t="n">
        <f aca="false">IF('Raw Orders'!B1152="","",IF(MID('Raw Orders'!B1152,5,1)="-",DATE(VALUE(LEFT('Raw Orders'!B1152,4)),VALUE(MID('Raw Orders'!B1152,6,2)),VALUE(MID('Raw Orders'!B1152,9,2))),DATE(VALUE(MID('Raw Orders'!B1152,7,4)),VALUE(MID('Raw Orders'!B1152,4,2)),VALUE(LEFT('Raw Orders'!B1152,2)))))</f>
        <v>46208</v>
      </c>
      <c r="B1155" s="36" t="n">
        <f aca="false">IF(A1155="","",A1155-WEEKDAY(A1155,3))</f>
        <v>46202</v>
      </c>
      <c r="C1155" s="32" t="n">
        <f aca="false">IF(OR('Raw Orders'!C1152&lt;&gt;"Product",'Raw Orders'!K1152="Cancelled"),0,'Raw Orders'!G1152)</f>
        <v>0</v>
      </c>
      <c r="D1155" s="31" t="n">
        <f aca="false">IF(AND('Raw Orders'!C1152="Product",'Raw Orders'!K1152="Fulfilled",COUNTIFS('Raw Orders'!$A$2:$A1152,'Raw Orders'!A1152,'Raw Orders'!$C$2:$C1152,"Product",'Raw Orders'!$K$2:$K1152,"Fulfilled")=1),1,0)</f>
        <v>0</v>
      </c>
      <c r="E1155" s="31" t="n">
        <f aca="false">IF(AND('Raw Orders'!C1152="Product",'Raw Orders'!K1152="Fulfilled"),'Raw Orders'!E1152,0)</f>
        <v>0</v>
      </c>
      <c r="F1155" s="32" t="n">
        <f aca="false">IF('Raw Orders'!K1152="Refunded",'Raw Orders'!G1152,0)</f>
        <v>0</v>
      </c>
    </row>
    <row r="1156" customFormat="false" ht="15" hidden="false" customHeight="false" outlineLevel="0" collapsed="false">
      <c r="A1156" s="36" t="n">
        <f aca="false">IF('Raw Orders'!B1153="","",IF(MID('Raw Orders'!B1153,5,1)="-",DATE(VALUE(LEFT('Raw Orders'!B1153,4)),VALUE(MID('Raw Orders'!B1153,6,2)),VALUE(MID('Raw Orders'!B1153,9,2))),DATE(VALUE(MID('Raw Orders'!B1153,7,4)),VALUE(MID('Raw Orders'!B1153,4,2)),VALUE(LEFT('Raw Orders'!B1153,2)))))</f>
        <v>46208</v>
      </c>
      <c r="B1156" s="36" t="n">
        <f aca="false">IF(A1156="","",A1156-WEEKDAY(A1156,3))</f>
        <v>46202</v>
      </c>
      <c r="C1156" s="32" t="n">
        <f aca="false">IF(OR('Raw Orders'!C1153&lt;&gt;"Product",'Raw Orders'!K1153="Cancelled"),0,'Raw Orders'!G1153)</f>
        <v>29</v>
      </c>
      <c r="D1156" s="31" t="n">
        <f aca="false">IF(AND('Raw Orders'!C1153="Product",'Raw Orders'!K1153="Fulfilled",COUNTIFS('Raw Orders'!$A$2:$A1153,'Raw Orders'!A1153,'Raw Orders'!$C$2:$C1153,"Product",'Raw Orders'!$K$2:$K1153,"Fulfilled")=1),1,0)</f>
        <v>1</v>
      </c>
      <c r="E1156" s="31" t="n">
        <f aca="false">IF(AND('Raw Orders'!C1153="Product",'Raw Orders'!K1153="Fulfilled"),'Raw Orders'!E1153,0)</f>
        <v>1</v>
      </c>
      <c r="F1156" s="32" t="n">
        <f aca="false">IF('Raw Orders'!K1153="Refunded",'Raw Orders'!G1153,0)</f>
        <v>0</v>
      </c>
    </row>
    <row r="1157" customFormat="false" ht="15" hidden="false" customHeight="false" outlineLevel="0" collapsed="false">
      <c r="A1157" s="36" t="n">
        <f aca="false">IF('Raw Orders'!B1154="","",IF(MID('Raw Orders'!B1154,5,1)="-",DATE(VALUE(LEFT('Raw Orders'!B1154,4)),VALUE(MID('Raw Orders'!B1154,6,2)),VALUE(MID('Raw Orders'!B1154,9,2))),DATE(VALUE(MID('Raw Orders'!B1154,7,4)),VALUE(MID('Raw Orders'!B1154,4,2)),VALUE(LEFT('Raw Orders'!B1154,2)))))</f>
        <v>46208</v>
      </c>
      <c r="B1157" s="36" t="n">
        <f aca="false">IF(A1157="","",A1157-WEEKDAY(A1157,3))</f>
        <v>46202</v>
      </c>
      <c r="C1157" s="32" t="n">
        <f aca="false">IF(OR('Raw Orders'!C1154&lt;&gt;"Product",'Raw Orders'!K1154="Cancelled"),0,'Raw Orders'!G1154)</f>
        <v>138</v>
      </c>
      <c r="D1157" s="31" t="n">
        <f aca="false">IF(AND('Raw Orders'!C1154="Product",'Raw Orders'!K1154="Fulfilled",COUNTIFS('Raw Orders'!$A$2:$A1154,'Raw Orders'!A1154,'Raw Orders'!$C$2:$C1154,"Product",'Raw Orders'!$K$2:$K1154,"Fulfilled")=1),1,0)</f>
        <v>1</v>
      </c>
      <c r="E1157" s="31" t="n">
        <f aca="false">IF(AND('Raw Orders'!C1154="Product",'Raw Orders'!K1154="Fulfilled"),'Raw Orders'!E1154,0)</f>
        <v>2</v>
      </c>
      <c r="F1157" s="32" t="n">
        <f aca="false">IF('Raw Orders'!K1154="Refunded",'Raw Orders'!G1154,0)</f>
        <v>0</v>
      </c>
    </row>
    <row r="1158" customFormat="false" ht="15" hidden="false" customHeight="false" outlineLevel="0" collapsed="false">
      <c r="A1158" s="36" t="n">
        <f aca="false">IF('Raw Orders'!B1155="","",IF(MID('Raw Orders'!B1155,5,1)="-",DATE(VALUE(LEFT('Raw Orders'!B1155,4)),VALUE(MID('Raw Orders'!B1155,6,2)),VALUE(MID('Raw Orders'!B1155,9,2))),DATE(VALUE(MID('Raw Orders'!B1155,7,4)),VALUE(MID('Raw Orders'!B1155,4,2)),VALUE(LEFT('Raw Orders'!B1155,2)))))</f>
        <v>46208</v>
      </c>
      <c r="B1158" s="36" t="n">
        <f aca="false">IF(A1158="","",A1158-WEEKDAY(A1158,3))</f>
        <v>46202</v>
      </c>
      <c r="C1158" s="32" t="n">
        <f aca="false">IF(OR('Raw Orders'!C1155&lt;&gt;"Product",'Raw Orders'!K1155="Cancelled"),0,'Raw Orders'!G1155)</f>
        <v>35</v>
      </c>
      <c r="D1158" s="31" t="n">
        <f aca="false">IF(AND('Raw Orders'!C1155="Product",'Raw Orders'!K1155="Fulfilled",COUNTIFS('Raw Orders'!$A$2:$A1155,'Raw Orders'!A1155,'Raw Orders'!$C$2:$C1155,"Product",'Raw Orders'!$K$2:$K1155,"Fulfilled")=1),1,0)</f>
        <v>0</v>
      </c>
      <c r="E1158" s="31" t="n">
        <f aca="false">IF(AND('Raw Orders'!C1155="Product",'Raw Orders'!K1155="Fulfilled"),'Raw Orders'!E1155,0)</f>
        <v>1</v>
      </c>
      <c r="F1158" s="32" t="n">
        <f aca="false">IF('Raw Orders'!K1155="Refunded",'Raw Orders'!G1155,0)</f>
        <v>0</v>
      </c>
    </row>
    <row r="1159" customFormat="false" ht="15" hidden="false" customHeight="false" outlineLevel="0" collapsed="false">
      <c r="A1159" s="36" t="n">
        <f aca="false">IF('Raw Orders'!B1156="","",IF(MID('Raw Orders'!B1156,5,1)="-",DATE(VALUE(LEFT('Raw Orders'!B1156,4)),VALUE(MID('Raw Orders'!B1156,6,2)),VALUE(MID('Raw Orders'!B1156,9,2))),DATE(VALUE(MID('Raw Orders'!B1156,7,4)),VALUE(MID('Raw Orders'!B1156,4,2)),VALUE(LEFT('Raw Orders'!B1156,2)))))</f>
        <v>46208</v>
      </c>
      <c r="B1159" s="36" t="n">
        <f aca="false">IF(A1159="","",A1159-WEEKDAY(A1159,3))</f>
        <v>46202</v>
      </c>
      <c r="C1159" s="32" t="n">
        <f aca="false">IF(OR('Raw Orders'!C1156&lt;&gt;"Product",'Raw Orders'!K1156="Cancelled"),0,'Raw Orders'!G1156)</f>
        <v>-89</v>
      </c>
      <c r="D1159" s="31" t="n">
        <f aca="false">IF(AND('Raw Orders'!C1156="Product",'Raw Orders'!K1156="Fulfilled",COUNTIFS('Raw Orders'!$A$2:$A1156,'Raw Orders'!A1156,'Raw Orders'!$C$2:$C1156,"Product",'Raw Orders'!$K$2:$K1156,"Fulfilled")=1),1,0)</f>
        <v>0</v>
      </c>
      <c r="E1159" s="31" t="n">
        <f aca="false">IF(AND('Raw Orders'!C1156="Product",'Raw Orders'!K1156="Fulfilled"),'Raw Orders'!E1156,0)</f>
        <v>0</v>
      </c>
      <c r="F1159" s="32" t="n">
        <f aca="false">IF('Raw Orders'!K1156="Refunded",'Raw Orders'!G1156,0)</f>
        <v>-89</v>
      </c>
    </row>
    <row r="1160" customFormat="false" ht="15" hidden="false" customHeight="false" outlineLevel="0" collapsed="false">
      <c r="A1160" s="36" t="n">
        <f aca="false">IF('Raw Orders'!B1157="","",IF(MID('Raw Orders'!B1157,5,1)="-",DATE(VALUE(LEFT('Raw Orders'!B1157,4)),VALUE(MID('Raw Orders'!B1157,6,2)),VALUE(MID('Raw Orders'!B1157,9,2))),DATE(VALUE(MID('Raw Orders'!B1157,7,4)),VALUE(MID('Raw Orders'!B1157,4,2)),VALUE(LEFT('Raw Orders'!B1157,2)))))</f>
        <v>46208</v>
      </c>
      <c r="B1160" s="36" t="n">
        <f aca="false">IF(A1160="","",A1160-WEEKDAY(A1160,3))</f>
        <v>46202</v>
      </c>
      <c r="C1160" s="32" t="n">
        <f aca="false">IF(OR('Raw Orders'!C1157&lt;&gt;"Product",'Raw Orders'!K1157="Cancelled"),0,'Raw Orders'!G1157)</f>
        <v>-33.15</v>
      </c>
      <c r="D1160" s="31" t="n">
        <f aca="false">IF(AND('Raw Orders'!C1157="Product",'Raw Orders'!K1157="Fulfilled",COUNTIFS('Raw Orders'!$A$2:$A1157,'Raw Orders'!A1157,'Raw Orders'!$C$2:$C1157,"Product",'Raw Orders'!$K$2:$K1157,"Fulfilled")=1),1,0)</f>
        <v>0</v>
      </c>
      <c r="E1160" s="31" t="n">
        <f aca="false">IF(AND('Raw Orders'!C1157="Product",'Raw Orders'!K1157="Fulfilled"),'Raw Orders'!E1157,0)</f>
        <v>0</v>
      </c>
      <c r="F1160" s="32" t="n">
        <f aca="false">IF('Raw Orders'!K1157="Refunded",'Raw Orders'!G1157,0)</f>
        <v>-33.15</v>
      </c>
    </row>
    <row r="1161" customFormat="false" ht="15" hidden="false" customHeight="false" outlineLevel="0" collapsed="false">
      <c r="A1161" s="36" t="n">
        <f aca="false">IF('Raw Orders'!B1158="","",IF(MID('Raw Orders'!B1158,5,1)="-",DATE(VALUE(LEFT('Raw Orders'!B1158,4)),VALUE(MID('Raw Orders'!B1158,6,2)),VALUE(MID('Raw Orders'!B1158,9,2))),DATE(VALUE(MID('Raw Orders'!B1158,7,4)),VALUE(MID('Raw Orders'!B1158,4,2)),VALUE(LEFT('Raw Orders'!B1158,2)))))</f>
        <v>46208</v>
      </c>
      <c r="B1161" s="36" t="n">
        <f aca="false">IF(A1161="","",A1161-WEEKDAY(A1161,3))</f>
        <v>46202</v>
      </c>
      <c r="C1161" s="32" t="n">
        <f aca="false">IF(OR('Raw Orders'!C1158&lt;&gt;"Product",'Raw Orders'!K1158="Cancelled"),0,'Raw Orders'!G1158)</f>
        <v>-58</v>
      </c>
      <c r="D1161" s="31" t="n">
        <f aca="false">IF(AND('Raw Orders'!C1158="Product",'Raw Orders'!K1158="Fulfilled",COUNTIFS('Raw Orders'!$A$2:$A1158,'Raw Orders'!A1158,'Raw Orders'!$C$2:$C1158,"Product",'Raw Orders'!$K$2:$K1158,"Fulfilled")=1),1,0)</f>
        <v>0</v>
      </c>
      <c r="E1161" s="31" t="n">
        <f aca="false">IF(AND('Raw Orders'!C1158="Product",'Raw Orders'!K1158="Fulfilled"),'Raw Orders'!E1158,0)</f>
        <v>0</v>
      </c>
      <c r="F1161" s="32" t="n">
        <f aca="false">IF('Raw Orders'!K1158="Refunded",'Raw Orders'!G1158,0)</f>
        <v>-58</v>
      </c>
    </row>
    <row r="1162" customFormat="false" ht="15" hidden="false" customHeight="false" outlineLevel="0" collapsed="false">
      <c r="A1162" s="36" t="n">
        <f aca="false">IF('Raw Orders'!B1159="","",IF(MID('Raw Orders'!B1159,5,1)="-",DATE(VALUE(LEFT('Raw Orders'!B1159,4)),VALUE(MID('Raw Orders'!B1159,6,2)),VALUE(MID('Raw Orders'!B1159,9,2))),DATE(VALUE(MID('Raw Orders'!B1159,7,4)),VALUE(MID('Raw Orders'!B1159,4,2)),VALUE(LEFT('Raw Orders'!B1159,2)))))</f>
        <v>46208</v>
      </c>
      <c r="B1162" s="36" t="n">
        <f aca="false">IF(A1162="","",A1162-WEEKDAY(A1162,3))</f>
        <v>46202</v>
      </c>
      <c r="C1162" s="32" t="n">
        <f aca="false">IF(OR('Raw Orders'!C1159&lt;&gt;"Product",'Raw Orders'!K1159="Cancelled"),0,'Raw Orders'!G1159)</f>
        <v>0</v>
      </c>
      <c r="D1162" s="31" t="n">
        <f aca="false">IF(AND('Raw Orders'!C1159="Product",'Raw Orders'!K1159="Fulfilled",COUNTIFS('Raw Orders'!$A$2:$A1159,'Raw Orders'!A1159,'Raw Orders'!$C$2:$C1159,"Product",'Raw Orders'!$K$2:$K1159,"Fulfilled")=1),1,0)</f>
        <v>0</v>
      </c>
      <c r="E1162" s="31" t="n">
        <f aca="false">IF(AND('Raw Orders'!C1159="Product",'Raw Orders'!K1159="Fulfilled"),'Raw Orders'!E1159,0)</f>
        <v>0</v>
      </c>
      <c r="F1162" s="32" t="n">
        <f aca="false">IF('Raw Orders'!K1159="Refunded",'Raw Orders'!G1159,0)</f>
        <v>0</v>
      </c>
    </row>
    <row r="1163" customFormat="false" ht="15" hidden="false" customHeight="false" outlineLevel="0" collapsed="false">
      <c r="A1163" s="36" t="n">
        <f aca="false">IF('Raw Orders'!B1160="","",IF(MID('Raw Orders'!B1160,5,1)="-",DATE(VALUE(LEFT('Raw Orders'!B1160,4)),VALUE(MID('Raw Orders'!B1160,6,2)),VALUE(MID('Raw Orders'!B1160,9,2))),DATE(VALUE(MID('Raw Orders'!B1160,7,4)),VALUE(MID('Raw Orders'!B1160,4,2)),VALUE(LEFT('Raw Orders'!B1160,2)))))</f>
        <v>46208</v>
      </c>
      <c r="B1163" s="36" t="n">
        <f aca="false">IF(A1163="","",A1163-WEEKDAY(A1163,3))</f>
        <v>46202</v>
      </c>
      <c r="C1163" s="32" t="n">
        <f aca="false">IF(OR('Raw Orders'!C1160&lt;&gt;"Product",'Raw Orders'!K1160="Cancelled"),0,'Raw Orders'!G1160)</f>
        <v>0</v>
      </c>
      <c r="D1163" s="31" t="n">
        <f aca="false">IF(AND('Raw Orders'!C1160="Product",'Raw Orders'!K1160="Fulfilled",COUNTIFS('Raw Orders'!$A$2:$A1160,'Raw Orders'!A1160,'Raw Orders'!$C$2:$C1160,"Product",'Raw Orders'!$K$2:$K1160,"Fulfilled")=1),1,0)</f>
        <v>0</v>
      </c>
      <c r="E1163" s="31" t="n">
        <f aca="false">IF(AND('Raw Orders'!C1160="Product",'Raw Orders'!K1160="Fulfilled"),'Raw Orders'!E1160,0)</f>
        <v>0</v>
      </c>
      <c r="F1163" s="32" t="n">
        <f aca="false">IF('Raw Orders'!K1160="Refunded",'Raw Orders'!G1160,0)</f>
        <v>0</v>
      </c>
    </row>
    <row r="1164" customFormat="false" ht="15" hidden="false" customHeight="false" outlineLevel="0" collapsed="false">
      <c r="A1164" s="36" t="n">
        <f aca="false">IF('Raw Orders'!B1161="","",IF(MID('Raw Orders'!B1161,5,1)="-",DATE(VALUE(LEFT('Raw Orders'!B1161,4)),VALUE(MID('Raw Orders'!B1161,6,2)),VALUE(MID('Raw Orders'!B1161,9,2))),DATE(VALUE(MID('Raw Orders'!B1161,7,4)),VALUE(MID('Raw Orders'!B1161,4,2)),VALUE(LEFT('Raw Orders'!B1161,2)))))</f>
        <v>46208</v>
      </c>
      <c r="B1164" s="36" t="n">
        <f aca="false">IF(A1164="","",A1164-WEEKDAY(A1164,3))</f>
        <v>46202</v>
      </c>
      <c r="C1164" s="32" t="n">
        <f aca="false">IF(OR('Raw Orders'!C1161&lt;&gt;"Product",'Raw Orders'!K1161="Cancelled"),0,'Raw Orders'!G1161)</f>
        <v>52</v>
      </c>
      <c r="D1164" s="31" t="n">
        <f aca="false">IF(AND('Raw Orders'!C1161="Product",'Raw Orders'!K1161="Fulfilled",COUNTIFS('Raw Orders'!$A$2:$A1161,'Raw Orders'!A1161,'Raw Orders'!$C$2:$C1161,"Product",'Raw Orders'!$K$2:$K1161,"Fulfilled")=1),1,0)</f>
        <v>1</v>
      </c>
      <c r="E1164" s="31" t="n">
        <f aca="false">IF(AND('Raw Orders'!C1161="Product",'Raw Orders'!K1161="Fulfilled"),'Raw Orders'!E1161,0)</f>
        <v>2</v>
      </c>
      <c r="F1164" s="32" t="n">
        <f aca="false">IF('Raw Orders'!K1161="Refunded",'Raw Orders'!G1161,0)</f>
        <v>0</v>
      </c>
    </row>
    <row r="1165" customFormat="false" ht="15" hidden="false" customHeight="false" outlineLevel="0" collapsed="false">
      <c r="A1165" s="36" t="n">
        <f aca="false">IF('Raw Orders'!B1162="","",IF(MID('Raw Orders'!B1162,5,1)="-",DATE(VALUE(LEFT('Raw Orders'!B1162,4)),VALUE(MID('Raw Orders'!B1162,6,2)),VALUE(MID('Raw Orders'!B1162,9,2))),DATE(VALUE(MID('Raw Orders'!B1162,7,4)),VALUE(MID('Raw Orders'!B1162,4,2)),VALUE(LEFT('Raw Orders'!B1162,2)))))</f>
        <v>46208</v>
      </c>
      <c r="B1165" s="36" t="n">
        <f aca="false">IF(A1165="","",A1165-WEEKDAY(A1165,3))</f>
        <v>46202</v>
      </c>
      <c r="C1165" s="32" t="n">
        <f aca="false">IF(OR('Raw Orders'!C1162&lt;&gt;"Product",'Raw Orders'!K1162="Cancelled"),0,'Raw Orders'!G1162)</f>
        <v>31.2</v>
      </c>
      <c r="D1165" s="31" t="n">
        <f aca="false">IF(AND('Raw Orders'!C1162="Product",'Raw Orders'!K1162="Fulfilled",COUNTIFS('Raw Orders'!$A$2:$A1162,'Raw Orders'!A1162,'Raw Orders'!$C$2:$C1162,"Product",'Raw Orders'!$K$2:$K1162,"Fulfilled")=1),1,0)</f>
        <v>0</v>
      </c>
      <c r="E1165" s="31" t="n">
        <f aca="false">IF(AND('Raw Orders'!C1162="Product",'Raw Orders'!K1162="Fulfilled"),'Raw Orders'!E1162,0)</f>
        <v>1</v>
      </c>
      <c r="F1165" s="32" t="n">
        <f aca="false">IF('Raw Orders'!K1162="Refunded",'Raw Orders'!G1162,0)</f>
        <v>0</v>
      </c>
    </row>
    <row r="1166" customFormat="false" ht="15" hidden="false" customHeight="false" outlineLevel="0" collapsed="false">
      <c r="A1166" s="36" t="n">
        <f aca="false">IF('Raw Orders'!B1163="","",IF(MID('Raw Orders'!B1163,5,1)="-",DATE(VALUE(LEFT('Raw Orders'!B1163,4)),VALUE(MID('Raw Orders'!B1163,6,2)),VALUE(MID('Raw Orders'!B1163,9,2))),DATE(VALUE(MID('Raw Orders'!B1163,7,4)),VALUE(MID('Raw Orders'!B1163,4,2)),VALUE(LEFT('Raw Orders'!B1163,2)))))</f>
        <v>46209</v>
      </c>
      <c r="B1166" s="36" t="n">
        <f aca="false">IF(A1166="","",A1166-WEEKDAY(A1166,3))</f>
        <v>46209</v>
      </c>
      <c r="C1166" s="32" t="n">
        <f aca="false">IF(OR('Raw Orders'!C1163&lt;&gt;"Product",'Raw Orders'!K1163="Cancelled"),0,'Raw Orders'!G1163)</f>
        <v>0</v>
      </c>
      <c r="D1166" s="31" t="n">
        <f aca="false">IF(AND('Raw Orders'!C1163="Product",'Raw Orders'!K1163="Fulfilled",COUNTIFS('Raw Orders'!$A$2:$A1163,'Raw Orders'!A1163,'Raw Orders'!$C$2:$C1163,"Product",'Raw Orders'!$K$2:$K1163,"Fulfilled")=1),1,0)</f>
        <v>0</v>
      </c>
      <c r="E1166" s="31" t="n">
        <f aca="false">IF(AND('Raw Orders'!C1163="Product",'Raw Orders'!K1163="Fulfilled"),'Raw Orders'!E1163,0)</f>
        <v>0</v>
      </c>
      <c r="F1166" s="32" t="n">
        <f aca="false">IF('Raw Orders'!K1163="Refunded",'Raw Orders'!G1163,0)</f>
        <v>0</v>
      </c>
    </row>
    <row r="1167" customFormat="false" ht="15" hidden="false" customHeight="false" outlineLevel="0" collapsed="false">
      <c r="A1167" s="36" t="n">
        <f aca="false">IF('Raw Orders'!B1164="","",IF(MID('Raw Orders'!B1164,5,1)="-",DATE(VALUE(LEFT('Raw Orders'!B1164,4)),VALUE(MID('Raw Orders'!B1164,6,2)),VALUE(MID('Raw Orders'!B1164,9,2))),DATE(VALUE(MID('Raw Orders'!B1164,7,4)),VALUE(MID('Raw Orders'!B1164,4,2)),VALUE(LEFT('Raw Orders'!B1164,2)))))</f>
        <v>46209</v>
      </c>
      <c r="B1167" s="36" t="n">
        <f aca="false">IF(A1167="","",A1167-WEEKDAY(A1167,3))</f>
        <v>46209</v>
      </c>
      <c r="C1167" s="32" t="n">
        <f aca="false">IF(OR('Raw Orders'!C1164&lt;&gt;"Product",'Raw Orders'!K1164="Cancelled"),0,'Raw Orders'!G1164)</f>
        <v>32</v>
      </c>
      <c r="D1167" s="31" t="n">
        <f aca="false">IF(AND('Raw Orders'!C1164="Product",'Raw Orders'!K1164="Fulfilled",COUNTIFS('Raw Orders'!$A$2:$A1164,'Raw Orders'!A1164,'Raw Orders'!$C$2:$C1164,"Product",'Raw Orders'!$K$2:$K1164,"Fulfilled")=1),1,0)</f>
        <v>1</v>
      </c>
      <c r="E1167" s="31" t="n">
        <f aca="false">IF(AND('Raw Orders'!C1164="Product",'Raw Orders'!K1164="Fulfilled"),'Raw Orders'!E1164,0)</f>
        <v>1</v>
      </c>
      <c r="F1167" s="32" t="n">
        <f aca="false">IF('Raw Orders'!K1164="Refunded",'Raw Orders'!G1164,0)</f>
        <v>0</v>
      </c>
    </row>
    <row r="1168" customFormat="false" ht="15" hidden="false" customHeight="false" outlineLevel="0" collapsed="false">
      <c r="A1168" s="36" t="n">
        <f aca="false">IF('Raw Orders'!B1165="","",IF(MID('Raw Orders'!B1165,5,1)="-",DATE(VALUE(LEFT('Raw Orders'!B1165,4)),VALUE(MID('Raw Orders'!B1165,6,2)),VALUE(MID('Raw Orders'!B1165,9,2))),DATE(VALUE(MID('Raw Orders'!B1165,7,4)),VALUE(MID('Raw Orders'!B1165,4,2)),VALUE(LEFT('Raw Orders'!B1165,2)))))</f>
        <v>46209</v>
      </c>
      <c r="B1168" s="36" t="n">
        <f aca="false">IF(A1168="","",A1168-WEEKDAY(A1168,3))</f>
        <v>46209</v>
      </c>
      <c r="C1168" s="32" t="n">
        <f aca="false">IF(OR('Raw Orders'!C1165&lt;&gt;"Product",'Raw Orders'!K1165="Cancelled"),0,'Raw Orders'!G1165)</f>
        <v>39</v>
      </c>
      <c r="D1168" s="31" t="n">
        <f aca="false">IF(AND('Raw Orders'!C1165="Product",'Raw Orders'!K1165="Fulfilled",COUNTIFS('Raw Orders'!$A$2:$A1165,'Raw Orders'!A1165,'Raw Orders'!$C$2:$C1165,"Product",'Raw Orders'!$K$2:$K1165,"Fulfilled")=1),1,0)</f>
        <v>1</v>
      </c>
      <c r="E1168" s="31" t="n">
        <f aca="false">IF(AND('Raw Orders'!C1165="Product",'Raw Orders'!K1165="Fulfilled"),'Raw Orders'!E1165,0)</f>
        <v>1</v>
      </c>
      <c r="F1168" s="32" t="n">
        <f aca="false">IF('Raw Orders'!K1165="Refunded",'Raw Orders'!G1165,0)</f>
        <v>0</v>
      </c>
    </row>
    <row r="1169" customFormat="false" ht="15" hidden="false" customHeight="false" outlineLevel="0" collapsed="false">
      <c r="A1169" s="36" t="n">
        <f aca="false">IF('Raw Orders'!B1166="","",IF(MID('Raw Orders'!B1166,5,1)="-",DATE(VALUE(LEFT('Raw Orders'!B1166,4)),VALUE(MID('Raw Orders'!B1166,6,2)),VALUE(MID('Raw Orders'!B1166,9,2))),DATE(VALUE(MID('Raw Orders'!B1166,7,4)),VALUE(MID('Raw Orders'!B1166,4,2)),VALUE(LEFT('Raw Orders'!B1166,2)))))</f>
        <v>46209</v>
      </c>
      <c r="B1169" s="36" t="n">
        <f aca="false">IF(A1169="","",A1169-WEEKDAY(A1169,3))</f>
        <v>46209</v>
      </c>
      <c r="C1169" s="32" t="n">
        <f aca="false">IF(OR('Raw Orders'!C1166&lt;&gt;"Product",'Raw Orders'!K1166="Cancelled"),0,'Raw Orders'!G1166)</f>
        <v>76.5</v>
      </c>
      <c r="D1169" s="31" t="n">
        <f aca="false">IF(AND('Raw Orders'!C1166="Product",'Raw Orders'!K1166="Fulfilled",COUNTIFS('Raw Orders'!$A$2:$A1166,'Raw Orders'!A1166,'Raw Orders'!$C$2:$C1166,"Product",'Raw Orders'!$K$2:$K1166,"Fulfilled")=1),1,0)</f>
        <v>0</v>
      </c>
      <c r="E1169" s="31" t="n">
        <f aca="false">IF(AND('Raw Orders'!C1166="Product",'Raw Orders'!K1166="Fulfilled"),'Raw Orders'!E1166,0)</f>
        <v>2</v>
      </c>
      <c r="F1169" s="32" t="n">
        <f aca="false">IF('Raw Orders'!K1166="Refunded",'Raw Orders'!G1166,0)</f>
        <v>0</v>
      </c>
    </row>
    <row r="1170" customFormat="false" ht="15" hidden="false" customHeight="false" outlineLevel="0" collapsed="false">
      <c r="A1170" s="36" t="n">
        <f aca="false">IF('Raw Orders'!B1167="","",IF(MID('Raw Orders'!B1167,5,1)="-",DATE(VALUE(LEFT('Raw Orders'!B1167,4)),VALUE(MID('Raw Orders'!B1167,6,2)),VALUE(MID('Raw Orders'!B1167,9,2))),DATE(VALUE(MID('Raw Orders'!B1167,7,4)),VALUE(MID('Raw Orders'!B1167,4,2)),VALUE(LEFT('Raw Orders'!B1167,2)))))</f>
        <v>46209</v>
      </c>
      <c r="B1170" s="36" t="n">
        <f aca="false">IF(A1170="","",A1170-WEEKDAY(A1170,3))</f>
        <v>46209</v>
      </c>
      <c r="C1170" s="32" t="n">
        <f aca="false">IF(OR('Raw Orders'!C1167&lt;&gt;"Product",'Raw Orders'!K1167="Cancelled"),0,'Raw Orders'!G1167)</f>
        <v>58</v>
      </c>
      <c r="D1170" s="31" t="n">
        <f aca="false">IF(AND('Raw Orders'!C1167="Product",'Raw Orders'!K1167="Fulfilled",COUNTIFS('Raw Orders'!$A$2:$A1167,'Raw Orders'!A1167,'Raw Orders'!$C$2:$C1167,"Product",'Raw Orders'!$K$2:$K1167,"Fulfilled")=1),1,0)</f>
        <v>0</v>
      </c>
      <c r="E1170" s="31" t="n">
        <f aca="false">IF(AND('Raw Orders'!C1167="Product",'Raw Orders'!K1167="Fulfilled"),'Raw Orders'!E1167,0)</f>
        <v>2</v>
      </c>
      <c r="F1170" s="32" t="n">
        <f aca="false">IF('Raw Orders'!K1167="Refunded",'Raw Orders'!G1167,0)</f>
        <v>0</v>
      </c>
    </row>
    <row r="1171" customFormat="false" ht="15" hidden="false" customHeight="false" outlineLevel="0" collapsed="false">
      <c r="A1171" s="36" t="n">
        <f aca="false">IF('Raw Orders'!B1168="","",IF(MID('Raw Orders'!B1168,5,1)="-",DATE(VALUE(LEFT('Raw Orders'!B1168,4)),VALUE(MID('Raw Orders'!B1168,6,2)),VALUE(MID('Raw Orders'!B1168,9,2))),DATE(VALUE(MID('Raw Orders'!B1168,7,4)),VALUE(MID('Raw Orders'!B1168,4,2)),VALUE(LEFT('Raw Orders'!B1168,2)))))</f>
        <v>46209</v>
      </c>
      <c r="B1171" s="36" t="n">
        <f aca="false">IF(A1171="","",A1171-WEEKDAY(A1171,3))</f>
        <v>46209</v>
      </c>
      <c r="C1171" s="32" t="n">
        <f aca="false">IF(OR('Raw Orders'!C1168&lt;&gt;"Product",'Raw Orders'!K1168="Cancelled"),0,'Raw Orders'!G1168)</f>
        <v>225</v>
      </c>
      <c r="D1171" s="31" t="n">
        <f aca="false">IF(AND('Raw Orders'!C1168="Product",'Raw Orders'!K1168="Fulfilled",COUNTIFS('Raw Orders'!$A$2:$A1168,'Raw Orders'!A1168,'Raw Orders'!$C$2:$C1168,"Product",'Raw Orders'!$K$2:$K1168,"Fulfilled")=1),1,0)</f>
        <v>1</v>
      </c>
      <c r="E1171" s="31" t="n">
        <f aca="false">IF(AND('Raw Orders'!C1168="Product",'Raw Orders'!K1168="Fulfilled"),'Raw Orders'!E1168,0)</f>
        <v>3</v>
      </c>
      <c r="F1171" s="32" t="n">
        <f aca="false">IF('Raw Orders'!K1168="Refunded",'Raw Orders'!G1168,0)</f>
        <v>0</v>
      </c>
    </row>
    <row r="1172" customFormat="false" ht="15" hidden="false" customHeight="false" outlineLevel="0" collapsed="false">
      <c r="A1172" s="36" t="n">
        <f aca="false">IF('Raw Orders'!B1169="","",IF(MID('Raw Orders'!B1169,5,1)="-",DATE(VALUE(LEFT('Raw Orders'!B1169,4)),VALUE(MID('Raw Orders'!B1169,6,2)),VALUE(MID('Raw Orders'!B1169,9,2))),DATE(VALUE(MID('Raw Orders'!B1169,7,4)),VALUE(MID('Raw Orders'!B1169,4,2)),VALUE(LEFT('Raw Orders'!B1169,2)))))</f>
        <v>46209</v>
      </c>
      <c r="B1172" s="36" t="n">
        <f aca="false">IF(A1172="","",A1172-WEEKDAY(A1172,3))</f>
        <v>46209</v>
      </c>
      <c r="C1172" s="32" t="n">
        <f aca="false">IF(OR('Raw Orders'!C1169&lt;&gt;"Product",'Raw Orders'!K1169="Cancelled"),0,'Raw Orders'!G1169)</f>
        <v>0</v>
      </c>
      <c r="D1172" s="31" t="n">
        <f aca="false">IF(AND('Raw Orders'!C1169="Product",'Raw Orders'!K1169="Fulfilled",COUNTIFS('Raw Orders'!$A$2:$A1169,'Raw Orders'!A1169,'Raw Orders'!$C$2:$C1169,"Product",'Raw Orders'!$K$2:$K1169,"Fulfilled")=1),1,0)</f>
        <v>0</v>
      </c>
      <c r="E1172" s="31" t="n">
        <f aca="false">IF(AND('Raw Orders'!C1169="Product",'Raw Orders'!K1169="Fulfilled"),'Raw Orders'!E1169,0)</f>
        <v>0</v>
      </c>
      <c r="F1172" s="32" t="n">
        <f aca="false">IF('Raw Orders'!K1169="Refunded",'Raw Orders'!G1169,0)</f>
        <v>0</v>
      </c>
    </row>
    <row r="1173" customFormat="false" ht="15" hidden="false" customHeight="false" outlineLevel="0" collapsed="false">
      <c r="A1173" s="36" t="n">
        <f aca="false">IF('Raw Orders'!B1170="","",IF(MID('Raw Orders'!B1170,5,1)="-",DATE(VALUE(LEFT('Raw Orders'!B1170,4)),VALUE(MID('Raw Orders'!B1170,6,2)),VALUE(MID('Raw Orders'!B1170,9,2))),DATE(VALUE(MID('Raw Orders'!B1170,7,4)),VALUE(MID('Raw Orders'!B1170,4,2)),VALUE(LEFT('Raw Orders'!B1170,2)))))</f>
        <v>46209</v>
      </c>
      <c r="B1173" s="36" t="n">
        <f aca="false">IF(A1173="","",A1173-WEEKDAY(A1173,3))</f>
        <v>46209</v>
      </c>
      <c r="C1173" s="32" t="n">
        <f aca="false">IF(OR('Raw Orders'!C1170&lt;&gt;"Product",'Raw Orders'!K1170="Cancelled"),0,'Raw Orders'!G1170)</f>
        <v>64</v>
      </c>
      <c r="D1173" s="31" t="n">
        <f aca="false">IF(AND('Raw Orders'!C1170="Product",'Raw Orders'!K1170="Fulfilled",COUNTIFS('Raw Orders'!$A$2:$A1170,'Raw Orders'!A1170,'Raw Orders'!$C$2:$C1170,"Product",'Raw Orders'!$K$2:$K1170,"Fulfilled")=1),1,0)</f>
        <v>0</v>
      </c>
      <c r="E1173" s="31" t="n">
        <f aca="false">IF(AND('Raw Orders'!C1170="Product",'Raw Orders'!K1170="Fulfilled"),'Raw Orders'!E1170,0)</f>
        <v>2</v>
      </c>
      <c r="F1173" s="32" t="n">
        <f aca="false">IF('Raw Orders'!K1170="Refunded",'Raw Orders'!G1170,0)</f>
        <v>0</v>
      </c>
    </row>
    <row r="1174" customFormat="false" ht="15" hidden="false" customHeight="false" outlineLevel="0" collapsed="false">
      <c r="A1174" s="36" t="n">
        <f aca="false">IF('Raw Orders'!B1171="","",IF(MID('Raw Orders'!B1171,5,1)="-",DATE(VALUE(LEFT('Raw Orders'!B1171,4)),VALUE(MID('Raw Orders'!B1171,6,2)),VALUE(MID('Raw Orders'!B1171,9,2))),DATE(VALUE(MID('Raw Orders'!B1171,7,4)),VALUE(MID('Raw Orders'!B1171,4,2)),VALUE(LEFT('Raw Orders'!B1171,2)))))</f>
        <v>46210</v>
      </c>
      <c r="B1174" s="36" t="n">
        <f aca="false">IF(A1174="","",A1174-WEEKDAY(A1174,3))</f>
        <v>46209</v>
      </c>
      <c r="C1174" s="32" t="n">
        <f aca="false">IF(OR('Raw Orders'!C1171&lt;&gt;"Product",'Raw Orders'!K1171="Cancelled"),0,'Raw Orders'!G1171)</f>
        <v>87</v>
      </c>
      <c r="D1174" s="31" t="n">
        <f aca="false">IF(AND('Raw Orders'!C1171="Product",'Raw Orders'!K1171="Fulfilled",COUNTIFS('Raw Orders'!$A$2:$A1171,'Raw Orders'!A1171,'Raw Orders'!$C$2:$C1171,"Product",'Raw Orders'!$K$2:$K1171,"Fulfilled")=1),1,0)</f>
        <v>1</v>
      </c>
      <c r="E1174" s="31" t="n">
        <f aca="false">IF(AND('Raw Orders'!C1171="Product",'Raw Orders'!K1171="Fulfilled"),'Raw Orders'!E1171,0)</f>
        <v>3</v>
      </c>
      <c r="F1174" s="32" t="n">
        <f aca="false">IF('Raw Orders'!K1171="Refunded",'Raw Orders'!G1171,0)</f>
        <v>0</v>
      </c>
    </row>
    <row r="1175" customFormat="false" ht="15" hidden="false" customHeight="false" outlineLevel="0" collapsed="false">
      <c r="A1175" s="36" t="n">
        <f aca="false">IF('Raw Orders'!B1172="","",IF(MID('Raw Orders'!B1172,5,1)="-",DATE(VALUE(LEFT('Raw Orders'!B1172,4)),VALUE(MID('Raw Orders'!B1172,6,2)),VALUE(MID('Raw Orders'!B1172,9,2))),DATE(VALUE(MID('Raw Orders'!B1172,7,4)),VALUE(MID('Raw Orders'!B1172,4,2)),VALUE(LEFT('Raw Orders'!B1172,2)))))</f>
        <v>46210</v>
      </c>
      <c r="B1175" s="36" t="n">
        <f aca="false">IF(A1175="","",A1175-WEEKDAY(A1175,3))</f>
        <v>46209</v>
      </c>
      <c r="C1175" s="32" t="n">
        <f aca="false">IF(OR('Raw Orders'!C1172&lt;&gt;"Product",'Raw Orders'!K1172="Cancelled"),0,'Raw Orders'!G1172)</f>
        <v>0</v>
      </c>
      <c r="D1175" s="31" t="n">
        <f aca="false">IF(AND('Raw Orders'!C1172="Product",'Raw Orders'!K1172="Fulfilled",COUNTIFS('Raw Orders'!$A$2:$A1172,'Raw Orders'!A1172,'Raw Orders'!$C$2:$C1172,"Product",'Raw Orders'!$K$2:$K1172,"Fulfilled")=1),1,0)</f>
        <v>0</v>
      </c>
      <c r="E1175" s="31" t="n">
        <f aca="false">IF(AND('Raw Orders'!C1172="Product",'Raw Orders'!K1172="Fulfilled"),'Raw Orders'!E1172,0)</f>
        <v>0</v>
      </c>
      <c r="F1175" s="32" t="n">
        <f aca="false">IF('Raw Orders'!K1172="Refunded",'Raw Orders'!G1172,0)</f>
        <v>0</v>
      </c>
    </row>
    <row r="1176" customFormat="false" ht="15" hidden="false" customHeight="false" outlineLevel="0" collapsed="false">
      <c r="A1176" s="36" t="n">
        <f aca="false">IF('Raw Orders'!B1173="","",IF(MID('Raw Orders'!B1173,5,1)="-",DATE(VALUE(LEFT('Raw Orders'!B1173,4)),VALUE(MID('Raw Orders'!B1173,6,2)),VALUE(MID('Raw Orders'!B1173,9,2))),DATE(VALUE(MID('Raw Orders'!B1173,7,4)),VALUE(MID('Raw Orders'!B1173,4,2)),VALUE(LEFT('Raw Orders'!B1173,2)))))</f>
        <v>46210</v>
      </c>
      <c r="B1176" s="36" t="n">
        <f aca="false">IF(A1176="","",A1176-WEEKDAY(A1176,3))</f>
        <v>46209</v>
      </c>
      <c r="C1176" s="32" t="n">
        <f aca="false">IF(OR('Raw Orders'!C1173&lt;&gt;"Product",'Raw Orders'!K1173="Cancelled"),0,'Raw Orders'!G1173)</f>
        <v>89</v>
      </c>
      <c r="D1176" s="31" t="n">
        <f aca="false">IF(AND('Raw Orders'!C1173="Product",'Raw Orders'!K1173="Fulfilled",COUNTIFS('Raw Orders'!$A$2:$A1173,'Raw Orders'!A1173,'Raw Orders'!$C$2:$C1173,"Product",'Raw Orders'!$K$2:$K1173,"Fulfilled")=1),1,0)</f>
        <v>1</v>
      </c>
      <c r="E1176" s="31" t="n">
        <f aca="false">IF(AND('Raw Orders'!C1173="Product",'Raw Orders'!K1173="Fulfilled"),'Raw Orders'!E1173,0)</f>
        <v>1</v>
      </c>
      <c r="F1176" s="32" t="n">
        <f aca="false">IF('Raw Orders'!K1173="Refunded",'Raw Orders'!G1173,0)</f>
        <v>0</v>
      </c>
    </row>
    <row r="1177" customFormat="false" ht="15" hidden="false" customHeight="false" outlineLevel="0" collapsed="false">
      <c r="A1177" s="36" t="n">
        <f aca="false">IF('Raw Orders'!B1174="","",IF(MID('Raw Orders'!B1174,5,1)="-",DATE(VALUE(LEFT('Raw Orders'!B1174,4)),VALUE(MID('Raw Orders'!B1174,6,2)),VALUE(MID('Raw Orders'!B1174,9,2))),DATE(VALUE(MID('Raw Orders'!B1174,7,4)),VALUE(MID('Raw Orders'!B1174,4,2)),VALUE(LEFT('Raw Orders'!B1174,2)))))</f>
        <v>46210</v>
      </c>
      <c r="B1177" s="36" t="n">
        <f aca="false">IF(A1177="","",A1177-WEEKDAY(A1177,3))</f>
        <v>46209</v>
      </c>
      <c r="C1177" s="32" t="n">
        <f aca="false">IF(OR('Raw Orders'!C1174&lt;&gt;"Product",'Raw Orders'!K1174="Cancelled"),0,'Raw Orders'!G1174)</f>
        <v>75</v>
      </c>
      <c r="D1177" s="31" t="n">
        <f aca="false">IF(AND('Raw Orders'!C1174="Product",'Raw Orders'!K1174="Fulfilled",COUNTIFS('Raw Orders'!$A$2:$A1174,'Raw Orders'!A1174,'Raw Orders'!$C$2:$C1174,"Product",'Raw Orders'!$K$2:$K1174,"Fulfilled")=1),1,0)</f>
        <v>0</v>
      </c>
      <c r="E1177" s="31" t="n">
        <f aca="false">IF(AND('Raw Orders'!C1174="Product",'Raw Orders'!K1174="Fulfilled"),'Raw Orders'!E1174,0)</f>
        <v>1</v>
      </c>
      <c r="F1177" s="32" t="n">
        <f aca="false">IF('Raw Orders'!K1174="Refunded",'Raw Orders'!G1174,0)</f>
        <v>0</v>
      </c>
    </row>
    <row r="1178" customFormat="false" ht="15" hidden="false" customHeight="false" outlineLevel="0" collapsed="false">
      <c r="A1178" s="36" t="n">
        <f aca="false">IF('Raw Orders'!B1175="","",IF(MID('Raw Orders'!B1175,5,1)="-",DATE(VALUE(LEFT('Raw Orders'!B1175,4)),VALUE(MID('Raw Orders'!B1175,6,2)),VALUE(MID('Raw Orders'!B1175,9,2))),DATE(VALUE(MID('Raw Orders'!B1175,7,4)),VALUE(MID('Raw Orders'!B1175,4,2)),VALUE(LEFT('Raw Orders'!B1175,2)))))</f>
        <v>46210</v>
      </c>
      <c r="B1178" s="36" t="n">
        <f aca="false">IF(A1178="","",A1178-WEEKDAY(A1178,3))</f>
        <v>46209</v>
      </c>
      <c r="C1178" s="32" t="n">
        <f aca="false">IF(OR('Raw Orders'!C1175&lt;&gt;"Product",'Raw Orders'!K1175="Cancelled"),0,'Raw Orders'!G1175)</f>
        <v>26</v>
      </c>
      <c r="D1178" s="31" t="n">
        <f aca="false">IF(AND('Raw Orders'!C1175="Product",'Raw Orders'!K1175="Fulfilled",COUNTIFS('Raw Orders'!$A$2:$A1175,'Raw Orders'!A1175,'Raw Orders'!$C$2:$C1175,"Product",'Raw Orders'!$K$2:$K1175,"Fulfilled")=1),1,0)</f>
        <v>1</v>
      </c>
      <c r="E1178" s="31" t="n">
        <f aca="false">IF(AND('Raw Orders'!C1175="Product",'Raw Orders'!K1175="Fulfilled"),'Raw Orders'!E1175,0)</f>
        <v>1</v>
      </c>
      <c r="F1178" s="32" t="n">
        <f aca="false">IF('Raw Orders'!K1175="Refunded",'Raw Orders'!G1175,0)</f>
        <v>0</v>
      </c>
    </row>
    <row r="1179" customFormat="false" ht="15" hidden="false" customHeight="false" outlineLevel="0" collapsed="false">
      <c r="A1179" s="36" t="n">
        <f aca="false">IF('Raw Orders'!B1176="","",IF(MID('Raw Orders'!B1176,5,1)="-",DATE(VALUE(LEFT('Raw Orders'!B1176,4)),VALUE(MID('Raw Orders'!B1176,6,2)),VALUE(MID('Raw Orders'!B1176,9,2))),DATE(VALUE(MID('Raw Orders'!B1176,7,4)),VALUE(MID('Raw Orders'!B1176,4,2)),VALUE(LEFT('Raw Orders'!B1176,2)))))</f>
        <v>46210</v>
      </c>
      <c r="B1179" s="36" t="n">
        <f aca="false">IF(A1179="","",A1179-WEEKDAY(A1179,3))</f>
        <v>46209</v>
      </c>
      <c r="C1179" s="32" t="n">
        <f aca="false">IF(OR('Raw Orders'!C1176&lt;&gt;"Product",'Raw Orders'!K1176="Cancelled"),0,'Raw Orders'!G1176)</f>
        <v>90</v>
      </c>
      <c r="D1179" s="31" t="n">
        <f aca="false">IF(AND('Raw Orders'!C1176="Product",'Raw Orders'!K1176="Fulfilled",COUNTIFS('Raw Orders'!$A$2:$A1176,'Raw Orders'!A1176,'Raw Orders'!$C$2:$C1176,"Product",'Raw Orders'!$K$2:$K1176,"Fulfilled")=1),1,0)</f>
        <v>1</v>
      </c>
      <c r="E1179" s="31" t="n">
        <f aca="false">IF(AND('Raw Orders'!C1176="Product",'Raw Orders'!K1176="Fulfilled"),'Raw Orders'!E1176,0)</f>
        <v>2</v>
      </c>
      <c r="F1179" s="32" t="n">
        <f aca="false">IF('Raw Orders'!K1176="Refunded",'Raw Orders'!G1176,0)</f>
        <v>0</v>
      </c>
    </row>
    <row r="1180" customFormat="false" ht="15" hidden="false" customHeight="false" outlineLevel="0" collapsed="false">
      <c r="A1180" s="36" t="n">
        <f aca="false">IF('Raw Orders'!B1177="","",IF(MID('Raw Orders'!B1177,5,1)="-",DATE(VALUE(LEFT('Raw Orders'!B1177,4)),VALUE(MID('Raw Orders'!B1177,6,2)),VALUE(MID('Raw Orders'!B1177,9,2))),DATE(VALUE(MID('Raw Orders'!B1177,7,4)),VALUE(MID('Raw Orders'!B1177,4,2)),VALUE(LEFT('Raw Orders'!B1177,2)))))</f>
        <v>46210</v>
      </c>
      <c r="B1180" s="36" t="n">
        <f aca="false">IF(A1180="","",A1180-WEEKDAY(A1180,3))</f>
        <v>46209</v>
      </c>
      <c r="C1180" s="32" t="n">
        <f aca="false">IF(OR('Raw Orders'!C1177&lt;&gt;"Product",'Raw Orders'!K1177="Cancelled"),0,'Raw Orders'!G1177)</f>
        <v>90</v>
      </c>
      <c r="D1180" s="31" t="n">
        <f aca="false">IF(AND('Raw Orders'!C1177="Product",'Raw Orders'!K1177="Fulfilled",COUNTIFS('Raw Orders'!$A$2:$A1177,'Raw Orders'!A1177,'Raw Orders'!$C$2:$C1177,"Product",'Raw Orders'!$K$2:$K1177,"Fulfilled")=1),1,0)</f>
        <v>0</v>
      </c>
      <c r="E1180" s="31" t="n">
        <f aca="false">IF(AND('Raw Orders'!C1177="Product",'Raw Orders'!K1177="Fulfilled"),'Raw Orders'!E1177,0)</f>
        <v>2</v>
      </c>
      <c r="F1180" s="32" t="n">
        <f aca="false">IF('Raw Orders'!K1177="Refunded",'Raw Orders'!G1177,0)</f>
        <v>0</v>
      </c>
    </row>
    <row r="1181" customFormat="false" ht="15" hidden="false" customHeight="false" outlineLevel="0" collapsed="false">
      <c r="A1181" s="36" t="n">
        <f aca="false">IF('Raw Orders'!B1178="","",IF(MID('Raw Orders'!B1178,5,1)="-",DATE(VALUE(LEFT('Raw Orders'!B1178,4)),VALUE(MID('Raw Orders'!B1178,6,2)),VALUE(MID('Raw Orders'!B1178,9,2))),DATE(VALUE(MID('Raw Orders'!B1178,7,4)),VALUE(MID('Raw Orders'!B1178,4,2)),VALUE(LEFT('Raw Orders'!B1178,2)))))</f>
        <v>46210</v>
      </c>
      <c r="B1181" s="36" t="n">
        <f aca="false">IF(A1181="","",A1181-WEEKDAY(A1181,3))</f>
        <v>46209</v>
      </c>
      <c r="C1181" s="32" t="n">
        <f aca="false">IF(OR('Raw Orders'!C1178&lt;&gt;"Product",'Raw Orders'!K1178="Cancelled"),0,'Raw Orders'!G1178)</f>
        <v>89</v>
      </c>
      <c r="D1181" s="31" t="n">
        <f aca="false">IF(AND('Raw Orders'!C1178="Product",'Raw Orders'!K1178="Fulfilled",COUNTIFS('Raw Orders'!$A$2:$A1178,'Raw Orders'!A1178,'Raw Orders'!$C$2:$C1178,"Product",'Raw Orders'!$K$2:$K1178,"Fulfilled")=1),1,0)</f>
        <v>0</v>
      </c>
      <c r="E1181" s="31" t="n">
        <f aca="false">IF(AND('Raw Orders'!C1178="Product",'Raw Orders'!K1178="Fulfilled"),'Raw Orders'!E1178,0)</f>
        <v>1</v>
      </c>
      <c r="F1181" s="32" t="n">
        <f aca="false">IF('Raw Orders'!K1178="Refunded",'Raw Orders'!G1178,0)</f>
        <v>0</v>
      </c>
    </row>
    <row r="1182" customFormat="false" ht="15" hidden="false" customHeight="false" outlineLevel="0" collapsed="false">
      <c r="A1182" s="36" t="n">
        <f aca="false">IF('Raw Orders'!B1179="","",IF(MID('Raw Orders'!B1179,5,1)="-",DATE(VALUE(LEFT('Raw Orders'!B1179,4)),VALUE(MID('Raw Orders'!B1179,6,2)),VALUE(MID('Raw Orders'!B1179,9,2))),DATE(VALUE(MID('Raw Orders'!B1179,7,4)),VALUE(MID('Raw Orders'!B1179,4,2)),VALUE(LEFT('Raw Orders'!B1179,2)))))</f>
        <v>46210</v>
      </c>
      <c r="B1182" s="36" t="n">
        <f aca="false">IF(A1182="","",A1182-WEEKDAY(A1182,3))</f>
        <v>46209</v>
      </c>
      <c r="C1182" s="32" t="n">
        <f aca="false">IF(OR('Raw Orders'!C1179&lt;&gt;"Product",'Raw Orders'!K1179="Cancelled"),0,'Raw Orders'!G1179)</f>
        <v>44</v>
      </c>
      <c r="D1182" s="31" t="n">
        <f aca="false">IF(AND('Raw Orders'!C1179="Product",'Raw Orders'!K1179="Fulfilled",COUNTIFS('Raw Orders'!$A$2:$A1179,'Raw Orders'!A1179,'Raw Orders'!$C$2:$C1179,"Product",'Raw Orders'!$K$2:$K1179,"Fulfilled")=1),1,0)</f>
        <v>1</v>
      </c>
      <c r="E1182" s="31" t="n">
        <f aca="false">IF(AND('Raw Orders'!C1179="Product",'Raw Orders'!K1179="Fulfilled"),'Raw Orders'!E1179,0)</f>
        <v>2</v>
      </c>
      <c r="F1182" s="32" t="n">
        <f aca="false">IF('Raw Orders'!K1179="Refunded",'Raw Orders'!G1179,0)</f>
        <v>0</v>
      </c>
    </row>
    <row r="1183" customFormat="false" ht="15" hidden="false" customHeight="false" outlineLevel="0" collapsed="false">
      <c r="A1183" s="36" t="n">
        <f aca="false">IF('Raw Orders'!B1180="","",IF(MID('Raw Orders'!B1180,5,1)="-",DATE(VALUE(LEFT('Raw Orders'!B1180,4)),VALUE(MID('Raw Orders'!B1180,6,2)),VALUE(MID('Raw Orders'!B1180,9,2))),DATE(VALUE(MID('Raw Orders'!B1180,7,4)),VALUE(MID('Raw Orders'!B1180,4,2)),VALUE(LEFT('Raw Orders'!B1180,2)))))</f>
        <v>46210</v>
      </c>
      <c r="B1183" s="36" t="n">
        <f aca="false">IF(A1183="","",A1183-WEEKDAY(A1183,3))</f>
        <v>46209</v>
      </c>
      <c r="C1183" s="32" t="n">
        <f aca="false">IF(OR('Raw Orders'!C1180&lt;&gt;"Product",'Raw Orders'!K1180="Cancelled"),0,'Raw Orders'!G1180)</f>
        <v>0</v>
      </c>
      <c r="D1183" s="31" t="n">
        <f aca="false">IF(AND('Raw Orders'!C1180="Product",'Raw Orders'!K1180="Fulfilled",COUNTIFS('Raw Orders'!$A$2:$A1180,'Raw Orders'!A1180,'Raw Orders'!$C$2:$C1180,"Product",'Raw Orders'!$K$2:$K1180,"Fulfilled")=1),1,0)</f>
        <v>0</v>
      </c>
      <c r="E1183" s="31" t="n">
        <f aca="false">IF(AND('Raw Orders'!C1180="Product",'Raw Orders'!K1180="Fulfilled"),'Raw Orders'!E1180,0)</f>
        <v>0</v>
      </c>
      <c r="F1183" s="32" t="n">
        <f aca="false">IF('Raw Orders'!K1180="Refunded",'Raw Orders'!G1180,0)</f>
        <v>0</v>
      </c>
    </row>
    <row r="1184" customFormat="false" ht="15" hidden="false" customHeight="false" outlineLevel="0" collapsed="false">
      <c r="A1184" s="36" t="n">
        <f aca="false">IF('Raw Orders'!B1181="","",IF(MID('Raw Orders'!B1181,5,1)="-",DATE(VALUE(LEFT('Raw Orders'!B1181,4)),VALUE(MID('Raw Orders'!B1181,6,2)),VALUE(MID('Raw Orders'!B1181,9,2))),DATE(VALUE(MID('Raw Orders'!B1181,7,4)),VALUE(MID('Raw Orders'!B1181,4,2)),VALUE(LEFT('Raw Orders'!B1181,2)))))</f>
        <v>46210</v>
      </c>
      <c r="B1184" s="36" t="n">
        <f aca="false">IF(A1184="","",A1184-WEEKDAY(A1184,3))</f>
        <v>46209</v>
      </c>
      <c r="C1184" s="32" t="n">
        <f aca="false">IF(OR('Raw Orders'!C1181&lt;&gt;"Product",'Raw Orders'!K1181="Cancelled"),0,'Raw Orders'!G1181)</f>
        <v>138</v>
      </c>
      <c r="D1184" s="31" t="n">
        <f aca="false">IF(AND('Raw Orders'!C1181="Product",'Raw Orders'!K1181="Fulfilled",COUNTIFS('Raw Orders'!$A$2:$A1181,'Raw Orders'!A1181,'Raw Orders'!$C$2:$C1181,"Product",'Raw Orders'!$K$2:$K1181,"Fulfilled")=1),1,0)</f>
        <v>1</v>
      </c>
      <c r="E1184" s="31" t="n">
        <f aca="false">IF(AND('Raw Orders'!C1181="Product",'Raw Orders'!K1181="Fulfilled"),'Raw Orders'!E1181,0)</f>
        <v>2</v>
      </c>
      <c r="F1184" s="32" t="n">
        <f aca="false">IF('Raw Orders'!K1181="Refunded",'Raw Orders'!G1181,0)</f>
        <v>0</v>
      </c>
    </row>
    <row r="1185" customFormat="false" ht="15" hidden="false" customHeight="false" outlineLevel="0" collapsed="false">
      <c r="A1185" s="36" t="n">
        <f aca="false">IF('Raw Orders'!B1182="","",IF(MID('Raw Orders'!B1182,5,1)="-",DATE(VALUE(LEFT('Raw Orders'!B1182,4)),VALUE(MID('Raw Orders'!B1182,6,2)),VALUE(MID('Raw Orders'!B1182,9,2))),DATE(VALUE(MID('Raw Orders'!B1182,7,4)),VALUE(MID('Raw Orders'!B1182,4,2)),VALUE(LEFT('Raw Orders'!B1182,2)))))</f>
        <v>46210</v>
      </c>
      <c r="B1185" s="36" t="n">
        <f aca="false">IF(A1185="","",A1185-WEEKDAY(A1185,3))</f>
        <v>46209</v>
      </c>
      <c r="C1185" s="32" t="n">
        <f aca="false">IF(OR('Raw Orders'!C1182&lt;&gt;"Product",'Raw Orders'!K1182="Cancelled"),0,'Raw Orders'!G1182)</f>
        <v>39</v>
      </c>
      <c r="D1185" s="31" t="n">
        <f aca="false">IF(AND('Raw Orders'!C1182="Product",'Raw Orders'!K1182="Fulfilled",COUNTIFS('Raw Orders'!$A$2:$A1182,'Raw Orders'!A1182,'Raw Orders'!$C$2:$C1182,"Product",'Raw Orders'!$K$2:$K1182,"Fulfilled")=1),1,0)</f>
        <v>0</v>
      </c>
      <c r="E1185" s="31" t="n">
        <f aca="false">IF(AND('Raw Orders'!C1182="Product",'Raw Orders'!K1182="Fulfilled"),'Raw Orders'!E1182,0)</f>
        <v>1</v>
      </c>
      <c r="F1185" s="32" t="n">
        <f aca="false">IF('Raw Orders'!K1182="Refunded",'Raw Orders'!G1182,0)</f>
        <v>0</v>
      </c>
    </row>
    <row r="1186" customFormat="false" ht="15" hidden="false" customHeight="false" outlineLevel="0" collapsed="false">
      <c r="A1186" s="36" t="n">
        <f aca="false">IF('Raw Orders'!B1183="","",IF(MID('Raw Orders'!B1183,5,1)="-",DATE(VALUE(LEFT('Raw Orders'!B1183,4)),VALUE(MID('Raw Orders'!B1183,6,2)),VALUE(MID('Raw Orders'!B1183,9,2))),DATE(VALUE(MID('Raw Orders'!B1183,7,4)),VALUE(MID('Raw Orders'!B1183,4,2)),VALUE(LEFT('Raw Orders'!B1183,2)))))</f>
        <v>46210</v>
      </c>
      <c r="B1186" s="36" t="n">
        <f aca="false">IF(A1186="","",A1186-WEEKDAY(A1186,3))</f>
        <v>46209</v>
      </c>
      <c r="C1186" s="32" t="n">
        <f aca="false">IF(OR('Raw Orders'!C1183&lt;&gt;"Product",'Raw Orders'!K1183="Cancelled"),0,'Raw Orders'!G1183)</f>
        <v>0</v>
      </c>
      <c r="D1186" s="31" t="n">
        <f aca="false">IF(AND('Raw Orders'!C1183="Product",'Raw Orders'!K1183="Fulfilled",COUNTIFS('Raw Orders'!$A$2:$A1183,'Raw Orders'!A1183,'Raw Orders'!$C$2:$C1183,"Product",'Raw Orders'!$K$2:$K1183,"Fulfilled")=1),1,0)</f>
        <v>0</v>
      </c>
      <c r="E1186" s="31" t="n">
        <f aca="false">IF(AND('Raw Orders'!C1183="Product",'Raw Orders'!K1183="Fulfilled"),'Raw Orders'!E1183,0)</f>
        <v>0</v>
      </c>
      <c r="F1186" s="32" t="n">
        <f aca="false">IF('Raw Orders'!K1183="Refunded",'Raw Orders'!G1183,0)</f>
        <v>0</v>
      </c>
    </row>
    <row r="1187" customFormat="false" ht="15" hidden="false" customHeight="false" outlineLevel="0" collapsed="false">
      <c r="A1187" s="36" t="n">
        <f aca="false">IF('Raw Orders'!B1184="","",IF(MID('Raw Orders'!B1184,5,1)="-",DATE(VALUE(LEFT('Raw Orders'!B1184,4)),VALUE(MID('Raw Orders'!B1184,6,2)),VALUE(MID('Raw Orders'!B1184,9,2))),DATE(VALUE(MID('Raw Orders'!B1184,7,4)),VALUE(MID('Raw Orders'!B1184,4,2)),VALUE(LEFT('Raw Orders'!B1184,2)))))</f>
        <v>46210</v>
      </c>
      <c r="B1187" s="36" t="n">
        <f aca="false">IF(A1187="","",A1187-WEEKDAY(A1187,3))</f>
        <v>46209</v>
      </c>
      <c r="C1187" s="32" t="n">
        <f aca="false">IF(OR('Raw Orders'!C1184&lt;&gt;"Product",'Raw Orders'!K1184="Cancelled"),0,'Raw Orders'!G1184)</f>
        <v>0</v>
      </c>
      <c r="D1187" s="31" t="n">
        <f aca="false">IF(AND('Raw Orders'!C1184="Product",'Raw Orders'!K1184="Fulfilled",COUNTIFS('Raw Orders'!$A$2:$A1184,'Raw Orders'!A1184,'Raw Orders'!$C$2:$C1184,"Product",'Raw Orders'!$K$2:$K1184,"Fulfilled")=1),1,0)</f>
        <v>0</v>
      </c>
      <c r="E1187" s="31" t="n">
        <f aca="false">IF(AND('Raw Orders'!C1184="Product",'Raw Orders'!K1184="Fulfilled"),'Raw Orders'!E1184,0)</f>
        <v>0</v>
      </c>
      <c r="F1187" s="32" t="n">
        <f aca="false">IF('Raw Orders'!K1184="Refunded",'Raw Orders'!G1184,0)</f>
        <v>0</v>
      </c>
    </row>
    <row r="1188" customFormat="false" ht="15" hidden="false" customHeight="false" outlineLevel="0" collapsed="false">
      <c r="A1188" s="36" t="n">
        <f aca="false">IF('Raw Orders'!B1185="","",IF(MID('Raw Orders'!B1185,5,1)="-",DATE(VALUE(LEFT('Raw Orders'!B1185,4)),VALUE(MID('Raw Orders'!B1185,6,2)),VALUE(MID('Raw Orders'!B1185,9,2))),DATE(VALUE(MID('Raw Orders'!B1185,7,4)),VALUE(MID('Raw Orders'!B1185,4,2)),VALUE(LEFT('Raw Orders'!B1185,2)))))</f>
        <v>46210</v>
      </c>
      <c r="B1188" s="36" t="n">
        <f aca="false">IF(A1188="","",A1188-WEEKDAY(A1188,3))</f>
        <v>46209</v>
      </c>
      <c r="C1188" s="32" t="n">
        <f aca="false">IF(OR('Raw Orders'!C1185&lt;&gt;"Product",'Raw Orders'!K1185="Cancelled"),0,'Raw Orders'!G1185)</f>
        <v>75</v>
      </c>
      <c r="D1188" s="31" t="n">
        <f aca="false">IF(AND('Raw Orders'!C1185="Product",'Raw Orders'!K1185="Fulfilled",COUNTIFS('Raw Orders'!$A$2:$A1185,'Raw Orders'!A1185,'Raw Orders'!$C$2:$C1185,"Product",'Raw Orders'!$K$2:$K1185,"Fulfilled")=1),1,0)</f>
        <v>1</v>
      </c>
      <c r="E1188" s="31" t="n">
        <f aca="false">IF(AND('Raw Orders'!C1185="Product",'Raw Orders'!K1185="Fulfilled"),'Raw Orders'!E1185,0)</f>
        <v>1</v>
      </c>
      <c r="F1188" s="32" t="n">
        <f aca="false">IF('Raw Orders'!K1185="Refunded",'Raw Orders'!G1185,0)</f>
        <v>0</v>
      </c>
    </row>
    <row r="1189" customFormat="false" ht="15" hidden="false" customHeight="false" outlineLevel="0" collapsed="false">
      <c r="A1189" s="36" t="n">
        <f aca="false">IF('Raw Orders'!B1186="","",IF(MID('Raw Orders'!B1186,5,1)="-",DATE(VALUE(LEFT('Raw Orders'!B1186,4)),VALUE(MID('Raw Orders'!B1186,6,2)),VALUE(MID('Raw Orders'!B1186,9,2))),DATE(VALUE(MID('Raw Orders'!B1186,7,4)),VALUE(MID('Raw Orders'!B1186,4,2)),VALUE(LEFT('Raw Orders'!B1186,2)))))</f>
        <v>46210</v>
      </c>
      <c r="B1189" s="36" t="n">
        <f aca="false">IF(A1189="","",A1189-WEEKDAY(A1189,3))</f>
        <v>46209</v>
      </c>
      <c r="C1189" s="32" t="n">
        <f aca="false">IF(OR('Raw Orders'!C1186&lt;&gt;"Product",'Raw Orders'!K1186="Cancelled"),0,'Raw Orders'!G1186)</f>
        <v>35</v>
      </c>
      <c r="D1189" s="31" t="n">
        <f aca="false">IF(AND('Raw Orders'!C1186="Product",'Raw Orders'!K1186="Fulfilled",COUNTIFS('Raw Orders'!$A$2:$A1186,'Raw Orders'!A1186,'Raw Orders'!$C$2:$C1186,"Product",'Raw Orders'!$K$2:$K1186,"Fulfilled")=1),1,0)</f>
        <v>0</v>
      </c>
      <c r="E1189" s="31" t="n">
        <f aca="false">IF(AND('Raw Orders'!C1186="Product",'Raw Orders'!K1186="Fulfilled"),'Raw Orders'!E1186,0)</f>
        <v>1</v>
      </c>
      <c r="F1189" s="32" t="n">
        <f aca="false">IF('Raw Orders'!K1186="Refunded",'Raw Orders'!G1186,0)</f>
        <v>0</v>
      </c>
    </row>
    <row r="1190" customFormat="false" ht="15" hidden="false" customHeight="false" outlineLevel="0" collapsed="false">
      <c r="A1190" s="36" t="n">
        <f aca="false">IF('Raw Orders'!B1187="","",IF(MID('Raw Orders'!B1187,5,1)="-",DATE(VALUE(LEFT('Raw Orders'!B1187,4)),VALUE(MID('Raw Orders'!B1187,6,2)),VALUE(MID('Raw Orders'!B1187,9,2))),DATE(VALUE(MID('Raw Orders'!B1187,7,4)),VALUE(MID('Raw Orders'!B1187,4,2)),VALUE(LEFT('Raw Orders'!B1187,2)))))</f>
        <v>46210</v>
      </c>
      <c r="B1190" s="36" t="n">
        <f aca="false">IF(A1190="","",A1190-WEEKDAY(A1190,3))</f>
        <v>46209</v>
      </c>
      <c r="C1190" s="32" t="n">
        <f aca="false">IF(OR('Raw Orders'!C1187&lt;&gt;"Product",'Raw Orders'!K1187="Cancelled"),0,'Raw Orders'!G1187)</f>
        <v>39</v>
      </c>
      <c r="D1190" s="31" t="n">
        <f aca="false">IF(AND('Raw Orders'!C1187="Product",'Raw Orders'!K1187="Fulfilled",COUNTIFS('Raw Orders'!$A$2:$A1187,'Raw Orders'!A1187,'Raw Orders'!$C$2:$C1187,"Product",'Raw Orders'!$K$2:$K1187,"Fulfilled")=1),1,0)</f>
        <v>0</v>
      </c>
      <c r="E1190" s="31" t="n">
        <f aca="false">IF(AND('Raw Orders'!C1187="Product",'Raw Orders'!K1187="Fulfilled"),'Raw Orders'!E1187,0)</f>
        <v>1</v>
      </c>
      <c r="F1190" s="32" t="n">
        <f aca="false">IF('Raw Orders'!K1187="Refunded",'Raw Orders'!G1187,0)</f>
        <v>0</v>
      </c>
    </row>
    <row r="1191" customFormat="false" ht="15" hidden="false" customHeight="false" outlineLevel="0" collapsed="false">
      <c r="A1191" s="36" t="n">
        <f aca="false">IF('Raw Orders'!B1188="","",IF(MID('Raw Orders'!B1188,5,1)="-",DATE(VALUE(LEFT('Raw Orders'!B1188,4)),VALUE(MID('Raw Orders'!B1188,6,2)),VALUE(MID('Raw Orders'!B1188,9,2))),DATE(VALUE(MID('Raw Orders'!B1188,7,4)),VALUE(MID('Raw Orders'!B1188,4,2)),VALUE(LEFT('Raw Orders'!B1188,2)))))</f>
        <v>46210</v>
      </c>
      <c r="B1191" s="36" t="n">
        <f aca="false">IF(A1191="","",A1191-WEEKDAY(A1191,3))</f>
        <v>46209</v>
      </c>
      <c r="C1191" s="32" t="n">
        <f aca="false">IF(OR('Raw Orders'!C1188&lt;&gt;"Product",'Raw Orders'!K1188="Cancelled"),0,'Raw Orders'!G1188)</f>
        <v>0</v>
      </c>
      <c r="D1191" s="31" t="n">
        <f aca="false">IF(AND('Raw Orders'!C1188="Product",'Raw Orders'!K1188="Fulfilled",COUNTIFS('Raw Orders'!$A$2:$A1188,'Raw Orders'!A1188,'Raw Orders'!$C$2:$C1188,"Product",'Raw Orders'!$K$2:$K1188,"Fulfilled")=1),1,0)</f>
        <v>0</v>
      </c>
      <c r="E1191" s="31" t="n">
        <f aca="false">IF(AND('Raw Orders'!C1188="Product",'Raw Orders'!K1188="Fulfilled"),'Raw Orders'!E1188,0)</f>
        <v>0</v>
      </c>
      <c r="F1191" s="32" t="n">
        <f aca="false">IF('Raw Orders'!K1188="Refunded",'Raw Orders'!G1188,0)</f>
        <v>0</v>
      </c>
    </row>
    <row r="1192" customFormat="false" ht="15" hidden="false" customHeight="false" outlineLevel="0" collapsed="false">
      <c r="A1192" s="36" t="n">
        <f aca="false">IF('Raw Orders'!B1189="","",IF(MID('Raw Orders'!B1189,5,1)="-",DATE(VALUE(LEFT('Raw Orders'!B1189,4)),VALUE(MID('Raw Orders'!B1189,6,2)),VALUE(MID('Raw Orders'!B1189,9,2))),DATE(VALUE(MID('Raw Orders'!B1189,7,4)),VALUE(MID('Raw Orders'!B1189,4,2)),VALUE(LEFT('Raw Orders'!B1189,2)))))</f>
        <v>46210</v>
      </c>
      <c r="B1192" s="36" t="n">
        <f aca="false">IF(A1192="","",A1192-WEEKDAY(A1192,3))</f>
        <v>46209</v>
      </c>
      <c r="C1192" s="32" t="n">
        <f aca="false">IF(OR('Raw Orders'!C1189&lt;&gt;"Product",'Raw Orders'!K1189="Cancelled"),0,'Raw Orders'!G1189)</f>
        <v>89</v>
      </c>
      <c r="D1192" s="31" t="n">
        <f aca="false">IF(AND('Raw Orders'!C1189="Product",'Raw Orders'!K1189="Fulfilled",COUNTIFS('Raw Orders'!$A$2:$A1189,'Raw Orders'!A1189,'Raw Orders'!$C$2:$C1189,"Product",'Raw Orders'!$K$2:$K1189,"Fulfilled")=1),1,0)</f>
        <v>1</v>
      </c>
      <c r="E1192" s="31" t="n">
        <f aca="false">IF(AND('Raw Orders'!C1189="Product",'Raw Orders'!K1189="Fulfilled"),'Raw Orders'!E1189,0)</f>
        <v>1</v>
      </c>
      <c r="F1192" s="32" t="n">
        <f aca="false">IF('Raw Orders'!K1189="Refunded",'Raw Orders'!G1189,0)</f>
        <v>0</v>
      </c>
    </row>
    <row r="1193" customFormat="false" ht="15" hidden="false" customHeight="false" outlineLevel="0" collapsed="false">
      <c r="A1193" s="36" t="n">
        <f aca="false">IF('Raw Orders'!B1190="","",IF(MID('Raw Orders'!B1190,5,1)="-",DATE(VALUE(LEFT('Raw Orders'!B1190,4)),VALUE(MID('Raw Orders'!B1190,6,2)),VALUE(MID('Raw Orders'!B1190,9,2))),DATE(VALUE(MID('Raw Orders'!B1190,7,4)),VALUE(MID('Raw Orders'!B1190,4,2)),VALUE(LEFT('Raw Orders'!B1190,2)))))</f>
        <v>46210</v>
      </c>
      <c r="B1193" s="36" t="n">
        <f aca="false">IF(A1193="","",A1193-WEEKDAY(A1193,3))</f>
        <v>46209</v>
      </c>
      <c r="C1193" s="32" t="n">
        <f aca="false">IF(OR('Raw Orders'!C1190&lt;&gt;"Product",'Raw Orders'!K1190="Cancelled"),0,'Raw Orders'!G1190)</f>
        <v>45</v>
      </c>
      <c r="D1193" s="31" t="n">
        <f aca="false">IF(AND('Raw Orders'!C1190="Product",'Raw Orders'!K1190="Fulfilled",COUNTIFS('Raw Orders'!$A$2:$A1190,'Raw Orders'!A1190,'Raw Orders'!$C$2:$C1190,"Product",'Raw Orders'!$K$2:$K1190,"Fulfilled")=1),1,0)</f>
        <v>0</v>
      </c>
      <c r="E1193" s="31" t="n">
        <f aca="false">IF(AND('Raw Orders'!C1190="Product",'Raw Orders'!K1190="Fulfilled"),'Raw Orders'!E1190,0)</f>
        <v>1</v>
      </c>
      <c r="F1193" s="32" t="n">
        <f aca="false">IF('Raw Orders'!K1190="Refunded",'Raw Orders'!G1190,0)</f>
        <v>0</v>
      </c>
    </row>
    <row r="1194" customFormat="false" ht="15" hidden="false" customHeight="false" outlineLevel="0" collapsed="false">
      <c r="A1194" s="36" t="n">
        <f aca="false">IF('Raw Orders'!B1191="","",IF(MID('Raw Orders'!B1191,5,1)="-",DATE(VALUE(LEFT('Raw Orders'!B1191,4)),VALUE(MID('Raw Orders'!B1191,6,2)),VALUE(MID('Raw Orders'!B1191,9,2))),DATE(VALUE(MID('Raw Orders'!B1191,7,4)),VALUE(MID('Raw Orders'!B1191,4,2)),VALUE(LEFT('Raw Orders'!B1191,2)))))</f>
        <v>46210</v>
      </c>
      <c r="B1194" s="36" t="n">
        <f aca="false">IF(A1194="","",A1194-WEEKDAY(A1194,3))</f>
        <v>46209</v>
      </c>
      <c r="C1194" s="32" t="n">
        <f aca="false">IF(OR('Raw Orders'!C1191&lt;&gt;"Product",'Raw Orders'!K1191="Cancelled"),0,'Raw Orders'!G1191)</f>
        <v>78</v>
      </c>
      <c r="D1194" s="31" t="n">
        <f aca="false">IF(AND('Raw Orders'!C1191="Product",'Raw Orders'!K1191="Fulfilled",COUNTIFS('Raw Orders'!$A$2:$A1191,'Raw Orders'!A1191,'Raw Orders'!$C$2:$C1191,"Product",'Raw Orders'!$K$2:$K1191,"Fulfilled")=1),1,0)</f>
        <v>1</v>
      </c>
      <c r="E1194" s="31" t="n">
        <f aca="false">IF(AND('Raw Orders'!C1191="Product",'Raw Orders'!K1191="Fulfilled"),'Raw Orders'!E1191,0)</f>
        <v>2</v>
      </c>
      <c r="F1194" s="32" t="n">
        <f aca="false">IF('Raw Orders'!K1191="Refunded",'Raw Orders'!G1191,0)</f>
        <v>0</v>
      </c>
    </row>
    <row r="1195" customFormat="false" ht="15" hidden="false" customHeight="false" outlineLevel="0" collapsed="false">
      <c r="A1195" s="36" t="n">
        <f aca="false">IF('Raw Orders'!B1192="","",IF(MID('Raw Orders'!B1192,5,1)="-",DATE(VALUE(LEFT('Raw Orders'!B1192,4)),VALUE(MID('Raw Orders'!B1192,6,2)),VALUE(MID('Raw Orders'!B1192,9,2))),DATE(VALUE(MID('Raw Orders'!B1192,7,4)),VALUE(MID('Raw Orders'!B1192,4,2)),VALUE(LEFT('Raw Orders'!B1192,2)))))</f>
        <v>46210</v>
      </c>
      <c r="B1195" s="36" t="n">
        <f aca="false">IF(A1195="","",A1195-WEEKDAY(A1195,3))</f>
        <v>46209</v>
      </c>
      <c r="C1195" s="32" t="n">
        <f aca="false">IF(OR('Raw Orders'!C1192&lt;&gt;"Product",'Raw Orders'!K1192="Cancelled"),0,'Raw Orders'!G1192)</f>
        <v>78</v>
      </c>
      <c r="D1195" s="31" t="n">
        <f aca="false">IF(AND('Raw Orders'!C1192="Product",'Raw Orders'!K1192="Fulfilled",COUNTIFS('Raw Orders'!$A$2:$A1192,'Raw Orders'!A1192,'Raw Orders'!$C$2:$C1192,"Product",'Raw Orders'!$K$2:$K1192,"Fulfilled")=1),1,0)</f>
        <v>0</v>
      </c>
      <c r="E1195" s="31" t="n">
        <f aca="false">IF(AND('Raw Orders'!C1192="Product",'Raw Orders'!K1192="Fulfilled"),'Raw Orders'!E1192,0)</f>
        <v>3</v>
      </c>
      <c r="F1195" s="32" t="n">
        <f aca="false">IF('Raw Orders'!K1192="Refunded",'Raw Orders'!G1192,0)</f>
        <v>0</v>
      </c>
    </row>
    <row r="1196" customFormat="false" ht="15" hidden="false" customHeight="false" outlineLevel="0" collapsed="false">
      <c r="A1196" s="36" t="n">
        <f aca="false">IF('Raw Orders'!B1193="","",IF(MID('Raw Orders'!B1193,5,1)="-",DATE(VALUE(LEFT('Raw Orders'!B1193,4)),VALUE(MID('Raw Orders'!B1193,6,2)),VALUE(MID('Raw Orders'!B1193,9,2))),DATE(VALUE(MID('Raw Orders'!B1193,7,4)),VALUE(MID('Raw Orders'!B1193,4,2)),VALUE(LEFT('Raw Orders'!B1193,2)))))</f>
        <v>46210</v>
      </c>
      <c r="B1196" s="36" t="n">
        <f aca="false">IF(A1196="","",A1196-WEEKDAY(A1196,3))</f>
        <v>46209</v>
      </c>
      <c r="C1196" s="32" t="n">
        <f aca="false">IF(OR('Raw Orders'!C1193&lt;&gt;"Product",'Raw Orders'!K1193="Cancelled"),0,'Raw Orders'!G1193)</f>
        <v>0</v>
      </c>
      <c r="D1196" s="31" t="n">
        <f aca="false">IF(AND('Raw Orders'!C1193="Product",'Raw Orders'!K1193="Fulfilled",COUNTIFS('Raw Orders'!$A$2:$A1193,'Raw Orders'!A1193,'Raw Orders'!$C$2:$C1193,"Product",'Raw Orders'!$K$2:$K1193,"Fulfilled")=1),1,0)</f>
        <v>0</v>
      </c>
      <c r="E1196" s="31" t="n">
        <f aca="false">IF(AND('Raw Orders'!C1193="Product",'Raw Orders'!K1193="Fulfilled"),'Raw Orders'!E1193,0)</f>
        <v>0</v>
      </c>
      <c r="F1196" s="32" t="n">
        <f aca="false">IF('Raw Orders'!K1193="Refunded",'Raw Orders'!G1193,0)</f>
        <v>0</v>
      </c>
    </row>
    <row r="1197" customFormat="false" ht="15" hidden="false" customHeight="false" outlineLevel="0" collapsed="false">
      <c r="A1197" s="36" t="n">
        <f aca="false">IF('Raw Orders'!B1194="","",IF(MID('Raw Orders'!B1194,5,1)="-",DATE(VALUE(LEFT('Raw Orders'!B1194,4)),VALUE(MID('Raw Orders'!B1194,6,2)),VALUE(MID('Raw Orders'!B1194,9,2))),DATE(VALUE(MID('Raw Orders'!B1194,7,4)),VALUE(MID('Raw Orders'!B1194,4,2)),VALUE(LEFT('Raw Orders'!B1194,2)))))</f>
        <v>46210</v>
      </c>
      <c r="B1197" s="36" t="n">
        <f aca="false">IF(A1197="","",A1197-WEEKDAY(A1197,3))</f>
        <v>46209</v>
      </c>
      <c r="C1197" s="32" t="n">
        <f aca="false">IF(OR('Raw Orders'!C1194&lt;&gt;"Product",'Raw Orders'!K1194="Cancelled"),0,'Raw Orders'!G1194)</f>
        <v>0</v>
      </c>
      <c r="D1197" s="31" t="n">
        <f aca="false">IF(AND('Raw Orders'!C1194="Product",'Raw Orders'!K1194="Fulfilled",COUNTIFS('Raw Orders'!$A$2:$A1194,'Raw Orders'!A1194,'Raw Orders'!$C$2:$C1194,"Product",'Raw Orders'!$K$2:$K1194,"Fulfilled")=1),1,0)</f>
        <v>0</v>
      </c>
      <c r="E1197" s="31" t="n">
        <f aca="false">IF(AND('Raw Orders'!C1194="Product",'Raw Orders'!K1194="Fulfilled"),'Raw Orders'!E1194,0)</f>
        <v>0</v>
      </c>
      <c r="F1197" s="32" t="n">
        <f aca="false">IF('Raw Orders'!K1194="Refunded",'Raw Orders'!G1194,0)</f>
        <v>0</v>
      </c>
    </row>
    <row r="1198" customFormat="false" ht="15" hidden="false" customHeight="false" outlineLevel="0" collapsed="false">
      <c r="A1198" s="36" t="n">
        <f aca="false">IF('Raw Orders'!B1195="","",IF(MID('Raw Orders'!B1195,5,1)="-",DATE(VALUE(LEFT('Raw Orders'!B1195,4)),VALUE(MID('Raw Orders'!B1195,6,2)),VALUE(MID('Raw Orders'!B1195,9,2))),DATE(VALUE(MID('Raw Orders'!B1195,7,4)),VALUE(MID('Raw Orders'!B1195,4,2)),VALUE(LEFT('Raw Orders'!B1195,2)))))</f>
        <v>46210</v>
      </c>
      <c r="B1198" s="36" t="n">
        <f aca="false">IF(A1198="","",A1198-WEEKDAY(A1198,3))</f>
        <v>46209</v>
      </c>
      <c r="C1198" s="32" t="n">
        <f aca="false">IF(OR('Raw Orders'!C1195&lt;&gt;"Product",'Raw Orders'!K1195="Cancelled"),0,'Raw Orders'!G1195)</f>
        <v>22</v>
      </c>
      <c r="D1198" s="31" t="n">
        <f aca="false">IF(AND('Raw Orders'!C1195="Product",'Raw Orders'!K1195="Fulfilled",COUNTIFS('Raw Orders'!$A$2:$A1195,'Raw Orders'!A1195,'Raw Orders'!$C$2:$C1195,"Product",'Raw Orders'!$K$2:$K1195,"Fulfilled")=1),1,0)</f>
        <v>1</v>
      </c>
      <c r="E1198" s="31" t="n">
        <f aca="false">IF(AND('Raw Orders'!C1195="Product",'Raw Orders'!K1195="Fulfilled"),'Raw Orders'!E1195,0)</f>
        <v>1</v>
      </c>
      <c r="F1198" s="32" t="n">
        <f aca="false">IF('Raw Orders'!K1195="Refunded",'Raw Orders'!G1195,0)</f>
        <v>0</v>
      </c>
    </row>
    <row r="1199" customFormat="false" ht="15" hidden="false" customHeight="false" outlineLevel="0" collapsed="false">
      <c r="A1199" s="36" t="n">
        <f aca="false">IF('Raw Orders'!B1196="","",IF(MID('Raw Orders'!B1196,5,1)="-",DATE(VALUE(LEFT('Raw Orders'!B1196,4)),VALUE(MID('Raw Orders'!B1196,6,2)),VALUE(MID('Raw Orders'!B1196,9,2))),DATE(VALUE(MID('Raw Orders'!B1196,7,4)),VALUE(MID('Raw Orders'!B1196,4,2)),VALUE(LEFT('Raw Orders'!B1196,2)))))</f>
        <v>46210</v>
      </c>
      <c r="B1199" s="36" t="n">
        <f aca="false">IF(A1199="","",A1199-WEEKDAY(A1199,3))</f>
        <v>46209</v>
      </c>
      <c r="C1199" s="32" t="n">
        <f aca="false">IF(OR('Raw Orders'!C1196&lt;&gt;"Product",'Raw Orders'!K1196="Cancelled"),0,'Raw Orders'!G1196)</f>
        <v>70</v>
      </c>
      <c r="D1199" s="31" t="n">
        <f aca="false">IF(AND('Raw Orders'!C1196="Product",'Raw Orders'!K1196="Fulfilled",COUNTIFS('Raw Orders'!$A$2:$A1196,'Raw Orders'!A1196,'Raw Orders'!$C$2:$C1196,"Product",'Raw Orders'!$K$2:$K1196,"Fulfilled")=1),1,0)</f>
        <v>1</v>
      </c>
      <c r="E1199" s="31" t="n">
        <f aca="false">IF(AND('Raw Orders'!C1196="Product",'Raw Orders'!K1196="Fulfilled"),'Raw Orders'!E1196,0)</f>
        <v>2</v>
      </c>
      <c r="F1199" s="32" t="n">
        <f aca="false">IF('Raw Orders'!K1196="Refunded",'Raw Orders'!G1196,0)</f>
        <v>0</v>
      </c>
    </row>
    <row r="1200" customFormat="false" ht="15" hidden="false" customHeight="false" outlineLevel="0" collapsed="false">
      <c r="A1200" s="36" t="n">
        <f aca="false">IF('Raw Orders'!B1197="","",IF(MID('Raw Orders'!B1197,5,1)="-",DATE(VALUE(LEFT('Raw Orders'!B1197,4)),VALUE(MID('Raw Orders'!B1197,6,2)),VALUE(MID('Raw Orders'!B1197,9,2))),DATE(VALUE(MID('Raw Orders'!B1197,7,4)),VALUE(MID('Raw Orders'!B1197,4,2)),VALUE(LEFT('Raw Orders'!B1197,2)))))</f>
        <v>46210</v>
      </c>
      <c r="B1200" s="36" t="n">
        <f aca="false">IF(A1200="","",A1200-WEEKDAY(A1200,3))</f>
        <v>46209</v>
      </c>
      <c r="C1200" s="32" t="n">
        <f aca="false">IF(OR('Raw Orders'!C1197&lt;&gt;"Product",'Raw Orders'!K1197="Cancelled"),0,'Raw Orders'!G1197)</f>
        <v>22</v>
      </c>
      <c r="D1200" s="31" t="n">
        <f aca="false">IF(AND('Raw Orders'!C1197="Product",'Raw Orders'!K1197="Fulfilled",COUNTIFS('Raw Orders'!$A$2:$A1197,'Raw Orders'!A1197,'Raw Orders'!$C$2:$C1197,"Product",'Raw Orders'!$K$2:$K1197,"Fulfilled")=1),1,0)</f>
        <v>0</v>
      </c>
      <c r="E1200" s="31" t="n">
        <f aca="false">IF(AND('Raw Orders'!C1197="Product",'Raw Orders'!K1197="Fulfilled"),'Raw Orders'!E1197,0)</f>
        <v>1</v>
      </c>
      <c r="F1200" s="32" t="n">
        <f aca="false">IF('Raw Orders'!K1197="Refunded",'Raw Orders'!G1197,0)</f>
        <v>0</v>
      </c>
    </row>
    <row r="1201" customFormat="false" ht="15" hidden="false" customHeight="false" outlineLevel="0" collapsed="false">
      <c r="A1201" s="36" t="n">
        <f aca="false">IF('Raw Orders'!B1198="","",IF(MID('Raw Orders'!B1198,5,1)="-",DATE(VALUE(LEFT('Raw Orders'!B1198,4)),VALUE(MID('Raw Orders'!B1198,6,2)),VALUE(MID('Raw Orders'!B1198,9,2))),DATE(VALUE(MID('Raw Orders'!B1198,7,4)),VALUE(MID('Raw Orders'!B1198,4,2)),VALUE(LEFT('Raw Orders'!B1198,2)))))</f>
        <v>46211</v>
      </c>
      <c r="B1201" s="36" t="n">
        <f aca="false">IF(A1201="","",A1201-WEEKDAY(A1201,3))</f>
        <v>46209</v>
      </c>
      <c r="C1201" s="32" t="n">
        <f aca="false">IF(OR('Raw Orders'!C1198&lt;&gt;"Product",'Raw Orders'!K1198="Cancelled"),0,'Raw Orders'!G1198)</f>
        <v>0</v>
      </c>
      <c r="D1201" s="31" t="n">
        <f aca="false">IF(AND('Raw Orders'!C1198="Product",'Raw Orders'!K1198="Fulfilled",COUNTIFS('Raw Orders'!$A$2:$A1198,'Raw Orders'!A1198,'Raw Orders'!$C$2:$C1198,"Product",'Raw Orders'!$K$2:$K1198,"Fulfilled")=1),1,0)</f>
        <v>0</v>
      </c>
      <c r="E1201" s="31" t="n">
        <f aca="false">IF(AND('Raw Orders'!C1198="Product",'Raw Orders'!K1198="Fulfilled"),'Raw Orders'!E1198,0)</f>
        <v>0</v>
      </c>
      <c r="F1201" s="32" t="n">
        <f aca="false">IF('Raw Orders'!K1198="Refunded",'Raw Orders'!G1198,0)</f>
        <v>0</v>
      </c>
    </row>
    <row r="1202" customFormat="false" ht="15" hidden="false" customHeight="false" outlineLevel="0" collapsed="false">
      <c r="A1202" s="36" t="n">
        <f aca="false">IF('Raw Orders'!B1199="","",IF(MID('Raw Orders'!B1199,5,1)="-",DATE(VALUE(LEFT('Raw Orders'!B1199,4)),VALUE(MID('Raw Orders'!B1199,6,2)),VALUE(MID('Raw Orders'!B1199,9,2))),DATE(VALUE(MID('Raw Orders'!B1199,7,4)),VALUE(MID('Raw Orders'!B1199,4,2)),VALUE(LEFT('Raw Orders'!B1199,2)))))</f>
        <v>46211</v>
      </c>
      <c r="B1202" s="36" t="n">
        <f aca="false">IF(A1202="","",A1202-WEEKDAY(A1202,3))</f>
        <v>46209</v>
      </c>
      <c r="C1202" s="32" t="n">
        <f aca="false">IF(OR('Raw Orders'!C1199&lt;&gt;"Product",'Raw Orders'!K1199="Cancelled"),0,'Raw Orders'!G1199)</f>
        <v>75</v>
      </c>
      <c r="D1202" s="31" t="n">
        <f aca="false">IF(AND('Raw Orders'!C1199="Product",'Raw Orders'!K1199="Fulfilled",COUNTIFS('Raw Orders'!$A$2:$A1199,'Raw Orders'!A1199,'Raw Orders'!$C$2:$C1199,"Product",'Raw Orders'!$K$2:$K1199,"Fulfilled")=1),1,0)</f>
        <v>1</v>
      </c>
      <c r="E1202" s="31" t="n">
        <f aca="false">IF(AND('Raw Orders'!C1199="Product",'Raw Orders'!K1199="Fulfilled"),'Raw Orders'!E1199,0)</f>
        <v>1</v>
      </c>
      <c r="F1202" s="32" t="n">
        <f aca="false">IF('Raw Orders'!K1199="Refunded",'Raw Orders'!G1199,0)</f>
        <v>0</v>
      </c>
    </row>
    <row r="1203" customFormat="false" ht="15" hidden="false" customHeight="false" outlineLevel="0" collapsed="false">
      <c r="A1203" s="36" t="n">
        <f aca="false">IF('Raw Orders'!B1200="","",IF(MID('Raw Orders'!B1200,5,1)="-",DATE(VALUE(LEFT('Raw Orders'!B1200,4)),VALUE(MID('Raw Orders'!B1200,6,2)),VALUE(MID('Raw Orders'!B1200,9,2))),DATE(VALUE(MID('Raw Orders'!B1200,7,4)),VALUE(MID('Raw Orders'!B1200,4,2)),VALUE(LEFT('Raw Orders'!B1200,2)))))</f>
        <v>46211</v>
      </c>
      <c r="B1203" s="36" t="n">
        <f aca="false">IF(A1203="","",A1203-WEEKDAY(A1203,3))</f>
        <v>46209</v>
      </c>
      <c r="C1203" s="32" t="n">
        <f aca="false">IF(OR('Raw Orders'!C1200&lt;&gt;"Product",'Raw Orders'!K1200="Cancelled"),0,'Raw Orders'!G1200)</f>
        <v>35</v>
      </c>
      <c r="D1203" s="31" t="n">
        <f aca="false">IF(AND('Raw Orders'!C1200="Product",'Raw Orders'!K1200="Fulfilled",COUNTIFS('Raw Orders'!$A$2:$A1200,'Raw Orders'!A1200,'Raw Orders'!$C$2:$C1200,"Product",'Raw Orders'!$K$2:$K1200,"Fulfilled")=1),1,0)</f>
        <v>1</v>
      </c>
      <c r="E1203" s="31" t="n">
        <f aca="false">IF(AND('Raw Orders'!C1200="Product",'Raw Orders'!K1200="Fulfilled"),'Raw Orders'!E1200,0)</f>
        <v>1</v>
      </c>
      <c r="F1203" s="32" t="n">
        <f aca="false">IF('Raw Orders'!K1200="Refunded",'Raw Orders'!G1200,0)</f>
        <v>0</v>
      </c>
    </row>
    <row r="1204" customFormat="false" ht="15" hidden="false" customHeight="false" outlineLevel="0" collapsed="false">
      <c r="A1204" s="36" t="n">
        <f aca="false">IF('Raw Orders'!B1201="","",IF(MID('Raw Orders'!B1201,5,1)="-",DATE(VALUE(LEFT('Raw Orders'!B1201,4)),VALUE(MID('Raw Orders'!B1201,6,2)),VALUE(MID('Raw Orders'!B1201,9,2))),DATE(VALUE(MID('Raw Orders'!B1201,7,4)),VALUE(MID('Raw Orders'!B1201,4,2)),VALUE(LEFT('Raw Orders'!B1201,2)))))</f>
        <v>46211</v>
      </c>
      <c r="B1204" s="36" t="n">
        <f aca="false">IF(A1204="","",A1204-WEEKDAY(A1204,3))</f>
        <v>46209</v>
      </c>
      <c r="C1204" s="32" t="n">
        <f aca="false">IF(OR('Raw Orders'!C1201&lt;&gt;"Product",'Raw Orders'!K1201="Cancelled"),0,'Raw Orders'!G1201)</f>
        <v>0</v>
      </c>
      <c r="D1204" s="31" t="n">
        <f aca="false">IF(AND('Raw Orders'!C1201="Product",'Raw Orders'!K1201="Fulfilled",COUNTIFS('Raw Orders'!$A$2:$A1201,'Raw Orders'!A1201,'Raw Orders'!$C$2:$C1201,"Product",'Raw Orders'!$K$2:$K1201,"Fulfilled")=1),1,0)</f>
        <v>0</v>
      </c>
      <c r="E1204" s="31" t="n">
        <f aca="false">IF(AND('Raw Orders'!C1201="Product",'Raw Orders'!K1201="Fulfilled"),'Raw Orders'!E1201,0)</f>
        <v>0</v>
      </c>
      <c r="F1204" s="32" t="n">
        <f aca="false">IF('Raw Orders'!K1201="Refunded",'Raw Orders'!G1201,0)</f>
        <v>0</v>
      </c>
    </row>
    <row r="1205" customFormat="false" ht="15" hidden="false" customHeight="false" outlineLevel="0" collapsed="false">
      <c r="A1205" s="36" t="n">
        <f aca="false">IF('Raw Orders'!B1202="","",IF(MID('Raw Orders'!B1202,5,1)="-",DATE(VALUE(LEFT('Raw Orders'!B1202,4)),VALUE(MID('Raw Orders'!B1202,6,2)),VALUE(MID('Raw Orders'!B1202,9,2))),DATE(VALUE(MID('Raw Orders'!B1202,7,4)),VALUE(MID('Raw Orders'!B1202,4,2)),VALUE(LEFT('Raw Orders'!B1202,2)))))</f>
        <v>46211</v>
      </c>
      <c r="B1205" s="36" t="n">
        <f aca="false">IF(A1205="","",A1205-WEEKDAY(A1205,3))</f>
        <v>46209</v>
      </c>
      <c r="C1205" s="32" t="n">
        <f aca="false">IF(OR('Raw Orders'!C1202&lt;&gt;"Product",'Raw Orders'!K1202="Cancelled"),0,'Raw Orders'!G1202)</f>
        <v>150</v>
      </c>
      <c r="D1205" s="31" t="n">
        <f aca="false">IF(AND('Raw Orders'!C1202="Product",'Raw Orders'!K1202="Fulfilled",COUNTIFS('Raw Orders'!$A$2:$A1202,'Raw Orders'!A1202,'Raw Orders'!$C$2:$C1202,"Product",'Raw Orders'!$K$2:$K1202,"Fulfilled")=1),1,0)</f>
        <v>0</v>
      </c>
      <c r="E1205" s="31" t="n">
        <f aca="false">IF(AND('Raw Orders'!C1202="Product",'Raw Orders'!K1202="Fulfilled"),'Raw Orders'!E1202,0)</f>
        <v>2</v>
      </c>
      <c r="F1205" s="32" t="n">
        <f aca="false">IF('Raw Orders'!K1202="Refunded",'Raw Orders'!G1202,0)</f>
        <v>0</v>
      </c>
    </row>
    <row r="1206" customFormat="false" ht="15" hidden="false" customHeight="false" outlineLevel="0" collapsed="false">
      <c r="A1206" s="36" t="n">
        <f aca="false">IF('Raw Orders'!B1203="","",IF(MID('Raw Orders'!B1203,5,1)="-",DATE(VALUE(LEFT('Raw Orders'!B1203,4)),VALUE(MID('Raw Orders'!B1203,6,2)),VALUE(MID('Raw Orders'!B1203,9,2))),DATE(VALUE(MID('Raw Orders'!B1203,7,4)),VALUE(MID('Raw Orders'!B1203,4,2)),VALUE(LEFT('Raw Orders'!B1203,2)))))</f>
        <v>46211</v>
      </c>
      <c r="B1206" s="36" t="n">
        <f aca="false">IF(A1206="","",A1206-WEEKDAY(A1206,3))</f>
        <v>46209</v>
      </c>
      <c r="C1206" s="32" t="n">
        <f aca="false">IF(OR('Raw Orders'!C1203&lt;&gt;"Product",'Raw Orders'!K1203="Cancelled"),0,'Raw Orders'!G1203)</f>
        <v>0</v>
      </c>
      <c r="D1206" s="31" t="n">
        <f aca="false">IF(AND('Raw Orders'!C1203="Product",'Raw Orders'!K1203="Fulfilled",COUNTIFS('Raw Orders'!$A$2:$A1203,'Raw Orders'!A1203,'Raw Orders'!$C$2:$C1203,"Product",'Raw Orders'!$K$2:$K1203,"Fulfilled")=1),1,0)</f>
        <v>0</v>
      </c>
      <c r="E1206" s="31" t="n">
        <f aca="false">IF(AND('Raw Orders'!C1203="Product",'Raw Orders'!K1203="Fulfilled"),'Raw Orders'!E1203,0)</f>
        <v>0</v>
      </c>
      <c r="F1206" s="32" t="n">
        <f aca="false">IF('Raw Orders'!K1203="Refunded",'Raw Orders'!G1203,0)</f>
        <v>0</v>
      </c>
    </row>
    <row r="1207" customFormat="false" ht="15" hidden="false" customHeight="false" outlineLevel="0" collapsed="false">
      <c r="A1207" s="36" t="n">
        <f aca="false">IF('Raw Orders'!B1204="","",IF(MID('Raw Orders'!B1204,5,1)="-",DATE(VALUE(LEFT('Raw Orders'!B1204,4)),VALUE(MID('Raw Orders'!B1204,6,2)),VALUE(MID('Raw Orders'!B1204,9,2))),DATE(VALUE(MID('Raw Orders'!B1204,7,4)),VALUE(MID('Raw Orders'!B1204,4,2)),VALUE(LEFT('Raw Orders'!B1204,2)))))</f>
        <v>46211</v>
      </c>
      <c r="B1207" s="36" t="n">
        <f aca="false">IF(A1207="","",A1207-WEEKDAY(A1207,3))</f>
        <v>46209</v>
      </c>
      <c r="C1207" s="32" t="n">
        <f aca="false">IF(OR('Raw Orders'!C1204&lt;&gt;"Product",'Raw Orders'!K1204="Cancelled"),0,'Raw Orders'!G1204)</f>
        <v>89</v>
      </c>
      <c r="D1207" s="31" t="n">
        <f aca="false">IF(AND('Raw Orders'!C1204="Product",'Raw Orders'!K1204="Fulfilled",COUNTIFS('Raw Orders'!$A$2:$A1204,'Raw Orders'!A1204,'Raw Orders'!$C$2:$C1204,"Product",'Raw Orders'!$K$2:$K1204,"Fulfilled")=1),1,0)</f>
        <v>1</v>
      </c>
      <c r="E1207" s="31" t="n">
        <f aca="false">IF(AND('Raw Orders'!C1204="Product",'Raw Orders'!K1204="Fulfilled"),'Raw Orders'!E1204,0)</f>
        <v>1</v>
      </c>
      <c r="F1207" s="32" t="n">
        <f aca="false">IF('Raw Orders'!K1204="Refunded",'Raw Orders'!G1204,0)</f>
        <v>0</v>
      </c>
    </row>
    <row r="1208" customFormat="false" ht="15" hidden="false" customHeight="false" outlineLevel="0" collapsed="false">
      <c r="A1208" s="36" t="n">
        <f aca="false">IF('Raw Orders'!B1205="","",IF(MID('Raw Orders'!B1205,5,1)="-",DATE(VALUE(LEFT('Raw Orders'!B1205,4)),VALUE(MID('Raw Orders'!B1205,6,2)),VALUE(MID('Raw Orders'!B1205,9,2))),DATE(VALUE(MID('Raw Orders'!B1205,7,4)),VALUE(MID('Raw Orders'!B1205,4,2)),VALUE(LEFT('Raw Orders'!B1205,2)))))</f>
        <v>46211</v>
      </c>
      <c r="B1208" s="36" t="n">
        <f aca="false">IF(A1208="","",A1208-WEEKDAY(A1208,3))</f>
        <v>46209</v>
      </c>
      <c r="C1208" s="32" t="n">
        <f aca="false">IF(OR('Raw Orders'!C1205&lt;&gt;"Product",'Raw Orders'!K1205="Cancelled"),0,'Raw Orders'!G1205)</f>
        <v>75</v>
      </c>
      <c r="D1208" s="31" t="n">
        <f aca="false">IF(AND('Raw Orders'!C1205="Product",'Raw Orders'!K1205="Fulfilled",COUNTIFS('Raw Orders'!$A$2:$A1205,'Raw Orders'!A1205,'Raw Orders'!$C$2:$C1205,"Product",'Raw Orders'!$K$2:$K1205,"Fulfilled")=1),1,0)</f>
        <v>1</v>
      </c>
      <c r="E1208" s="31" t="n">
        <f aca="false">IF(AND('Raw Orders'!C1205="Product",'Raw Orders'!K1205="Fulfilled"),'Raw Orders'!E1205,0)</f>
        <v>1</v>
      </c>
      <c r="F1208" s="32" t="n">
        <f aca="false">IF('Raw Orders'!K1205="Refunded",'Raw Orders'!G1205,0)</f>
        <v>0</v>
      </c>
    </row>
    <row r="1209" customFormat="false" ht="15" hidden="false" customHeight="false" outlineLevel="0" collapsed="false">
      <c r="A1209" s="36" t="n">
        <f aca="false">IF('Raw Orders'!B1206="","",IF(MID('Raw Orders'!B1206,5,1)="-",DATE(VALUE(LEFT('Raw Orders'!B1206,4)),VALUE(MID('Raw Orders'!B1206,6,2)),VALUE(MID('Raw Orders'!B1206,9,2))),DATE(VALUE(MID('Raw Orders'!B1206,7,4)),VALUE(MID('Raw Orders'!B1206,4,2)),VALUE(LEFT('Raw Orders'!B1206,2)))))</f>
        <v>46211</v>
      </c>
      <c r="B1209" s="36" t="n">
        <f aca="false">IF(A1209="","",A1209-WEEKDAY(A1209,3))</f>
        <v>46209</v>
      </c>
      <c r="C1209" s="32" t="n">
        <f aca="false">IF(OR('Raw Orders'!C1206&lt;&gt;"Product",'Raw Orders'!K1206="Cancelled"),0,'Raw Orders'!G1206)</f>
        <v>22</v>
      </c>
      <c r="D1209" s="31" t="n">
        <f aca="false">IF(AND('Raw Orders'!C1206="Product",'Raw Orders'!K1206="Fulfilled",COUNTIFS('Raw Orders'!$A$2:$A1206,'Raw Orders'!A1206,'Raw Orders'!$C$2:$C1206,"Product",'Raw Orders'!$K$2:$K1206,"Fulfilled")=1),1,0)</f>
        <v>0</v>
      </c>
      <c r="E1209" s="31" t="n">
        <f aca="false">IF(AND('Raw Orders'!C1206="Product",'Raw Orders'!K1206="Fulfilled"),'Raw Orders'!E1206,0)</f>
        <v>1</v>
      </c>
      <c r="F1209" s="32" t="n">
        <f aca="false">IF('Raw Orders'!K1206="Refunded",'Raw Orders'!G1206,0)</f>
        <v>0</v>
      </c>
    </row>
    <row r="1210" customFormat="false" ht="15" hidden="false" customHeight="false" outlineLevel="0" collapsed="false">
      <c r="A1210" s="36" t="n">
        <f aca="false">IF('Raw Orders'!B1207="","",IF(MID('Raw Orders'!B1207,5,1)="-",DATE(VALUE(LEFT('Raw Orders'!B1207,4)),VALUE(MID('Raw Orders'!B1207,6,2)),VALUE(MID('Raw Orders'!B1207,9,2))),DATE(VALUE(MID('Raw Orders'!B1207,7,4)),VALUE(MID('Raw Orders'!B1207,4,2)),VALUE(LEFT('Raw Orders'!B1207,2)))))</f>
        <v>46211</v>
      </c>
      <c r="B1210" s="36" t="n">
        <f aca="false">IF(A1210="","",A1210-WEEKDAY(A1210,3))</f>
        <v>46209</v>
      </c>
      <c r="C1210" s="32" t="n">
        <f aca="false">IF(OR('Raw Orders'!C1207&lt;&gt;"Product",'Raw Orders'!K1207="Cancelled"),0,'Raw Orders'!G1207)</f>
        <v>0</v>
      </c>
      <c r="D1210" s="31" t="n">
        <f aca="false">IF(AND('Raw Orders'!C1207="Product",'Raw Orders'!K1207="Fulfilled",COUNTIFS('Raw Orders'!$A$2:$A1207,'Raw Orders'!A1207,'Raw Orders'!$C$2:$C1207,"Product",'Raw Orders'!$K$2:$K1207,"Fulfilled")=1),1,0)</f>
        <v>0</v>
      </c>
      <c r="E1210" s="31" t="n">
        <f aca="false">IF(AND('Raw Orders'!C1207="Product",'Raw Orders'!K1207="Fulfilled"),'Raw Orders'!E1207,0)</f>
        <v>0</v>
      </c>
      <c r="F1210" s="32" t="n">
        <f aca="false">IF('Raw Orders'!K1207="Refunded",'Raw Orders'!G1207,0)</f>
        <v>0</v>
      </c>
    </row>
    <row r="1211" customFormat="false" ht="15" hidden="false" customHeight="false" outlineLevel="0" collapsed="false">
      <c r="A1211" s="36" t="n">
        <f aca="false">IF('Raw Orders'!B1208="","",IF(MID('Raw Orders'!B1208,5,1)="-",DATE(VALUE(LEFT('Raw Orders'!B1208,4)),VALUE(MID('Raw Orders'!B1208,6,2)),VALUE(MID('Raw Orders'!B1208,9,2))),DATE(VALUE(MID('Raw Orders'!B1208,7,4)),VALUE(MID('Raw Orders'!B1208,4,2)),VALUE(LEFT('Raw Orders'!B1208,2)))))</f>
        <v>46211</v>
      </c>
      <c r="B1211" s="36" t="n">
        <f aca="false">IF(A1211="","",A1211-WEEKDAY(A1211,3))</f>
        <v>46209</v>
      </c>
      <c r="C1211" s="32" t="n">
        <f aca="false">IF(OR('Raw Orders'!C1208&lt;&gt;"Product",'Raw Orders'!K1208="Cancelled"),0,'Raw Orders'!G1208)</f>
        <v>135</v>
      </c>
      <c r="D1211" s="31" t="n">
        <f aca="false">IF(AND('Raw Orders'!C1208="Product",'Raw Orders'!K1208="Fulfilled",COUNTIFS('Raw Orders'!$A$2:$A1208,'Raw Orders'!A1208,'Raw Orders'!$C$2:$C1208,"Product",'Raw Orders'!$K$2:$K1208,"Fulfilled")=1),1,0)</f>
        <v>1</v>
      </c>
      <c r="E1211" s="31" t="n">
        <f aca="false">IF(AND('Raw Orders'!C1208="Product",'Raw Orders'!K1208="Fulfilled"),'Raw Orders'!E1208,0)</f>
        <v>3</v>
      </c>
      <c r="F1211" s="32" t="n">
        <f aca="false">IF('Raw Orders'!K1208="Refunded",'Raw Orders'!G1208,0)</f>
        <v>0</v>
      </c>
    </row>
    <row r="1212" customFormat="false" ht="15" hidden="false" customHeight="false" outlineLevel="0" collapsed="false">
      <c r="A1212" s="36" t="n">
        <f aca="false">IF('Raw Orders'!B1209="","",IF(MID('Raw Orders'!B1209,5,1)="-",DATE(VALUE(LEFT('Raw Orders'!B1209,4)),VALUE(MID('Raw Orders'!B1209,6,2)),VALUE(MID('Raw Orders'!B1209,9,2))),DATE(VALUE(MID('Raw Orders'!B1209,7,4)),VALUE(MID('Raw Orders'!B1209,4,2)),VALUE(LEFT('Raw Orders'!B1209,2)))))</f>
        <v>46211</v>
      </c>
      <c r="B1212" s="36" t="n">
        <f aca="false">IF(A1212="","",A1212-WEEKDAY(A1212,3))</f>
        <v>46209</v>
      </c>
      <c r="C1212" s="32" t="n">
        <f aca="false">IF(OR('Raw Orders'!C1209&lt;&gt;"Product",'Raw Orders'!K1209="Cancelled"),0,'Raw Orders'!G1209)</f>
        <v>120</v>
      </c>
      <c r="D1212" s="31" t="n">
        <f aca="false">IF(AND('Raw Orders'!C1209="Product",'Raw Orders'!K1209="Fulfilled",COUNTIFS('Raw Orders'!$A$2:$A1209,'Raw Orders'!A1209,'Raw Orders'!$C$2:$C1209,"Product",'Raw Orders'!$K$2:$K1209,"Fulfilled")=1),1,0)</f>
        <v>0</v>
      </c>
      <c r="E1212" s="31" t="n">
        <f aca="false">IF(AND('Raw Orders'!C1209="Product",'Raw Orders'!K1209="Fulfilled"),'Raw Orders'!E1209,0)</f>
        <v>2</v>
      </c>
      <c r="F1212" s="32" t="n">
        <f aca="false">IF('Raw Orders'!K1209="Refunded",'Raw Orders'!G1209,0)</f>
        <v>0</v>
      </c>
    </row>
    <row r="1213" customFormat="false" ht="15" hidden="false" customHeight="false" outlineLevel="0" collapsed="false">
      <c r="A1213" s="36" t="n">
        <f aca="false">IF('Raw Orders'!B1210="","",IF(MID('Raw Orders'!B1210,5,1)="-",DATE(VALUE(LEFT('Raw Orders'!B1210,4)),VALUE(MID('Raw Orders'!B1210,6,2)),VALUE(MID('Raw Orders'!B1210,9,2))),DATE(VALUE(MID('Raw Orders'!B1210,7,4)),VALUE(MID('Raw Orders'!B1210,4,2)),VALUE(LEFT('Raw Orders'!B1210,2)))))</f>
        <v>46211</v>
      </c>
      <c r="B1213" s="36" t="n">
        <f aca="false">IF(A1213="","",A1213-WEEKDAY(A1213,3))</f>
        <v>46209</v>
      </c>
      <c r="C1213" s="32" t="n">
        <f aca="false">IF(OR('Raw Orders'!C1210&lt;&gt;"Product",'Raw Orders'!K1210="Cancelled"),0,'Raw Orders'!G1210)</f>
        <v>75.65</v>
      </c>
      <c r="D1213" s="31" t="n">
        <f aca="false">IF(AND('Raw Orders'!C1210="Product",'Raw Orders'!K1210="Fulfilled",COUNTIFS('Raw Orders'!$A$2:$A1210,'Raw Orders'!A1210,'Raw Orders'!$C$2:$C1210,"Product",'Raw Orders'!$K$2:$K1210,"Fulfilled")=1),1,0)</f>
        <v>0</v>
      </c>
      <c r="E1213" s="31" t="n">
        <f aca="false">IF(AND('Raw Orders'!C1210="Product",'Raw Orders'!K1210="Fulfilled"),'Raw Orders'!E1210,0)</f>
        <v>1</v>
      </c>
      <c r="F1213" s="32" t="n">
        <f aca="false">IF('Raw Orders'!K1210="Refunded",'Raw Orders'!G1210,0)</f>
        <v>0</v>
      </c>
    </row>
    <row r="1214" customFormat="false" ht="15" hidden="false" customHeight="false" outlineLevel="0" collapsed="false">
      <c r="A1214" s="36" t="n">
        <f aca="false">IF('Raw Orders'!B1211="","",IF(MID('Raw Orders'!B1211,5,1)="-",DATE(VALUE(LEFT('Raw Orders'!B1211,4)),VALUE(MID('Raw Orders'!B1211,6,2)),VALUE(MID('Raw Orders'!B1211,9,2))),DATE(VALUE(MID('Raw Orders'!B1211,7,4)),VALUE(MID('Raw Orders'!B1211,4,2)),VALUE(LEFT('Raw Orders'!B1211,2)))))</f>
        <v>46211</v>
      </c>
      <c r="B1214" s="36" t="n">
        <f aca="false">IF(A1214="","",A1214-WEEKDAY(A1214,3))</f>
        <v>46209</v>
      </c>
      <c r="C1214" s="32" t="n">
        <f aca="false">IF(OR('Raw Orders'!C1211&lt;&gt;"Product",'Raw Orders'!K1211="Cancelled"),0,'Raw Orders'!G1211)</f>
        <v>35</v>
      </c>
      <c r="D1214" s="31" t="n">
        <f aca="false">IF(AND('Raw Orders'!C1211="Product",'Raw Orders'!K1211="Fulfilled",COUNTIFS('Raw Orders'!$A$2:$A1211,'Raw Orders'!A1211,'Raw Orders'!$C$2:$C1211,"Product",'Raw Orders'!$K$2:$K1211,"Fulfilled")=1),1,0)</f>
        <v>0</v>
      </c>
      <c r="E1214" s="31" t="n">
        <f aca="false">IF(AND('Raw Orders'!C1211="Product",'Raw Orders'!K1211="Fulfilled"),'Raw Orders'!E1211,0)</f>
        <v>1</v>
      </c>
      <c r="F1214" s="32" t="n">
        <f aca="false">IF('Raw Orders'!K1211="Refunded",'Raw Orders'!G1211,0)</f>
        <v>0</v>
      </c>
    </row>
    <row r="1215" customFormat="false" ht="15" hidden="false" customHeight="false" outlineLevel="0" collapsed="false">
      <c r="A1215" s="36" t="n">
        <f aca="false">IF('Raw Orders'!B1212="","",IF(MID('Raw Orders'!B1212,5,1)="-",DATE(VALUE(LEFT('Raw Orders'!B1212,4)),VALUE(MID('Raw Orders'!B1212,6,2)),VALUE(MID('Raw Orders'!B1212,9,2))),DATE(VALUE(MID('Raw Orders'!B1212,7,4)),VALUE(MID('Raw Orders'!B1212,4,2)),VALUE(LEFT('Raw Orders'!B1212,2)))))</f>
        <v>46211</v>
      </c>
      <c r="B1215" s="36" t="n">
        <f aca="false">IF(A1215="","",A1215-WEEKDAY(A1215,3))</f>
        <v>46209</v>
      </c>
      <c r="C1215" s="32" t="n">
        <f aca="false">IF(OR('Raw Orders'!C1212&lt;&gt;"Product",'Raw Orders'!K1212="Cancelled"),0,'Raw Orders'!G1212)</f>
        <v>0</v>
      </c>
      <c r="D1215" s="31" t="n">
        <f aca="false">IF(AND('Raw Orders'!C1212="Product",'Raw Orders'!K1212="Fulfilled",COUNTIFS('Raw Orders'!$A$2:$A1212,'Raw Orders'!A1212,'Raw Orders'!$C$2:$C1212,"Product",'Raw Orders'!$K$2:$K1212,"Fulfilled")=1),1,0)</f>
        <v>0</v>
      </c>
      <c r="E1215" s="31" t="n">
        <f aca="false">IF(AND('Raw Orders'!C1212="Product",'Raw Orders'!K1212="Fulfilled"),'Raw Orders'!E1212,0)</f>
        <v>0</v>
      </c>
      <c r="F1215" s="32" t="n">
        <f aca="false">IF('Raw Orders'!K1212="Refunded",'Raw Orders'!G1212,0)</f>
        <v>0</v>
      </c>
    </row>
    <row r="1216" customFormat="false" ht="15" hidden="false" customHeight="false" outlineLevel="0" collapsed="false">
      <c r="A1216" s="36" t="n">
        <f aca="false">IF('Raw Orders'!B1213="","",IF(MID('Raw Orders'!B1213,5,1)="-",DATE(VALUE(LEFT('Raw Orders'!B1213,4)),VALUE(MID('Raw Orders'!B1213,6,2)),VALUE(MID('Raw Orders'!B1213,9,2))),DATE(VALUE(MID('Raw Orders'!B1213,7,4)),VALUE(MID('Raw Orders'!B1213,4,2)),VALUE(LEFT('Raw Orders'!B1213,2)))))</f>
        <v>46211</v>
      </c>
      <c r="B1216" s="36" t="n">
        <f aca="false">IF(A1216="","",A1216-WEEKDAY(A1216,3))</f>
        <v>46209</v>
      </c>
      <c r="C1216" s="32" t="n">
        <f aca="false">IF(OR('Raw Orders'!C1213&lt;&gt;"Product",'Raw Orders'!K1213="Cancelled"),0,'Raw Orders'!G1213)</f>
        <v>78</v>
      </c>
      <c r="D1216" s="31" t="n">
        <f aca="false">IF(AND('Raw Orders'!C1213="Product",'Raw Orders'!K1213="Fulfilled",COUNTIFS('Raw Orders'!$A$2:$A1213,'Raw Orders'!A1213,'Raw Orders'!$C$2:$C1213,"Product",'Raw Orders'!$K$2:$K1213,"Fulfilled")=1),1,0)</f>
        <v>1</v>
      </c>
      <c r="E1216" s="31" t="n">
        <f aca="false">IF(AND('Raw Orders'!C1213="Product",'Raw Orders'!K1213="Fulfilled"),'Raw Orders'!E1213,0)</f>
        <v>2</v>
      </c>
      <c r="F1216" s="32" t="n">
        <f aca="false">IF('Raw Orders'!K1213="Refunded",'Raw Orders'!G1213,0)</f>
        <v>0</v>
      </c>
    </row>
    <row r="1217" customFormat="false" ht="15" hidden="false" customHeight="false" outlineLevel="0" collapsed="false">
      <c r="A1217" s="36" t="n">
        <f aca="false">IF('Raw Orders'!B1214="","",IF(MID('Raw Orders'!B1214,5,1)="-",DATE(VALUE(LEFT('Raw Orders'!B1214,4)),VALUE(MID('Raw Orders'!B1214,6,2)),VALUE(MID('Raw Orders'!B1214,9,2))),DATE(VALUE(MID('Raw Orders'!B1214,7,4)),VALUE(MID('Raw Orders'!B1214,4,2)),VALUE(LEFT('Raw Orders'!B1214,2)))))</f>
        <v>46211</v>
      </c>
      <c r="B1217" s="36" t="n">
        <f aca="false">IF(A1217="","",A1217-WEEKDAY(A1217,3))</f>
        <v>46209</v>
      </c>
      <c r="C1217" s="32" t="n">
        <f aca="false">IF(OR('Raw Orders'!C1214&lt;&gt;"Product",'Raw Orders'!K1214="Cancelled"),0,'Raw Orders'!G1214)</f>
        <v>14</v>
      </c>
      <c r="D1217" s="31" t="n">
        <f aca="false">IF(AND('Raw Orders'!C1214="Product",'Raw Orders'!K1214="Fulfilled",COUNTIFS('Raw Orders'!$A$2:$A1214,'Raw Orders'!A1214,'Raw Orders'!$C$2:$C1214,"Product",'Raw Orders'!$K$2:$K1214,"Fulfilled")=1),1,0)</f>
        <v>0</v>
      </c>
      <c r="E1217" s="31" t="n">
        <f aca="false">IF(AND('Raw Orders'!C1214="Product",'Raw Orders'!K1214="Fulfilled"),'Raw Orders'!E1214,0)</f>
        <v>1</v>
      </c>
      <c r="F1217" s="32" t="n">
        <f aca="false">IF('Raw Orders'!K1214="Refunded",'Raw Orders'!G1214,0)</f>
        <v>0</v>
      </c>
    </row>
    <row r="1218" customFormat="false" ht="15" hidden="false" customHeight="false" outlineLevel="0" collapsed="false">
      <c r="A1218" s="36" t="n">
        <f aca="false">IF('Raw Orders'!B1215="","",IF(MID('Raw Orders'!B1215,5,1)="-",DATE(VALUE(LEFT('Raw Orders'!B1215,4)),VALUE(MID('Raw Orders'!B1215,6,2)),VALUE(MID('Raw Orders'!B1215,9,2))),DATE(VALUE(MID('Raw Orders'!B1215,7,4)),VALUE(MID('Raw Orders'!B1215,4,2)),VALUE(LEFT('Raw Orders'!B1215,2)))))</f>
        <v>46211</v>
      </c>
      <c r="B1218" s="36" t="n">
        <f aca="false">IF(A1218="","",A1218-WEEKDAY(A1218,3))</f>
        <v>46209</v>
      </c>
      <c r="C1218" s="32" t="n">
        <f aca="false">IF(OR('Raw Orders'!C1215&lt;&gt;"Product",'Raw Orders'!K1215="Cancelled"),0,'Raw Orders'!G1215)</f>
        <v>0</v>
      </c>
      <c r="D1218" s="31" t="n">
        <f aca="false">IF(AND('Raw Orders'!C1215="Product",'Raw Orders'!K1215="Fulfilled",COUNTIFS('Raw Orders'!$A$2:$A1215,'Raw Orders'!A1215,'Raw Orders'!$C$2:$C1215,"Product",'Raw Orders'!$K$2:$K1215,"Fulfilled")=1),1,0)</f>
        <v>0</v>
      </c>
      <c r="E1218" s="31" t="n">
        <f aca="false">IF(AND('Raw Orders'!C1215="Product",'Raw Orders'!K1215="Fulfilled"),'Raw Orders'!E1215,0)</f>
        <v>0</v>
      </c>
      <c r="F1218" s="32" t="n">
        <f aca="false">IF('Raw Orders'!K1215="Refunded",'Raw Orders'!G1215,0)</f>
        <v>0</v>
      </c>
    </row>
    <row r="1219" customFormat="false" ht="15" hidden="false" customHeight="false" outlineLevel="0" collapsed="false">
      <c r="A1219" s="36" t="n">
        <f aca="false">IF('Raw Orders'!B1216="","",IF(MID('Raw Orders'!B1216,5,1)="-",DATE(VALUE(LEFT('Raw Orders'!B1216,4)),VALUE(MID('Raw Orders'!B1216,6,2)),VALUE(MID('Raw Orders'!B1216,9,2))),DATE(VALUE(MID('Raw Orders'!B1216,7,4)),VALUE(MID('Raw Orders'!B1216,4,2)),VALUE(LEFT('Raw Orders'!B1216,2)))))</f>
        <v>46211</v>
      </c>
      <c r="B1219" s="36" t="n">
        <f aca="false">IF(A1219="","",A1219-WEEKDAY(A1219,3))</f>
        <v>46209</v>
      </c>
      <c r="C1219" s="32" t="n">
        <f aca="false">IF(OR('Raw Orders'!C1216&lt;&gt;"Product",'Raw Orders'!K1216="Cancelled"),0,'Raw Orders'!G1216)</f>
        <v>45</v>
      </c>
      <c r="D1219" s="31" t="n">
        <f aca="false">IF(AND('Raw Orders'!C1216="Product",'Raw Orders'!K1216="Fulfilled",COUNTIFS('Raw Orders'!$A$2:$A1216,'Raw Orders'!A1216,'Raw Orders'!$C$2:$C1216,"Product",'Raw Orders'!$K$2:$K1216,"Fulfilled")=1),1,0)</f>
        <v>1</v>
      </c>
      <c r="E1219" s="31" t="n">
        <f aca="false">IF(AND('Raw Orders'!C1216="Product",'Raw Orders'!K1216="Fulfilled"),'Raw Orders'!E1216,0)</f>
        <v>1</v>
      </c>
      <c r="F1219" s="32" t="n">
        <f aca="false">IF('Raw Orders'!K1216="Refunded",'Raw Orders'!G1216,0)</f>
        <v>0</v>
      </c>
    </row>
    <row r="1220" customFormat="false" ht="15" hidden="false" customHeight="false" outlineLevel="0" collapsed="false">
      <c r="A1220" s="36" t="n">
        <f aca="false">IF('Raw Orders'!B1217="","",IF(MID('Raw Orders'!B1217,5,1)="-",DATE(VALUE(LEFT('Raw Orders'!B1217,4)),VALUE(MID('Raw Orders'!B1217,6,2)),VALUE(MID('Raw Orders'!B1217,9,2))),DATE(VALUE(MID('Raw Orders'!B1217,7,4)),VALUE(MID('Raw Orders'!B1217,4,2)),VALUE(LEFT('Raw Orders'!B1217,2)))))</f>
        <v>46212</v>
      </c>
      <c r="B1220" s="36" t="n">
        <f aca="false">IF(A1220="","",A1220-WEEKDAY(A1220,3))</f>
        <v>46209</v>
      </c>
      <c r="C1220" s="32" t="n">
        <f aca="false">IF(OR('Raw Orders'!C1217&lt;&gt;"Product",'Raw Orders'!K1217="Cancelled"),0,'Raw Orders'!G1217)</f>
        <v>0</v>
      </c>
      <c r="D1220" s="31" t="n">
        <f aca="false">IF(AND('Raw Orders'!C1217="Product",'Raw Orders'!K1217="Fulfilled",COUNTIFS('Raw Orders'!$A$2:$A1217,'Raw Orders'!A1217,'Raw Orders'!$C$2:$C1217,"Product",'Raw Orders'!$K$2:$K1217,"Fulfilled")=1),1,0)</f>
        <v>0</v>
      </c>
      <c r="E1220" s="31" t="n">
        <f aca="false">IF(AND('Raw Orders'!C1217="Product",'Raw Orders'!K1217="Fulfilled"),'Raw Orders'!E1217,0)</f>
        <v>0</v>
      </c>
      <c r="F1220" s="32" t="n">
        <f aca="false">IF('Raw Orders'!K1217="Refunded",'Raw Orders'!G1217,0)</f>
        <v>0</v>
      </c>
    </row>
    <row r="1221" customFormat="false" ht="15" hidden="false" customHeight="false" outlineLevel="0" collapsed="false">
      <c r="A1221" s="36" t="n">
        <f aca="false">IF('Raw Orders'!B1218="","",IF(MID('Raw Orders'!B1218,5,1)="-",DATE(VALUE(LEFT('Raw Orders'!B1218,4)),VALUE(MID('Raw Orders'!B1218,6,2)),VALUE(MID('Raw Orders'!B1218,9,2))),DATE(VALUE(MID('Raw Orders'!B1218,7,4)),VALUE(MID('Raw Orders'!B1218,4,2)),VALUE(LEFT('Raw Orders'!B1218,2)))))</f>
        <v>46212</v>
      </c>
      <c r="B1221" s="36" t="n">
        <f aca="false">IF(A1221="","",A1221-WEEKDAY(A1221,3))</f>
        <v>46209</v>
      </c>
      <c r="C1221" s="32" t="n">
        <f aca="false">IF(OR('Raw Orders'!C1218&lt;&gt;"Product",'Raw Orders'!K1218="Cancelled"),0,'Raw Orders'!G1218)</f>
        <v>39</v>
      </c>
      <c r="D1221" s="31" t="n">
        <f aca="false">IF(AND('Raw Orders'!C1218="Product",'Raw Orders'!K1218="Fulfilled",COUNTIFS('Raw Orders'!$A$2:$A1218,'Raw Orders'!A1218,'Raw Orders'!$C$2:$C1218,"Product",'Raw Orders'!$K$2:$K1218,"Fulfilled")=1),1,0)</f>
        <v>1</v>
      </c>
      <c r="E1221" s="31" t="n">
        <f aca="false">IF(AND('Raw Orders'!C1218="Product",'Raw Orders'!K1218="Fulfilled"),'Raw Orders'!E1218,0)</f>
        <v>1</v>
      </c>
      <c r="F1221" s="32" t="n">
        <f aca="false">IF('Raw Orders'!K1218="Refunded",'Raw Orders'!G1218,0)</f>
        <v>0</v>
      </c>
    </row>
    <row r="1222" customFormat="false" ht="15" hidden="false" customHeight="false" outlineLevel="0" collapsed="false">
      <c r="A1222" s="36" t="n">
        <f aca="false">IF('Raw Orders'!B1219="","",IF(MID('Raw Orders'!B1219,5,1)="-",DATE(VALUE(LEFT('Raw Orders'!B1219,4)),VALUE(MID('Raw Orders'!B1219,6,2)),VALUE(MID('Raw Orders'!B1219,9,2))),DATE(VALUE(MID('Raw Orders'!B1219,7,4)),VALUE(MID('Raw Orders'!B1219,4,2)),VALUE(LEFT('Raw Orders'!B1219,2)))))</f>
        <v>46212</v>
      </c>
      <c r="B1222" s="36" t="n">
        <f aca="false">IF(A1222="","",A1222-WEEKDAY(A1222,3))</f>
        <v>46209</v>
      </c>
      <c r="C1222" s="32" t="n">
        <f aca="false">IF(OR('Raw Orders'!C1219&lt;&gt;"Product",'Raw Orders'!K1219="Cancelled"),0,'Raw Orders'!G1219)</f>
        <v>69</v>
      </c>
      <c r="D1222" s="31" t="n">
        <f aca="false">IF(AND('Raw Orders'!C1219="Product",'Raw Orders'!K1219="Fulfilled",COUNTIFS('Raw Orders'!$A$2:$A1219,'Raw Orders'!A1219,'Raw Orders'!$C$2:$C1219,"Product",'Raw Orders'!$K$2:$K1219,"Fulfilled")=1),1,0)</f>
        <v>1</v>
      </c>
      <c r="E1222" s="31" t="n">
        <f aca="false">IF(AND('Raw Orders'!C1219="Product",'Raw Orders'!K1219="Fulfilled"),'Raw Orders'!E1219,0)</f>
        <v>1</v>
      </c>
      <c r="F1222" s="32" t="n">
        <f aca="false">IF('Raw Orders'!K1219="Refunded",'Raw Orders'!G1219,0)</f>
        <v>0</v>
      </c>
    </row>
    <row r="1223" customFormat="false" ht="15" hidden="false" customHeight="false" outlineLevel="0" collapsed="false">
      <c r="A1223" s="36" t="n">
        <f aca="false">IF('Raw Orders'!B1220="","",IF(MID('Raw Orders'!B1220,5,1)="-",DATE(VALUE(LEFT('Raw Orders'!B1220,4)),VALUE(MID('Raw Orders'!B1220,6,2)),VALUE(MID('Raw Orders'!B1220,9,2))),DATE(VALUE(MID('Raw Orders'!B1220,7,4)),VALUE(MID('Raw Orders'!B1220,4,2)),VALUE(LEFT('Raw Orders'!B1220,2)))))</f>
        <v>46212</v>
      </c>
      <c r="B1223" s="36" t="n">
        <f aca="false">IF(A1223="","",A1223-WEEKDAY(A1223,3))</f>
        <v>46209</v>
      </c>
      <c r="C1223" s="32" t="n">
        <f aca="false">IF(OR('Raw Orders'!C1220&lt;&gt;"Product",'Raw Orders'!K1220="Cancelled"),0,'Raw Orders'!G1220)</f>
        <v>0</v>
      </c>
      <c r="D1223" s="31" t="n">
        <f aca="false">IF(AND('Raw Orders'!C1220="Product",'Raw Orders'!K1220="Fulfilled",COUNTIFS('Raw Orders'!$A$2:$A1220,'Raw Orders'!A1220,'Raw Orders'!$C$2:$C1220,"Product",'Raw Orders'!$K$2:$K1220,"Fulfilled")=1),1,0)</f>
        <v>0</v>
      </c>
      <c r="E1223" s="31" t="n">
        <f aca="false">IF(AND('Raw Orders'!C1220="Product",'Raw Orders'!K1220="Fulfilled"),'Raw Orders'!E1220,0)</f>
        <v>0</v>
      </c>
      <c r="F1223" s="32" t="n">
        <f aca="false">IF('Raw Orders'!K1220="Refunded",'Raw Orders'!G1220,0)</f>
        <v>0</v>
      </c>
    </row>
    <row r="1224" customFormat="false" ht="15" hidden="false" customHeight="false" outlineLevel="0" collapsed="false">
      <c r="A1224" s="36" t="n">
        <f aca="false">IF('Raw Orders'!B1221="","",IF(MID('Raw Orders'!B1221,5,1)="-",DATE(VALUE(LEFT('Raw Orders'!B1221,4)),VALUE(MID('Raw Orders'!B1221,6,2)),VALUE(MID('Raw Orders'!B1221,9,2))),DATE(VALUE(MID('Raw Orders'!B1221,7,4)),VALUE(MID('Raw Orders'!B1221,4,2)),VALUE(LEFT('Raw Orders'!B1221,2)))))</f>
        <v>46212</v>
      </c>
      <c r="B1224" s="36" t="n">
        <f aca="false">IF(A1224="","",A1224-WEEKDAY(A1224,3))</f>
        <v>46209</v>
      </c>
      <c r="C1224" s="32" t="n">
        <f aca="false">IF(OR('Raw Orders'!C1221&lt;&gt;"Product",'Raw Orders'!K1221="Cancelled"),0,'Raw Orders'!G1221)</f>
        <v>33.15</v>
      </c>
      <c r="D1224" s="31" t="n">
        <f aca="false">IF(AND('Raw Orders'!C1221="Product",'Raw Orders'!K1221="Fulfilled",COUNTIFS('Raw Orders'!$A$2:$A1221,'Raw Orders'!A1221,'Raw Orders'!$C$2:$C1221,"Product",'Raw Orders'!$K$2:$K1221,"Fulfilled")=1),1,0)</f>
        <v>0</v>
      </c>
      <c r="E1224" s="31" t="n">
        <f aca="false">IF(AND('Raw Orders'!C1221="Product",'Raw Orders'!K1221="Fulfilled"),'Raw Orders'!E1221,0)</f>
        <v>1</v>
      </c>
      <c r="F1224" s="32" t="n">
        <f aca="false">IF('Raw Orders'!K1221="Refunded",'Raw Orders'!G1221,0)</f>
        <v>0</v>
      </c>
    </row>
    <row r="1225" customFormat="false" ht="15" hidden="false" customHeight="false" outlineLevel="0" collapsed="false">
      <c r="A1225" s="36" t="n">
        <f aca="false">IF('Raw Orders'!B1222="","",IF(MID('Raw Orders'!B1222,5,1)="-",DATE(VALUE(LEFT('Raw Orders'!B1222,4)),VALUE(MID('Raw Orders'!B1222,6,2)),VALUE(MID('Raw Orders'!B1222,9,2))),DATE(VALUE(MID('Raw Orders'!B1222,7,4)),VALUE(MID('Raw Orders'!B1222,4,2)),VALUE(LEFT('Raw Orders'!B1222,2)))))</f>
        <v>46212</v>
      </c>
      <c r="B1225" s="36" t="n">
        <f aca="false">IF(A1225="","",A1225-WEEKDAY(A1225,3))</f>
        <v>46209</v>
      </c>
      <c r="C1225" s="32" t="n">
        <f aca="false">IF(OR('Raw Orders'!C1222&lt;&gt;"Product",'Raw Orders'!K1222="Cancelled"),0,'Raw Orders'!G1222)</f>
        <v>0</v>
      </c>
      <c r="D1225" s="31" t="n">
        <f aca="false">IF(AND('Raw Orders'!C1222="Product",'Raw Orders'!K1222="Fulfilled",COUNTIFS('Raw Orders'!$A$2:$A1222,'Raw Orders'!A1222,'Raw Orders'!$C$2:$C1222,"Product",'Raw Orders'!$K$2:$K1222,"Fulfilled")=1),1,0)</f>
        <v>0</v>
      </c>
      <c r="E1225" s="31" t="n">
        <f aca="false">IF(AND('Raw Orders'!C1222="Product",'Raw Orders'!K1222="Fulfilled"),'Raw Orders'!E1222,0)</f>
        <v>0</v>
      </c>
      <c r="F1225" s="32" t="n">
        <f aca="false">IF('Raw Orders'!K1222="Refunded",'Raw Orders'!G1222,0)</f>
        <v>0</v>
      </c>
    </row>
    <row r="1226" customFormat="false" ht="15" hidden="false" customHeight="false" outlineLevel="0" collapsed="false">
      <c r="A1226" s="36" t="n">
        <f aca="false">IF('Raw Orders'!B1223="","",IF(MID('Raw Orders'!B1223,5,1)="-",DATE(VALUE(LEFT('Raw Orders'!B1223,4)),VALUE(MID('Raw Orders'!B1223,6,2)),VALUE(MID('Raw Orders'!B1223,9,2))),DATE(VALUE(MID('Raw Orders'!B1223,7,4)),VALUE(MID('Raw Orders'!B1223,4,2)),VALUE(LEFT('Raw Orders'!B1223,2)))))</f>
        <v>46212</v>
      </c>
      <c r="B1226" s="36" t="n">
        <f aca="false">IF(A1226="","",A1226-WEEKDAY(A1226,3))</f>
        <v>46209</v>
      </c>
      <c r="C1226" s="32" t="n">
        <f aca="false">IF(OR('Raw Orders'!C1223&lt;&gt;"Product",'Raw Orders'!K1223="Cancelled"),0,'Raw Orders'!G1223)</f>
        <v>23.4</v>
      </c>
      <c r="D1226" s="31" t="n">
        <f aca="false">IF(AND('Raw Orders'!C1223="Product",'Raw Orders'!K1223="Fulfilled",COUNTIFS('Raw Orders'!$A$2:$A1223,'Raw Orders'!A1223,'Raw Orders'!$C$2:$C1223,"Product",'Raw Orders'!$K$2:$K1223,"Fulfilled")=1),1,0)</f>
        <v>1</v>
      </c>
      <c r="E1226" s="31" t="n">
        <f aca="false">IF(AND('Raw Orders'!C1223="Product",'Raw Orders'!K1223="Fulfilled"),'Raw Orders'!E1223,0)</f>
        <v>1</v>
      </c>
      <c r="F1226" s="32" t="n">
        <f aca="false">IF('Raw Orders'!K1223="Refunded",'Raw Orders'!G1223,0)</f>
        <v>0</v>
      </c>
    </row>
    <row r="1227" customFormat="false" ht="15" hidden="false" customHeight="false" outlineLevel="0" collapsed="false">
      <c r="A1227" s="36" t="n">
        <f aca="false">IF('Raw Orders'!B1224="","",IF(MID('Raw Orders'!B1224,5,1)="-",DATE(VALUE(LEFT('Raw Orders'!B1224,4)),VALUE(MID('Raw Orders'!B1224,6,2)),VALUE(MID('Raw Orders'!B1224,9,2))),DATE(VALUE(MID('Raw Orders'!B1224,7,4)),VALUE(MID('Raw Orders'!B1224,4,2)),VALUE(LEFT('Raw Orders'!B1224,2)))))</f>
        <v>46212</v>
      </c>
      <c r="B1227" s="36" t="n">
        <f aca="false">IF(A1227="","",A1227-WEEKDAY(A1227,3))</f>
        <v>46209</v>
      </c>
      <c r="C1227" s="32" t="n">
        <f aca="false">IF(OR('Raw Orders'!C1224&lt;&gt;"Product",'Raw Orders'!K1224="Cancelled"),0,'Raw Orders'!G1224)</f>
        <v>0</v>
      </c>
      <c r="D1227" s="31" t="n">
        <f aca="false">IF(AND('Raw Orders'!C1224="Product",'Raw Orders'!K1224="Fulfilled",COUNTIFS('Raw Orders'!$A$2:$A1224,'Raw Orders'!A1224,'Raw Orders'!$C$2:$C1224,"Product",'Raw Orders'!$K$2:$K1224,"Fulfilled")=1),1,0)</f>
        <v>0</v>
      </c>
      <c r="E1227" s="31" t="n">
        <f aca="false">IF(AND('Raw Orders'!C1224="Product",'Raw Orders'!K1224="Fulfilled"),'Raw Orders'!E1224,0)</f>
        <v>0</v>
      </c>
      <c r="F1227" s="32" t="n">
        <f aca="false">IF('Raw Orders'!K1224="Refunded",'Raw Orders'!G1224,0)</f>
        <v>0</v>
      </c>
    </row>
    <row r="1228" customFormat="false" ht="15" hidden="false" customHeight="false" outlineLevel="0" collapsed="false">
      <c r="A1228" s="36" t="n">
        <f aca="false">IF('Raw Orders'!B1225="","",IF(MID('Raw Orders'!B1225,5,1)="-",DATE(VALUE(LEFT('Raw Orders'!B1225,4)),VALUE(MID('Raw Orders'!B1225,6,2)),VALUE(MID('Raw Orders'!B1225,9,2))),DATE(VALUE(MID('Raw Orders'!B1225,7,4)),VALUE(MID('Raw Orders'!B1225,4,2)),VALUE(LEFT('Raw Orders'!B1225,2)))))</f>
        <v>46212</v>
      </c>
      <c r="B1228" s="36" t="n">
        <f aca="false">IF(A1228="","",A1228-WEEKDAY(A1228,3))</f>
        <v>46209</v>
      </c>
      <c r="C1228" s="32" t="n">
        <f aca="false">IF(OR('Raw Orders'!C1225&lt;&gt;"Product",'Raw Orders'!K1225="Cancelled"),0,'Raw Orders'!G1225)</f>
        <v>89</v>
      </c>
      <c r="D1228" s="31" t="n">
        <f aca="false">IF(AND('Raw Orders'!C1225="Product",'Raw Orders'!K1225="Fulfilled",COUNTIFS('Raw Orders'!$A$2:$A1225,'Raw Orders'!A1225,'Raw Orders'!$C$2:$C1225,"Product",'Raw Orders'!$K$2:$K1225,"Fulfilled")=1),1,0)</f>
        <v>1</v>
      </c>
      <c r="E1228" s="31" t="n">
        <f aca="false">IF(AND('Raw Orders'!C1225="Product",'Raw Orders'!K1225="Fulfilled"),'Raw Orders'!E1225,0)</f>
        <v>1</v>
      </c>
      <c r="F1228" s="32" t="n">
        <f aca="false">IF('Raw Orders'!K1225="Refunded",'Raw Orders'!G1225,0)</f>
        <v>0</v>
      </c>
    </row>
    <row r="1229" customFormat="false" ht="15" hidden="false" customHeight="false" outlineLevel="0" collapsed="false">
      <c r="A1229" s="36" t="n">
        <f aca="false">IF('Raw Orders'!B1226="","",IF(MID('Raw Orders'!B1226,5,1)="-",DATE(VALUE(LEFT('Raw Orders'!B1226,4)),VALUE(MID('Raw Orders'!B1226,6,2)),VALUE(MID('Raw Orders'!B1226,9,2))),DATE(VALUE(MID('Raw Orders'!B1226,7,4)),VALUE(MID('Raw Orders'!B1226,4,2)),VALUE(LEFT('Raw Orders'!B1226,2)))))</f>
        <v>46212</v>
      </c>
      <c r="B1229" s="36" t="n">
        <f aca="false">IF(A1229="","",A1229-WEEKDAY(A1229,3))</f>
        <v>46209</v>
      </c>
      <c r="C1229" s="32" t="n">
        <f aca="false">IF(OR('Raw Orders'!C1226&lt;&gt;"Product",'Raw Orders'!K1226="Cancelled"),0,'Raw Orders'!G1226)</f>
        <v>22</v>
      </c>
      <c r="D1229" s="31" t="n">
        <f aca="false">IF(AND('Raw Orders'!C1226="Product",'Raw Orders'!K1226="Fulfilled",COUNTIFS('Raw Orders'!$A$2:$A1226,'Raw Orders'!A1226,'Raw Orders'!$C$2:$C1226,"Product",'Raw Orders'!$K$2:$K1226,"Fulfilled")=1),1,0)</f>
        <v>0</v>
      </c>
      <c r="E1229" s="31" t="n">
        <f aca="false">IF(AND('Raw Orders'!C1226="Product",'Raw Orders'!K1226="Fulfilled"),'Raw Orders'!E1226,0)</f>
        <v>1</v>
      </c>
      <c r="F1229" s="32" t="n">
        <f aca="false">IF('Raw Orders'!K1226="Refunded",'Raw Orders'!G1226,0)</f>
        <v>0</v>
      </c>
    </row>
    <row r="1230" customFormat="false" ht="15" hidden="false" customHeight="false" outlineLevel="0" collapsed="false">
      <c r="A1230" s="36" t="n">
        <f aca="false">IF('Raw Orders'!B1227="","",IF(MID('Raw Orders'!B1227,5,1)="-",DATE(VALUE(LEFT('Raw Orders'!B1227,4)),VALUE(MID('Raw Orders'!B1227,6,2)),VALUE(MID('Raw Orders'!B1227,9,2))),DATE(VALUE(MID('Raw Orders'!B1227,7,4)),VALUE(MID('Raw Orders'!B1227,4,2)),VALUE(LEFT('Raw Orders'!B1227,2)))))</f>
        <v>46212</v>
      </c>
      <c r="B1230" s="36" t="n">
        <f aca="false">IF(A1230="","",A1230-WEEKDAY(A1230,3))</f>
        <v>46209</v>
      </c>
      <c r="C1230" s="32" t="n">
        <f aca="false">IF(OR('Raw Orders'!C1227&lt;&gt;"Product",'Raw Orders'!K1227="Cancelled"),0,'Raw Orders'!G1227)</f>
        <v>0</v>
      </c>
      <c r="D1230" s="31" t="n">
        <f aca="false">IF(AND('Raw Orders'!C1227="Product",'Raw Orders'!K1227="Fulfilled",COUNTIFS('Raw Orders'!$A$2:$A1227,'Raw Orders'!A1227,'Raw Orders'!$C$2:$C1227,"Product",'Raw Orders'!$K$2:$K1227,"Fulfilled")=1),1,0)</f>
        <v>0</v>
      </c>
      <c r="E1230" s="31" t="n">
        <f aca="false">IF(AND('Raw Orders'!C1227="Product",'Raw Orders'!K1227="Fulfilled"),'Raw Orders'!E1227,0)</f>
        <v>0</v>
      </c>
      <c r="F1230" s="32" t="n">
        <f aca="false">IF('Raw Orders'!K1227="Refunded",'Raw Orders'!G1227,0)</f>
        <v>0</v>
      </c>
    </row>
    <row r="1231" customFormat="false" ht="15" hidden="false" customHeight="false" outlineLevel="0" collapsed="false">
      <c r="A1231" s="36" t="n">
        <f aca="false">IF('Raw Orders'!B1228="","",IF(MID('Raw Orders'!B1228,5,1)="-",DATE(VALUE(LEFT('Raw Orders'!B1228,4)),VALUE(MID('Raw Orders'!B1228,6,2)),VALUE(MID('Raw Orders'!B1228,9,2))),DATE(VALUE(MID('Raw Orders'!B1228,7,4)),VALUE(MID('Raw Orders'!B1228,4,2)),VALUE(LEFT('Raw Orders'!B1228,2)))))</f>
        <v>46212</v>
      </c>
      <c r="B1231" s="36" t="n">
        <f aca="false">IF(A1231="","",A1231-WEEKDAY(A1231,3))</f>
        <v>46209</v>
      </c>
      <c r="C1231" s="32" t="n">
        <f aca="false">IF(OR('Raw Orders'!C1228&lt;&gt;"Product",'Raw Orders'!K1228="Cancelled"),0,'Raw Orders'!G1228)</f>
        <v>71.2</v>
      </c>
      <c r="D1231" s="31" t="n">
        <f aca="false">IF(AND('Raw Orders'!C1228="Product",'Raw Orders'!K1228="Fulfilled",COUNTIFS('Raw Orders'!$A$2:$A1228,'Raw Orders'!A1228,'Raw Orders'!$C$2:$C1228,"Product",'Raw Orders'!$K$2:$K1228,"Fulfilled")=1),1,0)</f>
        <v>1</v>
      </c>
      <c r="E1231" s="31" t="n">
        <f aca="false">IF(AND('Raw Orders'!C1228="Product",'Raw Orders'!K1228="Fulfilled"),'Raw Orders'!E1228,0)</f>
        <v>1</v>
      </c>
      <c r="F1231" s="32" t="n">
        <f aca="false">IF('Raw Orders'!K1228="Refunded",'Raw Orders'!G1228,0)</f>
        <v>0</v>
      </c>
    </row>
    <row r="1232" customFormat="false" ht="15" hidden="false" customHeight="false" outlineLevel="0" collapsed="false">
      <c r="A1232" s="36" t="n">
        <f aca="false">IF('Raw Orders'!B1229="","",IF(MID('Raw Orders'!B1229,5,1)="-",DATE(VALUE(LEFT('Raw Orders'!B1229,4)),VALUE(MID('Raw Orders'!B1229,6,2)),VALUE(MID('Raw Orders'!B1229,9,2))),DATE(VALUE(MID('Raw Orders'!B1229,7,4)),VALUE(MID('Raw Orders'!B1229,4,2)),VALUE(LEFT('Raw Orders'!B1229,2)))))</f>
        <v>46212</v>
      </c>
      <c r="B1232" s="36" t="n">
        <f aca="false">IF(A1232="","",A1232-WEEKDAY(A1232,3))</f>
        <v>46209</v>
      </c>
      <c r="C1232" s="32" t="n">
        <f aca="false">IF(OR('Raw Orders'!C1229&lt;&gt;"Product",'Raw Orders'!K1229="Cancelled"),0,'Raw Orders'!G1229)</f>
        <v>138</v>
      </c>
      <c r="D1232" s="31" t="n">
        <f aca="false">IF(AND('Raw Orders'!C1229="Product",'Raw Orders'!K1229="Fulfilled",COUNTIFS('Raw Orders'!$A$2:$A1229,'Raw Orders'!A1229,'Raw Orders'!$C$2:$C1229,"Product",'Raw Orders'!$K$2:$K1229,"Fulfilled")=1),1,0)</f>
        <v>0</v>
      </c>
      <c r="E1232" s="31" t="n">
        <f aca="false">IF(AND('Raw Orders'!C1229="Product",'Raw Orders'!K1229="Fulfilled"),'Raw Orders'!E1229,0)</f>
        <v>2</v>
      </c>
      <c r="F1232" s="32" t="n">
        <f aca="false">IF('Raw Orders'!K1229="Refunded",'Raw Orders'!G1229,0)</f>
        <v>0</v>
      </c>
    </row>
    <row r="1233" customFormat="false" ht="15" hidden="false" customHeight="false" outlineLevel="0" collapsed="false">
      <c r="A1233" s="36" t="n">
        <f aca="false">IF('Raw Orders'!B1230="","",IF(MID('Raw Orders'!B1230,5,1)="-",DATE(VALUE(LEFT('Raw Orders'!B1230,4)),VALUE(MID('Raw Orders'!B1230,6,2)),VALUE(MID('Raw Orders'!B1230,9,2))),DATE(VALUE(MID('Raw Orders'!B1230,7,4)),VALUE(MID('Raw Orders'!B1230,4,2)),VALUE(LEFT('Raw Orders'!B1230,2)))))</f>
        <v>46212</v>
      </c>
      <c r="B1233" s="36" t="n">
        <f aca="false">IF(A1233="","",A1233-WEEKDAY(A1233,3))</f>
        <v>46209</v>
      </c>
      <c r="C1233" s="32" t="n">
        <f aca="false">IF(OR('Raw Orders'!C1230&lt;&gt;"Product",'Raw Orders'!K1230="Cancelled"),0,'Raw Orders'!G1230)</f>
        <v>52</v>
      </c>
      <c r="D1233" s="31" t="n">
        <f aca="false">IF(AND('Raw Orders'!C1230="Product",'Raw Orders'!K1230="Fulfilled",COUNTIFS('Raw Orders'!$A$2:$A1230,'Raw Orders'!A1230,'Raw Orders'!$C$2:$C1230,"Product",'Raw Orders'!$K$2:$K1230,"Fulfilled")=1),1,0)</f>
        <v>0</v>
      </c>
      <c r="E1233" s="31" t="n">
        <f aca="false">IF(AND('Raw Orders'!C1230="Product",'Raw Orders'!K1230="Fulfilled"),'Raw Orders'!E1230,0)</f>
        <v>2</v>
      </c>
      <c r="F1233" s="32" t="n">
        <f aca="false">IF('Raw Orders'!K1230="Refunded",'Raw Orders'!G1230,0)</f>
        <v>0</v>
      </c>
    </row>
    <row r="1234" customFormat="false" ht="15" hidden="false" customHeight="false" outlineLevel="0" collapsed="false">
      <c r="A1234" s="36" t="n">
        <f aca="false">IF('Raw Orders'!B1231="","",IF(MID('Raw Orders'!B1231,5,1)="-",DATE(VALUE(LEFT('Raw Orders'!B1231,4)),VALUE(MID('Raw Orders'!B1231,6,2)),VALUE(MID('Raw Orders'!B1231,9,2))),DATE(VALUE(MID('Raw Orders'!B1231,7,4)),VALUE(MID('Raw Orders'!B1231,4,2)),VALUE(LEFT('Raw Orders'!B1231,2)))))</f>
        <v>46213</v>
      </c>
      <c r="B1234" s="36" t="n">
        <f aca="false">IF(A1234="","",A1234-WEEKDAY(A1234,3))</f>
        <v>46209</v>
      </c>
      <c r="C1234" s="32" t="n">
        <f aca="false">IF(OR('Raw Orders'!C1231&lt;&gt;"Product",'Raw Orders'!K1231="Cancelled"),0,'Raw Orders'!G1231)</f>
        <v>0</v>
      </c>
      <c r="D1234" s="31" t="n">
        <f aca="false">IF(AND('Raw Orders'!C1231="Product",'Raw Orders'!K1231="Fulfilled",COUNTIFS('Raw Orders'!$A$2:$A1231,'Raw Orders'!A1231,'Raw Orders'!$C$2:$C1231,"Product",'Raw Orders'!$K$2:$K1231,"Fulfilled")=1),1,0)</f>
        <v>0</v>
      </c>
      <c r="E1234" s="31" t="n">
        <f aca="false">IF(AND('Raw Orders'!C1231="Product",'Raw Orders'!K1231="Fulfilled"),'Raw Orders'!E1231,0)</f>
        <v>0</v>
      </c>
      <c r="F1234" s="32" t="n">
        <f aca="false">IF('Raw Orders'!K1231="Refunded",'Raw Orders'!G1231,0)</f>
        <v>0</v>
      </c>
    </row>
    <row r="1235" customFormat="false" ht="15" hidden="false" customHeight="false" outlineLevel="0" collapsed="false">
      <c r="A1235" s="36" t="n">
        <f aca="false">IF('Raw Orders'!B1232="","",IF(MID('Raw Orders'!B1232,5,1)="-",DATE(VALUE(LEFT('Raw Orders'!B1232,4)),VALUE(MID('Raw Orders'!B1232,6,2)),VALUE(MID('Raw Orders'!B1232,9,2))),DATE(VALUE(MID('Raw Orders'!B1232,7,4)),VALUE(MID('Raw Orders'!B1232,4,2)),VALUE(LEFT('Raw Orders'!B1232,2)))))</f>
        <v>46213</v>
      </c>
      <c r="B1235" s="36" t="n">
        <f aca="false">IF(A1235="","",A1235-WEEKDAY(A1235,3))</f>
        <v>46209</v>
      </c>
      <c r="C1235" s="32" t="n">
        <f aca="false">IF(OR('Raw Orders'!C1232&lt;&gt;"Product",'Raw Orders'!K1232="Cancelled"),0,'Raw Orders'!G1232)</f>
        <v>14</v>
      </c>
      <c r="D1235" s="31" t="n">
        <f aca="false">IF(AND('Raw Orders'!C1232="Product",'Raw Orders'!K1232="Fulfilled",COUNTIFS('Raw Orders'!$A$2:$A1232,'Raw Orders'!A1232,'Raw Orders'!$C$2:$C1232,"Product",'Raw Orders'!$K$2:$K1232,"Fulfilled")=1),1,0)</f>
        <v>1</v>
      </c>
      <c r="E1235" s="31" t="n">
        <f aca="false">IF(AND('Raw Orders'!C1232="Product",'Raw Orders'!K1232="Fulfilled"),'Raw Orders'!E1232,0)</f>
        <v>1</v>
      </c>
      <c r="F1235" s="32" t="n">
        <f aca="false">IF('Raw Orders'!K1232="Refunded",'Raw Orders'!G1232,0)</f>
        <v>0</v>
      </c>
    </row>
    <row r="1236" customFormat="false" ht="15" hidden="false" customHeight="false" outlineLevel="0" collapsed="false">
      <c r="A1236" s="36" t="n">
        <f aca="false">IF('Raw Orders'!B1233="","",IF(MID('Raw Orders'!B1233,5,1)="-",DATE(VALUE(LEFT('Raw Orders'!B1233,4)),VALUE(MID('Raw Orders'!B1233,6,2)),VALUE(MID('Raw Orders'!B1233,9,2))),DATE(VALUE(MID('Raw Orders'!B1233,7,4)),VALUE(MID('Raw Orders'!B1233,4,2)),VALUE(LEFT('Raw Orders'!B1233,2)))))</f>
        <v>46213</v>
      </c>
      <c r="B1236" s="36" t="n">
        <f aca="false">IF(A1236="","",A1236-WEEKDAY(A1236,3))</f>
        <v>46209</v>
      </c>
      <c r="C1236" s="32" t="n">
        <f aca="false">IF(OR('Raw Orders'!C1233&lt;&gt;"Product",'Raw Orders'!K1233="Cancelled"),0,'Raw Orders'!G1233)</f>
        <v>89</v>
      </c>
      <c r="D1236" s="31" t="n">
        <f aca="false">IF(AND('Raw Orders'!C1233="Product",'Raw Orders'!K1233="Fulfilled",COUNTIFS('Raw Orders'!$A$2:$A1233,'Raw Orders'!A1233,'Raw Orders'!$C$2:$C1233,"Product",'Raw Orders'!$K$2:$K1233,"Fulfilled")=1),1,0)</f>
        <v>1</v>
      </c>
      <c r="E1236" s="31" t="n">
        <f aca="false">IF(AND('Raw Orders'!C1233="Product",'Raw Orders'!K1233="Fulfilled"),'Raw Orders'!E1233,0)</f>
        <v>1</v>
      </c>
      <c r="F1236" s="32" t="n">
        <f aca="false">IF('Raw Orders'!K1233="Refunded",'Raw Orders'!G1233,0)</f>
        <v>0</v>
      </c>
    </row>
    <row r="1237" customFormat="false" ht="15" hidden="false" customHeight="false" outlineLevel="0" collapsed="false">
      <c r="A1237" s="36" t="n">
        <f aca="false">IF('Raw Orders'!B1234="","",IF(MID('Raw Orders'!B1234,5,1)="-",DATE(VALUE(LEFT('Raw Orders'!B1234,4)),VALUE(MID('Raw Orders'!B1234,6,2)),VALUE(MID('Raw Orders'!B1234,9,2))),DATE(VALUE(MID('Raw Orders'!B1234,7,4)),VALUE(MID('Raw Orders'!B1234,4,2)),VALUE(LEFT('Raw Orders'!B1234,2)))))</f>
        <v>46213</v>
      </c>
      <c r="B1237" s="36" t="n">
        <f aca="false">IF(A1237="","",A1237-WEEKDAY(A1237,3))</f>
        <v>46209</v>
      </c>
      <c r="C1237" s="32" t="n">
        <f aca="false">IF(OR('Raw Orders'!C1234&lt;&gt;"Product",'Raw Orders'!K1234="Cancelled"),0,'Raw Orders'!G1234)</f>
        <v>0</v>
      </c>
      <c r="D1237" s="31" t="n">
        <f aca="false">IF(AND('Raw Orders'!C1234="Product",'Raw Orders'!K1234="Fulfilled",COUNTIFS('Raw Orders'!$A$2:$A1234,'Raw Orders'!A1234,'Raw Orders'!$C$2:$C1234,"Product",'Raw Orders'!$K$2:$K1234,"Fulfilled")=1),1,0)</f>
        <v>0</v>
      </c>
      <c r="E1237" s="31" t="n">
        <f aca="false">IF(AND('Raw Orders'!C1234="Product",'Raw Orders'!K1234="Fulfilled"),'Raw Orders'!E1234,0)</f>
        <v>0</v>
      </c>
      <c r="F1237" s="32" t="n">
        <f aca="false">IF('Raw Orders'!K1234="Refunded",'Raw Orders'!G1234,0)</f>
        <v>0</v>
      </c>
    </row>
    <row r="1238" customFormat="false" ht="15" hidden="false" customHeight="false" outlineLevel="0" collapsed="false">
      <c r="A1238" s="36" t="n">
        <f aca="false">IF('Raw Orders'!B1235="","",IF(MID('Raw Orders'!B1235,5,1)="-",DATE(VALUE(LEFT('Raw Orders'!B1235,4)),VALUE(MID('Raw Orders'!B1235,6,2)),VALUE(MID('Raw Orders'!B1235,9,2))),DATE(VALUE(MID('Raw Orders'!B1235,7,4)),VALUE(MID('Raw Orders'!B1235,4,2)),VALUE(LEFT('Raw Orders'!B1235,2)))))</f>
        <v>46213</v>
      </c>
      <c r="B1238" s="36" t="n">
        <f aca="false">IF(A1238="","",A1238-WEEKDAY(A1238,3))</f>
        <v>46209</v>
      </c>
      <c r="C1238" s="32" t="n">
        <f aca="false">IF(OR('Raw Orders'!C1235&lt;&gt;"Product",'Raw Orders'!K1235="Cancelled"),0,'Raw Orders'!G1235)</f>
        <v>78</v>
      </c>
      <c r="D1238" s="31" t="n">
        <f aca="false">IF(AND('Raw Orders'!C1235="Product",'Raw Orders'!K1235="Fulfilled",COUNTIFS('Raw Orders'!$A$2:$A1235,'Raw Orders'!A1235,'Raw Orders'!$C$2:$C1235,"Product",'Raw Orders'!$K$2:$K1235,"Fulfilled")=1),1,0)</f>
        <v>1</v>
      </c>
      <c r="E1238" s="31" t="n">
        <f aca="false">IF(AND('Raw Orders'!C1235="Product",'Raw Orders'!K1235="Fulfilled"),'Raw Orders'!E1235,0)</f>
        <v>2</v>
      </c>
      <c r="F1238" s="32" t="n">
        <f aca="false">IF('Raw Orders'!K1235="Refunded",'Raw Orders'!G1235,0)</f>
        <v>0</v>
      </c>
    </row>
    <row r="1239" customFormat="false" ht="15" hidden="false" customHeight="false" outlineLevel="0" collapsed="false">
      <c r="A1239" s="36" t="n">
        <f aca="false">IF('Raw Orders'!B1236="","",IF(MID('Raw Orders'!B1236,5,1)="-",DATE(VALUE(LEFT('Raw Orders'!B1236,4)),VALUE(MID('Raw Orders'!B1236,6,2)),VALUE(MID('Raw Orders'!B1236,9,2))),DATE(VALUE(MID('Raw Orders'!B1236,7,4)),VALUE(MID('Raw Orders'!B1236,4,2)),VALUE(LEFT('Raw Orders'!B1236,2)))))</f>
        <v>46213</v>
      </c>
      <c r="B1239" s="36" t="n">
        <f aca="false">IF(A1239="","",A1239-WEEKDAY(A1239,3))</f>
        <v>46209</v>
      </c>
      <c r="C1239" s="32" t="n">
        <f aca="false">IF(OR('Raw Orders'!C1236&lt;&gt;"Product",'Raw Orders'!K1236="Cancelled"),0,'Raw Orders'!G1236)</f>
        <v>64</v>
      </c>
      <c r="D1239" s="31" t="n">
        <f aca="false">IF(AND('Raw Orders'!C1236="Product",'Raw Orders'!K1236="Fulfilled",COUNTIFS('Raw Orders'!$A$2:$A1236,'Raw Orders'!A1236,'Raw Orders'!$C$2:$C1236,"Product",'Raw Orders'!$K$2:$K1236,"Fulfilled")=1),1,0)</f>
        <v>0</v>
      </c>
      <c r="E1239" s="31" t="n">
        <f aca="false">IF(AND('Raw Orders'!C1236="Product",'Raw Orders'!K1236="Fulfilled"),'Raw Orders'!E1236,0)</f>
        <v>2</v>
      </c>
      <c r="F1239" s="32" t="n">
        <f aca="false">IF('Raw Orders'!K1236="Refunded",'Raw Orders'!G1236,0)</f>
        <v>0</v>
      </c>
    </row>
    <row r="1240" customFormat="false" ht="15" hidden="false" customHeight="false" outlineLevel="0" collapsed="false">
      <c r="A1240" s="36" t="n">
        <f aca="false">IF('Raw Orders'!B1237="","",IF(MID('Raw Orders'!B1237,5,1)="-",DATE(VALUE(LEFT('Raw Orders'!B1237,4)),VALUE(MID('Raw Orders'!B1237,6,2)),VALUE(MID('Raw Orders'!B1237,9,2))),DATE(VALUE(MID('Raw Orders'!B1237,7,4)),VALUE(MID('Raw Orders'!B1237,4,2)),VALUE(LEFT('Raw Orders'!B1237,2)))))</f>
        <v>46213</v>
      </c>
      <c r="B1240" s="36" t="n">
        <f aca="false">IF(A1240="","",A1240-WEEKDAY(A1240,3))</f>
        <v>46209</v>
      </c>
      <c r="C1240" s="32" t="n">
        <f aca="false">IF(OR('Raw Orders'!C1237&lt;&gt;"Product",'Raw Orders'!K1237="Cancelled"),0,'Raw Orders'!G1237)</f>
        <v>0</v>
      </c>
      <c r="D1240" s="31" t="n">
        <f aca="false">IF(AND('Raw Orders'!C1237="Product",'Raw Orders'!K1237="Fulfilled",COUNTIFS('Raw Orders'!$A$2:$A1237,'Raw Orders'!A1237,'Raw Orders'!$C$2:$C1237,"Product",'Raw Orders'!$K$2:$K1237,"Fulfilled")=1),1,0)</f>
        <v>0</v>
      </c>
      <c r="E1240" s="31" t="n">
        <f aca="false">IF(AND('Raw Orders'!C1237="Product",'Raw Orders'!K1237="Fulfilled"),'Raw Orders'!E1237,0)</f>
        <v>0</v>
      </c>
      <c r="F1240" s="32" t="n">
        <f aca="false">IF('Raw Orders'!K1237="Refunded",'Raw Orders'!G1237,0)</f>
        <v>0</v>
      </c>
    </row>
    <row r="1241" customFormat="false" ht="15" hidden="false" customHeight="false" outlineLevel="0" collapsed="false">
      <c r="A1241" s="36" t="n">
        <f aca="false">IF('Raw Orders'!B1238="","",IF(MID('Raw Orders'!B1238,5,1)="-",DATE(VALUE(LEFT('Raw Orders'!B1238,4)),VALUE(MID('Raw Orders'!B1238,6,2)),VALUE(MID('Raw Orders'!B1238,9,2))),DATE(VALUE(MID('Raw Orders'!B1238,7,4)),VALUE(MID('Raw Orders'!B1238,4,2)),VALUE(LEFT('Raw Orders'!B1238,2)))))</f>
        <v>46213</v>
      </c>
      <c r="B1241" s="36" t="n">
        <f aca="false">IF(A1241="","",A1241-WEEKDAY(A1241,3))</f>
        <v>46209</v>
      </c>
      <c r="C1241" s="32" t="n">
        <f aca="false">IF(OR('Raw Orders'!C1238&lt;&gt;"Product",'Raw Orders'!K1238="Cancelled"),0,'Raw Orders'!G1238)</f>
        <v>0</v>
      </c>
      <c r="D1241" s="31" t="n">
        <f aca="false">IF(AND('Raw Orders'!C1238="Product",'Raw Orders'!K1238="Fulfilled",COUNTIFS('Raw Orders'!$A$2:$A1238,'Raw Orders'!A1238,'Raw Orders'!$C$2:$C1238,"Product",'Raw Orders'!$K$2:$K1238,"Fulfilled")=1),1,0)</f>
        <v>0</v>
      </c>
      <c r="E1241" s="31" t="n">
        <f aca="false">IF(AND('Raw Orders'!C1238="Product",'Raw Orders'!K1238="Fulfilled"),'Raw Orders'!E1238,0)</f>
        <v>0</v>
      </c>
      <c r="F1241" s="32" t="n">
        <f aca="false">IF('Raw Orders'!K1238="Refunded",'Raw Orders'!G1238,0)</f>
        <v>0</v>
      </c>
    </row>
    <row r="1242" customFormat="false" ht="15" hidden="false" customHeight="false" outlineLevel="0" collapsed="false">
      <c r="A1242" s="36" t="n">
        <f aca="false">IF('Raw Orders'!B1239="","",IF(MID('Raw Orders'!B1239,5,1)="-",DATE(VALUE(LEFT('Raw Orders'!B1239,4)),VALUE(MID('Raw Orders'!B1239,6,2)),VALUE(MID('Raw Orders'!B1239,9,2))),DATE(VALUE(MID('Raw Orders'!B1239,7,4)),VALUE(MID('Raw Orders'!B1239,4,2)),VALUE(LEFT('Raw Orders'!B1239,2)))))</f>
        <v>46213</v>
      </c>
      <c r="B1242" s="36" t="n">
        <f aca="false">IF(A1242="","",A1242-WEEKDAY(A1242,3))</f>
        <v>46209</v>
      </c>
      <c r="C1242" s="32" t="n">
        <f aca="false">IF(OR('Raw Orders'!C1239&lt;&gt;"Product",'Raw Orders'!K1239="Cancelled"),0,'Raw Orders'!G1239)</f>
        <v>75</v>
      </c>
      <c r="D1242" s="31" t="n">
        <f aca="false">IF(AND('Raw Orders'!C1239="Product",'Raw Orders'!K1239="Fulfilled",COUNTIFS('Raw Orders'!$A$2:$A1239,'Raw Orders'!A1239,'Raw Orders'!$C$2:$C1239,"Product",'Raw Orders'!$K$2:$K1239,"Fulfilled")=1),1,0)</f>
        <v>1</v>
      </c>
      <c r="E1242" s="31" t="n">
        <f aca="false">IF(AND('Raw Orders'!C1239="Product",'Raw Orders'!K1239="Fulfilled"),'Raw Orders'!E1239,0)</f>
        <v>1</v>
      </c>
      <c r="F1242" s="32" t="n">
        <f aca="false">IF('Raw Orders'!K1239="Refunded",'Raw Orders'!G1239,0)</f>
        <v>0</v>
      </c>
    </row>
    <row r="1243" customFormat="false" ht="15" hidden="false" customHeight="false" outlineLevel="0" collapsed="false">
      <c r="A1243" s="36" t="n">
        <f aca="false">IF('Raw Orders'!B1240="","",IF(MID('Raw Orders'!B1240,5,1)="-",DATE(VALUE(LEFT('Raw Orders'!B1240,4)),VALUE(MID('Raw Orders'!B1240,6,2)),VALUE(MID('Raw Orders'!B1240,9,2))),DATE(VALUE(MID('Raw Orders'!B1240,7,4)),VALUE(MID('Raw Orders'!B1240,4,2)),VALUE(LEFT('Raw Orders'!B1240,2)))))</f>
        <v>46213</v>
      </c>
      <c r="B1243" s="36" t="n">
        <f aca="false">IF(A1243="","",A1243-WEEKDAY(A1243,3))</f>
        <v>46209</v>
      </c>
      <c r="C1243" s="32" t="n">
        <f aca="false">IF(OR('Raw Orders'!C1240&lt;&gt;"Product",'Raw Orders'!K1240="Cancelled"),0,'Raw Orders'!G1240)</f>
        <v>-64</v>
      </c>
      <c r="D1243" s="31" t="n">
        <f aca="false">IF(AND('Raw Orders'!C1240="Product",'Raw Orders'!K1240="Fulfilled",COUNTIFS('Raw Orders'!$A$2:$A1240,'Raw Orders'!A1240,'Raw Orders'!$C$2:$C1240,"Product",'Raw Orders'!$K$2:$K1240,"Fulfilled")=1),1,0)</f>
        <v>0</v>
      </c>
      <c r="E1243" s="31" t="n">
        <f aca="false">IF(AND('Raw Orders'!C1240="Product",'Raw Orders'!K1240="Fulfilled"),'Raw Orders'!E1240,0)</f>
        <v>0</v>
      </c>
      <c r="F1243" s="32" t="n">
        <f aca="false">IF('Raw Orders'!K1240="Refunded",'Raw Orders'!G1240,0)</f>
        <v>-64</v>
      </c>
    </row>
    <row r="1244" customFormat="false" ht="15" hidden="false" customHeight="false" outlineLevel="0" collapsed="false">
      <c r="A1244" s="36" t="n">
        <f aca="false">IF('Raw Orders'!B1241="","",IF(MID('Raw Orders'!B1241,5,1)="-",DATE(VALUE(LEFT('Raw Orders'!B1241,4)),VALUE(MID('Raw Orders'!B1241,6,2)),VALUE(MID('Raw Orders'!B1241,9,2))),DATE(VALUE(MID('Raw Orders'!B1241,7,4)),VALUE(MID('Raw Orders'!B1241,4,2)),VALUE(LEFT('Raw Orders'!B1241,2)))))</f>
        <v>46214</v>
      </c>
      <c r="B1244" s="36" t="n">
        <f aca="false">IF(A1244="","",A1244-WEEKDAY(A1244,3))</f>
        <v>46209</v>
      </c>
      <c r="C1244" s="32" t="n">
        <f aca="false">IF(OR('Raw Orders'!C1241&lt;&gt;"Product",'Raw Orders'!K1241="Cancelled"),0,'Raw Orders'!G1241)</f>
        <v>75</v>
      </c>
      <c r="D1244" s="31" t="n">
        <f aca="false">IF(AND('Raw Orders'!C1241="Product",'Raw Orders'!K1241="Fulfilled",COUNTIFS('Raw Orders'!$A$2:$A1241,'Raw Orders'!A1241,'Raw Orders'!$C$2:$C1241,"Product",'Raw Orders'!$K$2:$K1241,"Fulfilled")=1),1,0)</f>
        <v>1</v>
      </c>
      <c r="E1244" s="31" t="n">
        <f aca="false">IF(AND('Raw Orders'!C1241="Product",'Raw Orders'!K1241="Fulfilled"),'Raw Orders'!E1241,0)</f>
        <v>1</v>
      </c>
      <c r="F1244" s="32" t="n">
        <f aca="false">IF('Raw Orders'!K1241="Refunded",'Raw Orders'!G1241,0)</f>
        <v>0</v>
      </c>
    </row>
    <row r="1245" customFormat="false" ht="15" hidden="false" customHeight="false" outlineLevel="0" collapsed="false">
      <c r="A1245" s="36" t="n">
        <f aca="false">IF('Raw Orders'!B1242="","",IF(MID('Raw Orders'!B1242,5,1)="-",DATE(VALUE(LEFT('Raw Orders'!B1242,4)),VALUE(MID('Raw Orders'!B1242,6,2)),VALUE(MID('Raw Orders'!B1242,9,2))),DATE(VALUE(MID('Raw Orders'!B1242,7,4)),VALUE(MID('Raw Orders'!B1242,4,2)),VALUE(LEFT('Raw Orders'!B1242,2)))))</f>
        <v>46214</v>
      </c>
      <c r="B1245" s="36" t="n">
        <f aca="false">IF(A1245="","",A1245-WEEKDAY(A1245,3))</f>
        <v>46209</v>
      </c>
      <c r="C1245" s="32" t="n">
        <f aca="false">IF(OR('Raw Orders'!C1242&lt;&gt;"Product",'Raw Orders'!K1242="Cancelled"),0,'Raw Orders'!G1242)</f>
        <v>26</v>
      </c>
      <c r="D1245" s="31" t="n">
        <f aca="false">IF(AND('Raw Orders'!C1242="Product",'Raw Orders'!K1242="Fulfilled",COUNTIFS('Raw Orders'!$A$2:$A1242,'Raw Orders'!A1242,'Raw Orders'!$C$2:$C1242,"Product",'Raw Orders'!$K$2:$K1242,"Fulfilled")=1),1,0)</f>
        <v>1</v>
      </c>
      <c r="E1245" s="31" t="n">
        <f aca="false">IF(AND('Raw Orders'!C1242="Product",'Raw Orders'!K1242="Fulfilled"),'Raw Orders'!E1242,0)</f>
        <v>1</v>
      </c>
      <c r="F1245" s="32" t="n">
        <f aca="false">IF('Raw Orders'!K1242="Refunded",'Raw Orders'!G1242,0)</f>
        <v>0</v>
      </c>
    </row>
    <row r="1246" customFormat="false" ht="15" hidden="false" customHeight="false" outlineLevel="0" collapsed="false">
      <c r="A1246" s="36" t="n">
        <f aca="false">IF('Raw Orders'!B1243="","",IF(MID('Raw Orders'!B1243,5,1)="-",DATE(VALUE(LEFT('Raw Orders'!B1243,4)),VALUE(MID('Raw Orders'!B1243,6,2)),VALUE(MID('Raw Orders'!B1243,9,2))),DATE(VALUE(MID('Raw Orders'!B1243,7,4)),VALUE(MID('Raw Orders'!B1243,4,2)),VALUE(LEFT('Raw Orders'!B1243,2)))))</f>
        <v>46214</v>
      </c>
      <c r="B1246" s="36" t="n">
        <f aca="false">IF(A1246="","",A1246-WEEKDAY(A1246,3))</f>
        <v>46209</v>
      </c>
      <c r="C1246" s="32" t="n">
        <f aca="false">IF(OR('Raw Orders'!C1243&lt;&gt;"Product",'Raw Orders'!K1243="Cancelled"),0,'Raw Orders'!G1243)</f>
        <v>89</v>
      </c>
      <c r="D1246" s="31" t="n">
        <f aca="false">IF(AND('Raw Orders'!C1243="Product",'Raw Orders'!K1243="Fulfilled",COUNTIFS('Raw Orders'!$A$2:$A1243,'Raw Orders'!A1243,'Raw Orders'!$C$2:$C1243,"Product",'Raw Orders'!$K$2:$K1243,"Fulfilled")=1),1,0)</f>
        <v>0</v>
      </c>
      <c r="E1246" s="31" t="n">
        <f aca="false">IF(AND('Raw Orders'!C1243="Product",'Raw Orders'!K1243="Fulfilled"),'Raw Orders'!E1243,0)</f>
        <v>1</v>
      </c>
      <c r="F1246" s="32" t="n">
        <f aca="false">IF('Raw Orders'!K1243="Refunded",'Raw Orders'!G1243,0)</f>
        <v>0</v>
      </c>
    </row>
    <row r="1247" customFormat="false" ht="15" hidden="false" customHeight="false" outlineLevel="0" collapsed="false">
      <c r="A1247" s="36" t="n">
        <f aca="false">IF('Raw Orders'!B1244="","",IF(MID('Raw Orders'!B1244,5,1)="-",DATE(VALUE(LEFT('Raw Orders'!B1244,4)),VALUE(MID('Raw Orders'!B1244,6,2)),VALUE(MID('Raw Orders'!B1244,9,2))),DATE(VALUE(MID('Raw Orders'!B1244,7,4)),VALUE(MID('Raw Orders'!B1244,4,2)),VALUE(LEFT('Raw Orders'!B1244,2)))))</f>
        <v>46214</v>
      </c>
      <c r="B1247" s="36" t="n">
        <f aca="false">IF(A1247="","",A1247-WEEKDAY(A1247,3))</f>
        <v>46209</v>
      </c>
      <c r="C1247" s="32" t="n">
        <f aca="false">IF(OR('Raw Orders'!C1244&lt;&gt;"Product",'Raw Orders'!K1244="Cancelled"),0,'Raw Orders'!G1244)</f>
        <v>44</v>
      </c>
      <c r="D1247" s="31" t="n">
        <f aca="false">IF(AND('Raw Orders'!C1244="Product",'Raw Orders'!K1244="Fulfilled",COUNTIFS('Raw Orders'!$A$2:$A1244,'Raw Orders'!A1244,'Raw Orders'!$C$2:$C1244,"Product",'Raw Orders'!$K$2:$K1244,"Fulfilled")=1),1,0)</f>
        <v>0</v>
      </c>
      <c r="E1247" s="31" t="n">
        <f aca="false">IF(AND('Raw Orders'!C1244="Product",'Raw Orders'!K1244="Fulfilled"),'Raw Orders'!E1244,0)</f>
        <v>2</v>
      </c>
      <c r="F1247" s="32" t="n">
        <f aca="false">IF('Raw Orders'!K1244="Refunded",'Raw Orders'!G1244,0)</f>
        <v>0</v>
      </c>
    </row>
    <row r="1248" customFormat="false" ht="15" hidden="false" customHeight="false" outlineLevel="0" collapsed="false">
      <c r="A1248" s="36" t="n">
        <f aca="false">IF('Raw Orders'!B1245="","",IF(MID('Raw Orders'!B1245,5,1)="-",DATE(VALUE(LEFT('Raw Orders'!B1245,4)),VALUE(MID('Raw Orders'!B1245,6,2)),VALUE(MID('Raw Orders'!B1245,9,2))),DATE(VALUE(MID('Raw Orders'!B1245,7,4)),VALUE(MID('Raw Orders'!B1245,4,2)),VALUE(LEFT('Raw Orders'!B1245,2)))))</f>
        <v>46214</v>
      </c>
      <c r="B1248" s="36" t="n">
        <f aca="false">IF(A1248="","",A1248-WEEKDAY(A1248,3))</f>
        <v>46209</v>
      </c>
      <c r="C1248" s="32" t="n">
        <f aca="false">IF(OR('Raw Orders'!C1245&lt;&gt;"Product",'Raw Orders'!K1245="Cancelled"),0,'Raw Orders'!G1245)</f>
        <v>0</v>
      </c>
      <c r="D1248" s="31" t="n">
        <f aca="false">IF(AND('Raw Orders'!C1245="Product",'Raw Orders'!K1245="Fulfilled",COUNTIFS('Raw Orders'!$A$2:$A1245,'Raw Orders'!A1245,'Raw Orders'!$C$2:$C1245,"Product",'Raw Orders'!$K$2:$K1245,"Fulfilled")=1),1,0)</f>
        <v>0</v>
      </c>
      <c r="E1248" s="31" t="n">
        <f aca="false">IF(AND('Raw Orders'!C1245="Product",'Raw Orders'!K1245="Fulfilled"),'Raw Orders'!E1245,0)</f>
        <v>0</v>
      </c>
      <c r="F1248" s="32" t="n">
        <f aca="false">IF('Raw Orders'!K1245="Refunded",'Raw Orders'!G1245,0)</f>
        <v>0</v>
      </c>
    </row>
    <row r="1249" customFormat="false" ht="15" hidden="false" customHeight="false" outlineLevel="0" collapsed="false">
      <c r="A1249" s="36" t="n">
        <f aca="false">IF('Raw Orders'!B1246="","",IF(MID('Raw Orders'!B1246,5,1)="-",DATE(VALUE(LEFT('Raw Orders'!B1246,4)),VALUE(MID('Raw Orders'!B1246,6,2)),VALUE(MID('Raw Orders'!B1246,9,2))),DATE(VALUE(MID('Raw Orders'!B1246,7,4)),VALUE(MID('Raw Orders'!B1246,4,2)),VALUE(LEFT('Raw Orders'!B1246,2)))))</f>
        <v>46214</v>
      </c>
      <c r="B1249" s="36" t="n">
        <f aca="false">IF(A1249="","",A1249-WEEKDAY(A1249,3))</f>
        <v>46209</v>
      </c>
      <c r="C1249" s="32" t="n">
        <f aca="false">IF(OR('Raw Orders'!C1246&lt;&gt;"Product",'Raw Orders'!K1246="Cancelled"),0,'Raw Orders'!G1246)</f>
        <v>35</v>
      </c>
      <c r="D1249" s="31" t="n">
        <f aca="false">IF(AND('Raw Orders'!C1246="Product",'Raw Orders'!K1246="Fulfilled",COUNTIFS('Raw Orders'!$A$2:$A1246,'Raw Orders'!A1246,'Raw Orders'!$C$2:$C1246,"Product",'Raw Orders'!$K$2:$K1246,"Fulfilled")=1),1,0)</f>
        <v>1</v>
      </c>
      <c r="E1249" s="31" t="n">
        <f aca="false">IF(AND('Raw Orders'!C1246="Product",'Raw Orders'!K1246="Fulfilled"),'Raw Orders'!E1246,0)</f>
        <v>1</v>
      </c>
      <c r="F1249" s="32" t="n">
        <f aca="false">IF('Raw Orders'!K1246="Refunded",'Raw Orders'!G1246,0)</f>
        <v>0</v>
      </c>
    </row>
    <row r="1250" customFormat="false" ht="15" hidden="false" customHeight="false" outlineLevel="0" collapsed="false">
      <c r="A1250" s="36" t="n">
        <f aca="false">IF('Raw Orders'!B1247="","",IF(MID('Raw Orders'!B1247,5,1)="-",DATE(VALUE(LEFT('Raw Orders'!B1247,4)),VALUE(MID('Raw Orders'!B1247,6,2)),VALUE(MID('Raw Orders'!B1247,9,2))),DATE(VALUE(MID('Raw Orders'!B1247,7,4)),VALUE(MID('Raw Orders'!B1247,4,2)),VALUE(LEFT('Raw Orders'!B1247,2)))))</f>
        <v>46214</v>
      </c>
      <c r="B1250" s="36" t="n">
        <f aca="false">IF(A1250="","",A1250-WEEKDAY(A1250,3))</f>
        <v>46209</v>
      </c>
      <c r="C1250" s="32" t="n">
        <f aca="false">IF(OR('Raw Orders'!C1247&lt;&gt;"Product",'Raw Orders'!K1247="Cancelled"),0,'Raw Orders'!G1247)</f>
        <v>39</v>
      </c>
      <c r="D1250" s="31" t="n">
        <f aca="false">IF(AND('Raw Orders'!C1247="Product",'Raw Orders'!K1247="Fulfilled",COUNTIFS('Raw Orders'!$A$2:$A1247,'Raw Orders'!A1247,'Raw Orders'!$C$2:$C1247,"Product",'Raw Orders'!$K$2:$K1247,"Fulfilled")=1),1,0)</f>
        <v>1</v>
      </c>
      <c r="E1250" s="31" t="n">
        <f aca="false">IF(AND('Raw Orders'!C1247="Product",'Raw Orders'!K1247="Fulfilled"),'Raw Orders'!E1247,0)</f>
        <v>1</v>
      </c>
      <c r="F1250" s="32" t="n">
        <f aca="false">IF('Raw Orders'!K1247="Refunded",'Raw Orders'!G1247,0)</f>
        <v>0</v>
      </c>
    </row>
    <row r="1251" customFormat="false" ht="15" hidden="false" customHeight="false" outlineLevel="0" collapsed="false">
      <c r="A1251" s="36" t="n">
        <f aca="false">IF('Raw Orders'!B1248="","",IF(MID('Raw Orders'!B1248,5,1)="-",DATE(VALUE(LEFT('Raw Orders'!B1248,4)),VALUE(MID('Raw Orders'!B1248,6,2)),VALUE(MID('Raw Orders'!B1248,9,2))),DATE(VALUE(MID('Raw Orders'!B1248,7,4)),VALUE(MID('Raw Orders'!B1248,4,2)),VALUE(LEFT('Raw Orders'!B1248,2)))))</f>
        <v>46214</v>
      </c>
      <c r="B1251" s="36" t="n">
        <f aca="false">IF(A1251="","",A1251-WEEKDAY(A1251,3))</f>
        <v>46209</v>
      </c>
      <c r="C1251" s="32" t="n">
        <f aca="false">IF(OR('Raw Orders'!C1248&lt;&gt;"Product",'Raw Orders'!K1248="Cancelled"),0,'Raw Orders'!G1248)</f>
        <v>0</v>
      </c>
      <c r="D1251" s="31" t="n">
        <f aca="false">IF(AND('Raw Orders'!C1248="Product",'Raw Orders'!K1248="Fulfilled",COUNTIFS('Raw Orders'!$A$2:$A1248,'Raw Orders'!A1248,'Raw Orders'!$C$2:$C1248,"Product",'Raw Orders'!$K$2:$K1248,"Fulfilled")=1),1,0)</f>
        <v>0</v>
      </c>
      <c r="E1251" s="31" t="n">
        <f aca="false">IF(AND('Raw Orders'!C1248="Product",'Raw Orders'!K1248="Fulfilled"),'Raw Orders'!E1248,0)</f>
        <v>0</v>
      </c>
      <c r="F1251" s="32" t="n">
        <f aca="false">IF('Raw Orders'!K1248="Refunded",'Raw Orders'!G1248,0)</f>
        <v>0</v>
      </c>
    </row>
    <row r="1252" customFormat="false" ht="15" hidden="false" customHeight="false" outlineLevel="0" collapsed="false">
      <c r="A1252" s="36" t="n">
        <f aca="false">IF('Raw Orders'!B1249="","",IF(MID('Raw Orders'!B1249,5,1)="-",DATE(VALUE(LEFT('Raw Orders'!B1249,4)),VALUE(MID('Raw Orders'!B1249,6,2)),VALUE(MID('Raw Orders'!B1249,9,2))),DATE(VALUE(MID('Raw Orders'!B1249,7,4)),VALUE(MID('Raw Orders'!B1249,4,2)),VALUE(LEFT('Raw Orders'!B1249,2)))))</f>
        <v>46214</v>
      </c>
      <c r="B1252" s="36" t="n">
        <f aca="false">IF(A1252="","",A1252-WEEKDAY(A1252,3))</f>
        <v>46209</v>
      </c>
      <c r="C1252" s="32" t="n">
        <f aca="false">IF(OR('Raw Orders'!C1249&lt;&gt;"Product",'Raw Orders'!K1249="Cancelled"),0,'Raw Orders'!G1249)</f>
        <v>29</v>
      </c>
      <c r="D1252" s="31" t="n">
        <f aca="false">IF(AND('Raw Orders'!C1249="Product",'Raw Orders'!K1249="Fulfilled",COUNTIFS('Raw Orders'!$A$2:$A1249,'Raw Orders'!A1249,'Raw Orders'!$C$2:$C1249,"Product",'Raw Orders'!$K$2:$K1249,"Fulfilled")=1),1,0)</f>
        <v>1</v>
      </c>
      <c r="E1252" s="31" t="n">
        <f aca="false">IF(AND('Raw Orders'!C1249="Product",'Raw Orders'!K1249="Fulfilled"),'Raw Orders'!E1249,0)</f>
        <v>1</v>
      </c>
      <c r="F1252" s="32" t="n">
        <f aca="false">IF('Raw Orders'!K1249="Refunded",'Raw Orders'!G1249,0)</f>
        <v>0</v>
      </c>
    </row>
    <row r="1253" customFormat="false" ht="15" hidden="false" customHeight="false" outlineLevel="0" collapsed="false">
      <c r="A1253" s="36" t="n">
        <f aca="false">IF('Raw Orders'!B1250="","",IF(MID('Raw Orders'!B1250,5,1)="-",DATE(VALUE(LEFT('Raw Orders'!B1250,4)),VALUE(MID('Raw Orders'!B1250,6,2)),VALUE(MID('Raw Orders'!B1250,9,2))),DATE(VALUE(MID('Raw Orders'!B1250,7,4)),VALUE(MID('Raw Orders'!B1250,4,2)),VALUE(LEFT('Raw Orders'!B1250,2)))))</f>
        <v>46214</v>
      </c>
      <c r="B1253" s="36" t="n">
        <f aca="false">IF(A1253="","",A1253-WEEKDAY(A1253,3))</f>
        <v>46209</v>
      </c>
      <c r="C1253" s="32" t="n">
        <f aca="false">IF(OR('Raw Orders'!C1250&lt;&gt;"Product",'Raw Orders'!K1250="Cancelled"),0,'Raw Orders'!G1250)</f>
        <v>0</v>
      </c>
      <c r="D1253" s="31" t="n">
        <f aca="false">IF(AND('Raw Orders'!C1250="Product",'Raw Orders'!K1250="Fulfilled",COUNTIFS('Raw Orders'!$A$2:$A1250,'Raw Orders'!A1250,'Raw Orders'!$C$2:$C1250,"Product",'Raw Orders'!$K$2:$K1250,"Fulfilled")=1),1,0)</f>
        <v>0</v>
      </c>
      <c r="E1253" s="31" t="n">
        <f aca="false">IF(AND('Raw Orders'!C1250="Product",'Raw Orders'!K1250="Fulfilled"),'Raw Orders'!E1250,0)</f>
        <v>0</v>
      </c>
      <c r="F1253" s="32" t="n">
        <f aca="false">IF('Raw Orders'!K1250="Refunded",'Raw Orders'!G1250,0)</f>
        <v>0</v>
      </c>
    </row>
    <row r="1254" customFormat="false" ht="15" hidden="false" customHeight="false" outlineLevel="0" collapsed="false">
      <c r="A1254" s="36" t="n">
        <f aca="false">IF('Raw Orders'!B1251="","",IF(MID('Raw Orders'!B1251,5,1)="-",DATE(VALUE(LEFT('Raw Orders'!B1251,4)),VALUE(MID('Raw Orders'!B1251,6,2)),VALUE(MID('Raw Orders'!B1251,9,2))),DATE(VALUE(MID('Raw Orders'!B1251,7,4)),VALUE(MID('Raw Orders'!B1251,4,2)),VALUE(LEFT('Raw Orders'!B1251,2)))))</f>
        <v>46214</v>
      </c>
      <c r="B1254" s="36" t="n">
        <f aca="false">IF(A1254="","",A1254-WEEKDAY(A1254,3))</f>
        <v>46209</v>
      </c>
      <c r="C1254" s="32" t="n">
        <f aca="false">IF(OR('Raw Orders'!C1251&lt;&gt;"Product",'Raw Orders'!K1251="Cancelled"),0,'Raw Orders'!G1251)</f>
        <v>58</v>
      </c>
      <c r="D1254" s="31" t="n">
        <f aca="false">IF(AND('Raw Orders'!C1251="Product",'Raw Orders'!K1251="Fulfilled",COUNTIFS('Raw Orders'!$A$2:$A1251,'Raw Orders'!A1251,'Raw Orders'!$C$2:$C1251,"Product",'Raw Orders'!$K$2:$K1251,"Fulfilled")=1),1,0)</f>
        <v>1</v>
      </c>
      <c r="E1254" s="31" t="n">
        <f aca="false">IF(AND('Raw Orders'!C1251="Product",'Raw Orders'!K1251="Fulfilled"),'Raw Orders'!E1251,0)</f>
        <v>2</v>
      </c>
      <c r="F1254" s="32" t="n">
        <f aca="false">IF('Raw Orders'!K1251="Refunded",'Raw Orders'!G1251,0)</f>
        <v>0</v>
      </c>
    </row>
    <row r="1255" customFormat="false" ht="15" hidden="false" customHeight="false" outlineLevel="0" collapsed="false">
      <c r="A1255" s="36" t="n">
        <f aca="false">IF('Raw Orders'!B1252="","",IF(MID('Raw Orders'!B1252,5,1)="-",DATE(VALUE(LEFT('Raw Orders'!B1252,4)),VALUE(MID('Raw Orders'!B1252,6,2)),VALUE(MID('Raw Orders'!B1252,9,2))),DATE(VALUE(MID('Raw Orders'!B1252,7,4)),VALUE(MID('Raw Orders'!B1252,4,2)),VALUE(LEFT('Raw Orders'!B1252,2)))))</f>
        <v>46214</v>
      </c>
      <c r="B1255" s="36" t="n">
        <f aca="false">IF(A1255="","",A1255-WEEKDAY(A1255,3))</f>
        <v>46209</v>
      </c>
      <c r="C1255" s="32" t="n">
        <f aca="false">IF(OR('Raw Orders'!C1252&lt;&gt;"Product",'Raw Orders'!K1252="Cancelled"),0,'Raw Orders'!G1252)</f>
        <v>69</v>
      </c>
      <c r="D1255" s="31" t="n">
        <f aca="false">IF(AND('Raw Orders'!C1252="Product",'Raw Orders'!K1252="Fulfilled",COUNTIFS('Raw Orders'!$A$2:$A1252,'Raw Orders'!A1252,'Raw Orders'!$C$2:$C1252,"Product",'Raw Orders'!$K$2:$K1252,"Fulfilled")=1),1,0)</f>
        <v>1</v>
      </c>
      <c r="E1255" s="31" t="n">
        <f aca="false">IF(AND('Raw Orders'!C1252="Product",'Raw Orders'!K1252="Fulfilled"),'Raw Orders'!E1252,0)</f>
        <v>1</v>
      </c>
      <c r="F1255" s="32" t="n">
        <f aca="false">IF('Raw Orders'!K1252="Refunded",'Raw Orders'!G1252,0)</f>
        <v>0</v>
      </c>
    </row>
    <row r="1256" customFormat="false" ht="15" hidden="false" customHeight="false" outlineLevel="0" collapsed="false">
      <c r="A1256" s="36" t="n">
        <f aca="false">IF('Raw Orders'!B1253="","",IF(MID('Raw Orders'!B1253,5,1)="-",DATE(VALUE(LEFT('Raw Orders'!B1253,4)),VALUE(MID('Raw Orders'!B1253,6,2)),VALUE(MID('Raw Orders'!B1253,9,2))),DATE(VALUE(MID('Raw Orders'!B1253,7,4)),VALUE(MID('Raw Orders'!B1253,4,2)),VALUE(LEFT('Raw Orders'!B1253,2)))))</f>
        <v>46214</v>
      </c>
      <c r="B1256" s="36" t="n">
        <f aca="false">IF(A1256="","",A1256-WEEKDAY(A1256,3))</f>
        <v>46209</v>
      </c>
      <c r="C1256" s="32" t="n">
        <f aca="false">IF(OR('Raw Orders'!C1253&lt;&gt;"Product",'Raw Orders'!K1253="Cancelled"),0,'Raw Orders'!G1253)</f>
        <v>11.2</v>
      </c>
      <c r="D1256" s="31" t="n">
        <f aca="false">IF(AND('Raw Orders'!C1253="Product",'Raw Orders'!K1253="Fulfilled",COUNTIFS('Raw Orders'!$A$2:$A1253,'Raw Orders'!A1253,'Raw Orders'!$C$2:$C1253,"Product",'Raw Orders'!$K$2:$K1253,"Fulfilled")=1),1,0)</f>
        <v>1</v>
      </c>
      <c r="E1256" s="31" t="n">
        <f aca="false">IF(AND('Raw Orders'!C1253="Product",'Raw Orders'!K1253="Fulfilled"),'Raw Orders'!E1253,0)</f>
        <v>1</v>
      </c>
      <c r="F1256" s="32" t="n">
        <f aca="false">IF('Raw Orders'!K1253="Refunded",'Raw Orders'!G1253,0)</f>
        <v>0</v>
      </c>
    </row>
    <row r="1257" customFormat="false" ht="15" hidden="false" customHeight="false" outlineLevel="0" collapsed="false">
      <c r="A1257" s="36" t="n">
        <f aca="false">IF('Raw Orders'!B1254="","",IF(MID('Raw Orders'!B1254,5,1)="-",DATE(VALUE(LEFT('Raw Orders'!B1254,4)),VALUE(MID('Raw Orders'!B1254,6,2)),VALUE(MID('Raw Orders'!B1254,9,2))),DATE(VALUE(MID('Raw Orders'!B1254,7,4)),VALUE(MID('Raw Orders'!B1254,4,2)),VALUE(LEFT('Raw Orders'!B1254,2)))))</f>
        <v>46214</v>
      </c>
      <c r="B1257" s="36" t="n">
        <f aca="false">IF(A1257="","",A1257-WEEKDAY(A1257,3))</f>
        <v>46209</v>
      </c>
      <c r="C1257" s="32" t="n">
        <f aca="false">IF(OR('Raw Orders'!C1254&lt;&gt;"Product",'Raw Orders'!K1254="Cancelled"),0,'Raw Orders'!G1254)</f>
        <v>0</v>
      </c>
      <c r="D1257" s="31" t="n">
        <f aca="false">IF(AND('Raw Orders'!C1254="Product",'Raw Orders'!K1254="Fulfilled",COUNTIFS('Raw Orders'!$A$2:$A1254,'Raw Orders'!A1254,'Raw Orders'!$C$2:$C1254,"Product",'Raw Orders'!$K$2:$K1254,"Fulfilled")=1),1,0)</f>
        <v>0</v>
      </c>
      <c r="E1257" s="31" t="n">
        <f aca="false">IF(AND('Raw Orders'!C1254="Product",'Raw Orders'!K1254="Fulfilled"),'Raw Orders'!E1254,0)</f>
        <v>0</v>
      </c>
      <c r="F1257" s="32" t="n">
        <f aca="false">IF('Raw Orders'!K1254="Refunded",'Raw Orders'!G1254,0)</f>
        <v>0</v>
      </c>
    </row>
    <row r="1258" customFormat="false" ht="15" hidden="false" customHeight="false" outlineLevel="0" collapsed="false">
      <c r="A1258" s="36" t="n">
        <f aca="false">IF('Raw Orders'!B1255="","",IF(MID('Raw Orders'!B1255,5,1)="-",DATE(VALUE(LEFT('Raw Orders'!B1255,4)),VALUE(MID('Raw Orders'!B1255,6,2)),VALUE(MID('Raw Orders'!B1255,9,2))),DATE(VALUE(MID('Raw Orders'!B1255,7,4)),VALUE(MID('Raw Orders'!B1255,4,2)),VALUE(LEFT('Raw Orders'!B1255,2)))))</f>
        <v>46214</v>
      </c>
      <c r="B1258" s="36" t="n">
        <f aca="false">IF(A1258="","",A1258-WEEKDAY(A1258,3))</f>
        <v>46209</v>
      </c>
      <c r="C1258" s="32" t="n">
        <f aca="false">IF(OR('Raw Orders'!C1255&lt;&gt;"Product",'Raw Orders'!K1255="Cancelled"),0,'Raw Orders'!G1255)</f>
        <v>207</v>
      </c>
      <c r="D1258" s="31" t="n">
        <f aca="false">IF(AND('Raw Orders'!C1255="Product",'Raw Orders'!K1255="Fulfilled",COUNTIFS('Raw Orders'!$A$2:$A1255,'Raw Orders'!A1255,'Raw Orders'!$C$2:$C1255,"Product",'Raw Orders'!$K$2:$K1255,"Fulfilled")=1),1,0)</f>
        <v>0</v>
      </c>
      <c r="E1258" s="31" t="n">
        <f aca="false">IF(AND('Raw Orders'!C1255="Product",'Raw Orders'!K1255="Fulfilled"),'Raw Orders'!E1255,0)</f>
        <v>3</v>
      </c>
      <c r="F1258" s="32" t="n">
        <f aca="false">IF('Raw Orders'!K1255="Refunded",'Raw Orders'!G1255,0)</f>
        <v>0</v>
      </c>
    </row>
    <row r="1259" customFormat="false" ht="15" hidden="false" customHeight="false" outlineLevel="0" collapsed="false">
      <c r="A1259" s="36" t="n">
        <f aca="false">IF('Raw Orders'!B1256="","",IF(MID('Raw Orders'!B1256,5,1)="-",DATE(VALUE(LEFT('Raw Orders'!B1256,4)),VALUE(MID('Raw Orders'!B1256,6,2)),VALUE(MID('Raw Orders'!B1256,9,2))),DATE(VALUE(MID('Raw Orders'!B1256,7,4)),VALUE(MID('Raw Orders'!B1256,4,2)),VALUE(LEFT('Raw Orders'!B1256,2)))))</f>
        <v>46214</v>
      </c>
      <c r="B1259" s="36" t="n">
        <f aca="false">IF(A1259="","",A1259-WEEKDAY(A1259,3))</f>
        <v>46209</v>
      </c>
      <c r="C1259" s="32" t="n">
        <f aca="false">IF(OR('Raw Orders'!C1256&lt;&gt;"Product",'Raw Orders'!K1256="Cancelled"),0,'Raw Orders'!G1256)</f>
        <v>0</v>
      </c>
      <c r="D1259" s="31" t="n">
        <f aca="false">IF(AND('Raw Orders'!C1256="Product",'Raw Orders'!K1256="Fulfilled",COUNTIFS('Raw Orders'!$A$2:$A1256,'Raw Orders'!A1256,'Raw Orders'!$C$2:$C1256,"Product",'Raw Orders'!$K$2:$K1256,"Fulfilled")=1),1,0)</f>
        <v>0</v>
      </c>
      <c r="E1259" s="31" t="n">
        <f aca="false">IF(AND('Raw Orders'!C1256="Product",'Raw Orders'!K1256="Fulfilled"),'Raw Orders'!E1256,0)</f>
        <v>0</v>
      </c>
      <c r="F1259" s="32" t="n">
        <f aca="false">IF('Raw Orders'!K1256="Refunded",'Raw Orders'!G1256,0)</f>
        <v>0</v>
      </c>
    </row>
    <row r="1260" customFormat="false" ht="15" hidden="false" customHeight="false" outlineLevel="0" collapsed="false">
      <c r="A1260" s="36" t="n">
        <f aca="false">IF('Raw Orders'!B1257="","",IF(MID('Raw Orders'!B1257,5,1)="-",DATE(VALUE(LEFT('Raw Orders'!B1257,4)),VALUE(MID('Raw Orders'!B1257,6,2)),VALUE(MID('Raw Orders'!B1257,9,2))),DATE(VALUE(MID('Raw Orders'!B1257,7,4)),VALUE(MID('Raw Orders'!B1257,4,2)),VALUE(LEFT('Raw Orders'!B1257,2)))))</f>
        <v>46214</v>
      </c>
      <c r="B1260" s="36" t="n">
        <f aca="false">IF(A1260="","",A1260-WEEKDAY(A1260,3))</f>
        <v>46209</v>
      </c>
      <c r="C1260" s="32" t="n">
        <f aca="false">IF(OR('Raw Orders'!C1257&lt;&gt;"Product",'Raw Orders'!K1257="Cancelled"),0,'Raw Orders'!G1257)</f>
        <v>135</v>
      </c>
      <c r="D1260" s="31" t="n">
        <f aca="false">IF(AND('Raw Orders'!C1257="Product",'Raw Orders'!K1257="Fulfilled",COUNTIFS('Raw Orders'!$A$2:$A1257,'Raw Orders'!A1257,'Raw Orders'!$C$2:$C1257,"Product",'Raw Orders'!$K$2:$K1257,"Fulfilled")=1),1,0)</f>
        <v>1</v>
      </c>
      <c r="E1260" s="31" t="n">
        <f aca="false">IF(AND('Raw Orders'!C1257="Product",'Raw Orders'!K1257="Fulfilled"),'Raw Orders'!E1257,0)</f>
        <v>3</v>
      </c>
      <c r="F1260" s="32" t="n">
        <f aca="false">IF('Raw Orders'!K1257="Refunded",'Raw Orders'!G1257,0)</f>
        <v>0</v>
      </c>
    </row>
    <row r="1261" customFormat="false" ht="15" hidden="false" customHeight="false" outlineLevel="0" collapsed="false">
      <c r="A1261" s="36" t="n">
        <f aca="false">IF('Raw Orders'!B1258="","",IF(MID('Raw Orders'!B1258,5,1)="-",DATE(VALUE(LEFT('Raw Orders'!B1258,4)),VALUE(MID('Raw Orders'!B1258,6,2)),VALUE(MID('Raw Orders'!B1258,9,2))),DATE(VALUE(MID('Raw Orders'!B1258,7,4)),VALUE(MID('Raw Orders'!B1258,4,2)),VALUE(LEFT('Raw Orders'!B1258,2)))))</f>
        <v>46214</v>
      </c>
      <c r="B1261" s="36" t="n">
        <f aca="false">IF(A1261="","",A1261-WEEKDAY(A1261,3))</f>
        <v>46209</v>
      </c>
      <c r="C1261" s="32" t="n">
        <f aca="false">IF(OR('Raw Orders'!C1258&lt;&gt;"Product",'Raw Orders'!K1258="Cancelled"),0,'Raw Orders'!G1258)</f>
        <v>89</v>
      </c>
      <c r="D1261" s="31" t="n">
        <f aca="false">IF(AND('Raw Orders'!C1258="Product",'Raw Orders'!K1258="Fulfilled",COUNTIFS('Raw Orders'!$A$2:$A1258,'Raw Orders'!A1258,'Raw Orders'!$C$2:$C1258,"Product",'Raw Orders'!$K$2:$K1258,"Fulfilled")=1),1,0)</f>
        <v>0</v>
      </c>
      <c r="E1261" s="31" t="n">
        <f aca="false">IF(AND('Raw Orders'!C1258="Product",'Raw Orders'!K1258="Fulfilled"),'Raw Orders'!E1258,0)</f>
        <v>1</v>
      </c>
      <c r="F1261" s="32" t="n">
        <f aca="false">IF('Raw Orders'!K1258="Refunded",'Raw Orders'!G1258,0)</f>
        <v>0</v>
      </c>
    </row>
    <row r="1262" customFormat="false" ht="15" hidden="false" customHeight="false" outlineLevel="0" collapsed="false">
      <c r="A1262" s="36" t="n">
        <f aca="false">IF('Raw Orders'!B1259="","",IF(MID('Raw Orders'!B1259,5,1)="-",DATE(VALUE(LEFT('Raw Orders'!B1259,4)),VALUE(MID('Raw Orders'!B1259,6,2)),VALUE(MID('Raw Orders'!B1259,9,2))),DATE(VALUE(MID('Raw Orders'!B1259,7,4)),VALUE(MID('Raw Orders'!B1259,4,2)),VALUE(LEFT('Raw Orders'!B1259,2)))))</f>
        <v>46214</v>
      </c>
      <c r="B1262" s="36" t="n">
        <f aca="false">IF(A1262="","",A1262-WEEKDAY(A1262,3))</f>
        <v>46209</v>
      </c>
      <c r="C1262" s="32" t="n">
        <f aca="false">IF(OR('Raw Orders'!C1259&lt;&gt;"Product",'Raw Orders'!K1259="Cancelled"),0,'Raw Orders'!G1259)</f>
        <v>14</v>
      </c>
      <c r="D1262" s="31" t="n">
        <f aca="false">IF(AND('Raw Orders'!C1259="Product",'Raw Orders'!K1259="Fulfilled",COUNTIFS('Raw Orders'!$A$2:$A1259,'Raw Orders'!A1259,'Raw Orders'!$C$2:$C1259,"Product",'Raw Orders'!$K$2:$K1259,"Fulfilled")=1),1,0)</f>
        <v>0</v>
      </c>
      <c r="E1262" s="31" t="n">
        <f aca="false">IF(AND('Raw Orders'!C1259="Product",'Raw Orders'!K1259="Fulfilled"),'Raw Orders'!E1259,0)</f>
        <v>1</v>
      </c>
      <c r="F1262" s="32" t="n">
        <f aca="false">IF('Raw Orders'!K1259="Refunded",'Raw Orders'!G1259,0)</f>
        <v>0</v>
      </c>
    </row>
    <row r="1263" customFormat="false" ht="15" hidden="false" customHeight="false" outlineLevel="0" collapsed="false">
      <c r="A1263" s="36" t="n">
        <f aca="false">IF('Raw Orders'!B1260="","",IF(MID('Raw Orders'!B1260,5,1)="-",DATE(VALUE(LEFT('Raw Orders'!B1260,4)),VALUE(MID('Raw Orders'!B1260,6,2)),VALUE(MID('Raw Orders'!B1260,9,2))),DATE(VALUE(MID('Raw Orders'!B1260,7,4)),VALUE(MID('Raw Orders'!B1260,4,2)),VALUE(LEFT('Raw Orders'!B1260,2)))))</f>
        <v>46214</v>
      </c>
      <c r="B1263" s="36" t="n">
        <f aca="false">IF(A1263="","",A1263-WEEKDAY(A1263,3))</f>
        <v>46209</v>
      </c>
      <c r="C1263" s="32" t="n">
        <f aca="false">IF(OR('Raw Orders'!C1260&lt;&gt;"Product",'Raw Orders'!K1260="Cancelled"),0,'Raw Orders'!G1260)</f>
        <v>32</v>
      </c>
      <c r="D1263" s="31" t="n">
        <f aca="false">IF(AND('Raw Orders'!C1260="Product",'Raw Orders'!K1260="Fulfilled",COUNTIFS('Raw Orders'!$A$2:$A1260,'Raw Orders'!A1260,'Raw Orders'!$C$2:$C1260,"Product",'Raw Orders'!$K$2:$K1260,"Fulfilled")=1),1,0)</f>
        <v>1</v>
      </c>
      <c r="E1263" s="31" t="n">
        <f aca="false">IF(AND('Raw Orders'!C1260="Product",'Raw Orders'!K1260="Fulfilled"),'Raw Orders'!E1260,0)</f>
        <v>1</v>
      </c>
      <c r="F1263" s="32" t="n">
        <f aca="false">IF('Raw Orders'!K1260="Refunded",'Raw Orders'!G1260,0)</f>
        <v>0</v>
      </c>
    </row>
    <row r="1264" customFormat="false" ht="15" hidden="false" customHeight="false" outlineLevel="0" collapsed="false">
      <c r="A1264" s="36" t="n">
        <f aca="false">IF('Raw Orders'!B1261="","",IF(MID('Raw Orders'!B1261,5,1)="-",DATE(VALUE(LEFT('Raw Orders'!B1261,4)),VALUE(MID('Raw Orders'!B1261,6,2)),VALUE(MID('Raw Orders'!B1261,9,2))),DATE(VALUE(MID('Raw Orders'!B1261,7,4)),VALUE(MID('Raw Orders'!B1261,4,2)),VALUE(LEFT('Raw Orders'!B1261,2)))))</f>
        <v>46214</v>
      </c>
      <c r="B1264" s="36" t="n">
        <f aca="false">IF(A1264="","",A1264-WEEKDAY(A1264,3))</f>
        <v>46209</v>
      </c>
      <c r="C1264" s="32" t="n">
        <f aca="false">IF(OR('Raw Orders'!C1261&lt;&gt;"Product",'Raw Orders'!K1261="Cancelled"),0,'Raw Orders'!G1261)</f>
        <v>150</v>
      </c>
      <c r="D1264" s="31" t="n">
        <f aca="false">IF(AND('Raw Orders'!C1261="Product",'Raw Orders'!K1261="Fulfilled",COUNTIFS('Raw Orders'!$A$2:$A1261,'Raw Orders'!A1261,'Raw Orders'!$C$2:$C1261,"Product",'Raw Orders'!$K$2:$K1261,"Fulfilled")=1),1,0)</f>
        <v>0</v>
      </c>
      <c r="E1264" s="31" t="n">
        <f aca="false">IF(AND('Raw Orders'!C1261="Product",'Raw Orders'!K1261="Fulfilled"),'Raw Orders'!E1261,0)</f>
        <v>2</v>
      </c>
      <c r="F1264" s="32" t="n">
        <f aca="false">IF('Raw Orders'!K1261="Refunded",'Raw Orders'!G1261,0)</f>
        <v>0</v>
      </c>
    </row>
    <row r="1265" customFormat="false" ht="15" hidden="false" customHeight="false" outlineLevel="0" collapsed="false">
      <c r="A1265" s="36" t="n">
        <f aca="false">IF('Raw Orders'!B1262="","",IF(MID('Raw Orders'!B1262,5,1)="-",DATE(VALUE(LEFT('Raw Orders'!B1262,4)),VALUE(MID('Raw Orders'!B1262,6,2)),VALUE(MID('Raw Orders'!B1262,9,2))),DATE(VALUE(MID('Raw Orders'!B1262,7,4)),VALUE(MID('Raw Orders'!B1262,4,2)),VALUE(LEFT('Raw Orders'!B1262,2)))))</f>
        <v>46214</v>
      </c>
      <c r="B1265" s="36" t="n">
        <f aca="false">IF(A1265="","",A1265-WEEKDAY(A1265,3))</f>
        <v>46209</v>
      </c>
      <c r="C1265" s="32" t="n">
        <f aca="false">IF(OR('Raw Orders'!C1262&lt;&gt;"Product",'Raw Orders'!K1262="Cancelled"),0,'Raw Orders'!G1262)</f>
        <v>0</v>
      </c>
      <c r="D1265" s="31" t="n">
        <f aca="false">IF(AND('Raw Orders'!C1262="Product",'Raw Orders'!K1262="Fulfilled",COUNTIFS('Raw Orders'!$A$2:$A1262,'Raw Orders'!A1262,'Raw Orders'!$C$2:$C1262,"Product",'Raw Orders'!$K$2:$K1262,"Fulfilled")=1),1,0)</f>
        <v>0</v>
      </c>
      <c r="E1265" s="31" t="n">
        <f aca="false">IF(AND('Raw Orders'!C1262="Product",'Raw Orders'!K1262="Fulfilled"),'Raw Orders'!E1262,0)</f>
        <v>0</v>
      </c>
      <c r="F1265" s="32" t="n">
        <f aca="false">IF('Raw Orders'!K1262="Refunded",'Raw Orders'!G1262,0)</f>
        <v>0</v>
      </c>
    </row>
    <row r="1266" customFormat="false" ht="15" hidden="false" customHeight="false" outlineLevel="0" collapsed="false">
      <c r="A1266" s="36" t="n">
        <f aca="false">IF('Raw Orders'!B1263="","",IF(MID('Raw Orders'!B1263,5,1)="-",DATE(VALUE(LEFT('Raw Orders'!B1263,4)),VALUE(MID('Raw Orders'!B1263,6,2)),VALUE(MID('Raw Orders'!B1263,9,2))),DATE(VALUE(MID('Raw Orders'!B1263,7,4)),VALUE(MID('Raw Orders'!B1263,4,2)),VALUE(LEFT('Raw Orders'!B1263,2)))))</f>
        <v>46214</v>
      </c>
      <c r="B1266" s="36" t="n">
        <f aca="false">IF(A1266="","",A1266-WEEKDAY(A1266,3))</f>
        <v>46209</v>
      </c>
      <c r="C1266" s="32" t="n">
        <f aca="false">IF(OR('Raw Orders'!C1263&lt;&gt;"Product",'Raw Orders'!K1263="Cancelled"),0,'Raw Orders'!G1263)</f>
        <v>39</v>
      </c>
      <c r="D1266" s="31" t="n">
        <f aca="false">IF(AND('Raw Orders'!C1263="Product",'Raw Orders'!K1263="Fulfilled",COUNTIFS('Raw Orders'!$A$2:$A1263,'Raw Orders'!A1263,'Raw Orders'!$C$2:$C1263,"Product",'Raw Orders'!$K$2:$K1263,"Fulfilled")=1),1,0)</f>
        <v>1</v>
      </c>
      <c r="E1266" s="31" t="n">
        <f aca="false">IF(AND('Raw Orders'!C1263="Product",'Raw Orders'!K1263="Fulfilled"),'Raw Orders'!E1263,0)</f>
        <v>1</v>
      </c>
      <c r="F1266" s="32" t="n">
        <f aca="false">IF('Raw Orders'!K1263="Refunded",'Raw Orders'!G1263,0)</f>
        <v>0</v>
      </c>
    </row>
    <row r="1267" customFormat="false" ht="15" hidden="false" customHeight="false" outlineLevel="0" collapsed="false">
      <c r="A1267" s="36" t="n">
        <f aca="false">IF('Raw Orders'!B1264="","",IF(MID('Raw Orders'!B1264,5,1)="-",DATE(VALUE(LEFT('Raw Orders'!B1264,4)),VALUE(MID('Raw Orders'!B1264,6,2)),VALUE(MID('Raw Orders'!B1264,9,2))),DATE(VALUE(MID('Raw Orders'!B1264,7,4)),VALUE(MID('Raw Orders'!B1264,4,2)),VALUE(LEFT('Raw Orders'!B1264,2)))))</f>
        <v>46214</v>
      </c>
      <c r="B1267" s="36" t="n">
        <f aca="false">IF(A1267="","",A1267-WEEKDAY(A1267,3))</f>
        <v>46209</v>
      </c>
      <c r="C1267" s="32" t="n">
        <f aca="false">IF(OR('Raw Orders'!C1264&lt;&gt;"Product",'Raw Orders'!K1264="Cancelled"),0,'Raw Orders'!G1264)</f>
        <v>0</v>
      </c>
      <c r="D1267" s="31" t="n">
        <f aca="false">IF(AND('Raw Orders'!C1264="Product",'Raw Orders'!K1264="Fulfilled",COUNTIFS('Raw Orders'!$A$2:$A1264,'Raw Orders'!A1264,'Raw Orders'!$C$2:$C1264,"Product",'Raw Orders'!$K$2:$K1264,"Fulfilled")=1),1,0)</f>
        <v>0</v>
      </c>
      <c r="E1267" s="31" t="n">
        <f aca="false">IF(AND('Raw Orders'!C1264="Product",'Raw Orders'!K1264="Fulfilled"),'Raw Orders'!E1264,0)</f>
        <v>0</v>
      </c>
      <c r="F1267" s="32" t="n">
        <f aca="false">IF('Raw Orders'!K1264="Refunded",'Raw Orders'!G1264,0)</f>
        <v>0</v>
      </c>
    </row>
    <row r="1268" customFormat="false" ht="15" hidden="false" customHeight="false" outlineLevel="0" collapsed="false">
      <c r="A1268" s="36" t="n">
        <f aca="false">IF('Raw Orders'!B1265="","",IF(MID('Raw Orders'!B1265,5,1)="-",DATE(VALUE(LEFT('Raw Orders'!B1265,4)),VALUE(MID('Raw Orders'!B1265,6,2)),VALUE(MID('Raw Orders'!B1265,9,2))),DATE(VALUE(MID('Raw Orders'!B1265,7,4)),VALUE(MID('Raw Orders'!B1265,4,2)),VALUE(LEFT('Raw Orders'!B1265,2)))))</f>
        <v>46215</v>
      </c>
      <c r="B1268" s="36" t="n">
        <f aca="false">IF(A1268="","",A1268-WEEKDAY(A1268,3))</f>
        <v>46209</v>
      </c>
      <c r="C1268" s="32" t="n">
        <f aca="false">IF(OR('Raw Orders'!C1265&lt;&gt;"Product",'Raw Orders'!K1265="Cancelled"),0,'Raw Orders'!G1265)</f>
        <v>69</v>
      </c>
      <c r="D1268" s="31" t="n">
        <f aca="false">IF(AND('Raw Orders'!C1265="Product",'Raw Orders'!K1265="Fulfilled",COUNTIFS('Raw Orders'!$A$2:$A1265,'Raw Orders'!A1265,'Raw Orders'!$C$2:$C1265,"Product",'Raw Orders'!$K$2:$K1265,"Fulfilled")=1),1,0)</f>
        <v>1</v>
      </c>
      <c r="E1268" s="31" t="n">
        <f aca="false">IF(AND('Raw Orders'!C1265="Product",'Raw Orders'!K1265="Fulfilled"),'Raw Orders'!E1265,0)</f>
        <v>1</v>
      </c>
      <c r="F1268" s="32" t="n">
        <f aca="false">IF('Raw Orders'!K1265="Refunded",'Raw Orders'!G1265,0)</f>
        <v>0</v>
      </c>
    </row>
    <row r="1269" customFormat="false" ht="15" hidden="false" customHeight="false" outlineLevel="0" collapsed="false">
      <c r="A1269" s="36" t="n">
        <f aca="false">IF('Raw Orders'!B1266="","",IF(MID('Raw Orders'!B1266,5,1)="-",DATE(VALUE(LEFT('Raw Orders'!B1266,4)),VALUE(MID('Raw Orders'!B1266,6,2)),VALUE(MID('Raw Orders'!B1266,9,2))),DATE(VALUE(MID('Raw Orders'!B1266,7,4)),VALUE(MID('Raw Orders'!B1266,4,2)),VALUE(LEFT('Raw Orders'!B1266,2)))))</f>
        <v>46215</v>
      </c>
      <c r="B1269" s="36" t="n">
        <f aca="false">IF(A1269="","",A1269-WEEKDAY(A1269,3))</f>
        <v>46209</v>
      </c>
      <c r="C1269" s="32" t="n">
        <f aca="false">IF(OR('Raw Orders'!C1266&lt;&gt;"Product",'Raw Orders'!K1266="Cancelled"),0,'Raw Orders'!G1266)</f>
        <v>0</v>
      </c>
      <c r="D1269" s="31" t="n">
        <f aca="false">IF(AND('Raw Orders'!C1266="Product",'Raw Orders'!K1266="Fulfilled",COUNTIFS('Raw Orders'!$A$2:$A1266,'Raw Orders'!A1266,'Raw Orders'!$C$2:$C1266,"Product",'Raw Orders'!$K$2:$K1266,"Fulfilled")=1),1,0)</f>
        <v>0</v>
      </c>
      <c r="E1269" s="31" t="n">
        <f aca="false">IF(AND('Raw Orders'!C1266="Product",'Raw Orders'!K1266="Fulfilled"),'Raw Orders'!E1266,0)</f>
        <v>0</v>
      </c>
      <c r="F1269" s="32" t="n">
        <f aca="false">IF('Raw Orders'!K1266="Refunded",'Raw Orders'!G1266,0)</f>
        <v>0</v>
      </c>
    </row>
    <row r="1270" customFormat="false" ht="15" hidden="false" customHeight="false" outlineLevel="0" collapsed="false">
      <c r="A1270" s="36" t="n">
        <f aca="false">IF('Raw Orders'!B1267="","",IF(MID('Raw Orders'!B1267,5,1)="-",DATE(VALUE(LEFT('Raw Orders'!B1267,4)),VALUE(MID('Raw Orders'!B1267,6,2)),VALUE(MID('Raw Orders'!B1267,9,2))),DATE(VALUE(MID('Raw Orders'!B1267,7,4)),VALUE(MID('Raw Orders'!B1267,4,2)),VALUE(LEFT('Raw Orders'!B1267,2)))))</f>
        <v>46215</v>
      </c>
      <c r="B1270" s="36" t="n">
        <f aca="false">IF(A1270="","",A1270-WEEKDAY(A1270,3))</f>
        <v>46209</v>
      </c>
      <c r="C1270" s="32" t="n">
        <f aca="false">IF(OR('Raw Orders'!C1267&lt;&gt;"Product",'Raw Orders'!K1267="Cancelled"),0,'Raw Orders'!G1267)</f>
        <v>78</v>
      </c>
      <c r="D1270" s="31" t="n">
        <f aca="false">IF(AND('Raw Orders'!C1267="Product",'Raw Orders'!K1267="Fulfilled",COUNTIFS('Raw Orders'!$A$2:$A1267,'Raw Orders'!A1267,'Raw Orders'!$C$2:$C1267,"Product",'Raw Orders'!$K$2:$K1267,"Fulfilled")=1),1,0)</f>
        <v>1</v>
      </c>
      <c r="E1270" s="31" t="n">
        <f aca="false">IF(AND('Raw Orders'!C1267="Product",'Raw Orders'!K1267="Fulfilled"),'Raw Orders'!E1267,0)</f>
        <v>2</v>
      </c>
      <c r="F1270" s="32" t="n">
        <f aca="false">IF('Raw Orders'!K1267="Refunded",'Raw Orders'!G1267,0)</f>
        <v>0</v>
      </c>
    </row>
    <row r="1271" customFormat="false" ht="15" hidden="false" customHeight="false" outlineLevel="0" collapsed="false">
      <c r="A1271" s="36" t="n">
        <f aca="false">IF('Raw Orders'!B1268="","",IF(MID('Raw Orders'!B1268,5,1)="-",DATE(VALUE(LEFT('Raw Orders'!B1268,4)),VALUE(MID('Raw Orders'!B1268,6,2)),VALUE(MID('Raw Orders'!B1268,9,2))),DATE(VALUE(MID('Raw Orders'!B1268,7,4)),VALUE(MID('Raw Orders'!B1268,4,2)),VALUE(LEFT('Raw Orders'!B1268,2)))))</f>
        <v>46215</v>
      </c>
      <c r="B1271" s="36" t="n">
        <f aca="false">IF(A1271="","",A1271-WEEKDAY(A1271,3))</f>
        <v>46209</v>
      </c>
      <c r="C1271" s="32" t="n">
        <f aca="false">IF(OR('Raw Orders'!C1268&lt;&gt;"Product",'Raw Orders'!K1268="Cancelled"),0,'Raw Orders'!G1268)</f>
        <v>87</v>
      </c>
      <c r="D1271" s="31" t="n">
        <f aca="false">IF(AND('Raw Orders'!C1268="Product",'Raw Orders'!K1268="Fulfilled",COUNTIFS('Raw Orders'!$A$2:$A1268,'Raw Orders'!A1268,'Raw Orders'!$C$2:$C1268,"Product",'Raw Orders'!$K$2:$K1268,"Fulfilled")=1),1,0)</f>
        <v>0</v>
      </c>
      <c r="E1271" s="31" t="n">
        <f aca="false">IF(AND('Raw Orders'!C1268="Product",'Raw Orders'!K1268="Fulfilled"),'Raw Orders'!E1268,0)</f>
        <v>3</v>
      </c>
      <c r="F1271" s="32" t="n">
        <f aca="false">IF('Raw Orders'!K1268="Refunded",'Raw Orders'!G1268,0)</f>
        <v>0</v>
      </c>
    </row>
    <row r="1272" customFormat="false" ht="15" hidden="false" customHeight="false" outlineLevel="0" collapsed="false">
      <c r="A1272" s="36" t="n">
        <f aca="false">IF('Raw Orders'!B1269="","",IF(MID('Raw Orders'!B1269,5,1)="-",DATE(VALUE(LEFT('Raw Orders'!B1269,4)),VALUE(MID('Raw Orders'!B1269,6,2)),VALUE(MID('Raw Orders'!B1269,9,2))),DATE(VALUE(MID('Raw Orders'!B1269,7,4)),VALUE(MID('Raw Orders'!B1269,4,2)),VALUE(LEFT('Raw Orders'!B1269,2)))))</f>
        <v>46215</v>
      </c>
      <c r="B1272" s="36" t="n">
        <f aca="false">IF(A1272="","",A1272-WEEKDAY(A1272,3))</f>
        <v>46209</v>
      </c>
      <c r="C1272" s="32" t="n">
        <f aca="false">IF(OR('Raw Orders'!C1269&lt;&gt;"Product",'Raw Orders'!K1269="Cancelled"),0,'Raw Orders'!G1269)</f>
        <v>44</v>
      </c>
      <c r="D1272" s="31" t="n">
        <f aca="false">IF(AND('Raw Orders'!C1269="Product",'Raw Orders'!K1269="Fulfilled",COUNTIFS('Raw Orders'!$A$2:$A1269,'Raw Orders'!A1269,'Raw Orders'!$C$2:$C1269,"Product",'Raw Orders'!$K$2:$K1269,"Fulfilled")=1),1,0)</f>
        <v>0</v>
      </c>
      <c r="E1272" s="31" t="n">
        <f aca="false">IF(AND('Raw Orders'!C1269="Product",'Raw Orders'!K1269="Fulfilled"),'Raw Orders'!E1269,0)</f>
        <v>2</v>
      </c>
      <c r="F1272" s="32" t="n">
        <f aca="false">IF('Raw Orders'!K1269="Refunded",'Raw Orders'!G1269,0)</f>
        <v>0</v>
      </c>
    </row>
    <row r="1273" customFormat="false" ht="15" hidden="false" customHeight="false" outlineLevel="0" collapsed="false">
      <c r="A1273" s="36" t="n">
        <f aca="false">IF('Raw Orders'!B1270="","",IF(MID('Raw Orders'!B1270,5,1)="-",DATE(VALUE(LEFT('Raw Orders'!B1270,4)),VALUE(MID('Raw Orders'!B1270,6,2)),VALUE(MID('Raw Orders'!B1270,9,2))),DATE(VALUE(MID('Raw Orders'!B1270,7,4)),VALUE(MID('Raw Orders'!B1270,4,2)),VALUE(LEFT('Raw Orders'!B1270,2)))))</f>
        <v>46215</v>
      </c>
      <c r="B1273" s="36" t="n">
        <f aca="false">IF(A1273="","",A1273-WEEKDAY(A1273,3))</f>
        <v>46209</v>
      </c>
      <c r="C1273" s="32" t="n">
        <f aca="false">IF(OR('Raw Orders'!C1270&lt;&gt;"Product",'Raw Orders'!K1270="Cancelled"),0,'Raw Orders'!G1270)</f>
        <v>0</v>
      </c>
      <c r="D1273" s="31" t="n">
        <f aca="false">IF(AND('Raw Orders'!C1270="Product",'Raw Orders'!K1270="Fulfilled",COUNTIFS('Raw Orders'!$A$2:$A1270,'Raw Orders'!A1270,'Raw Orders'!$C$2:$C1270,"Product",'Raw Orders'!$K$2:$K1270,"Fulfilled")=1),1,0)</f>
        <v>0</v>
      </c>
      <c r="E1273" s="31" t="n">
        <f aca="false">IF(AND('Raw Orders'!C1270="Product",'Raw Orders'!K1270="Fulfilled"),'Raw Orders'!E1270,0)</f>
        <v>0</v>
      </c>
      <c r="F1273" s="32" t="n">
        <f aca="false">IF('Raw Orders'!K1270="Refunded",'Raw Orders'!G1270,0)</f>
        <v>0</v>
      </c>
    </row>
    <row r="1274" customFormat="false" ht="15" hidden="false" customHeight="false" outlineLevel="0" collapsed="false">
      <c r="A1274" s="36" t="n">
        <f aca="false">IF('Raw Orders'!B1271="","",IF(MID('Raw Orders'!B1271,5,1)="-",DATE(VALUE(LEFT('Raw Orders'!B1271,4)),VALUE(MID('Raw Orders'!B1271,6,2)),VALUE(MID('Raw Orders'!B1271,9,2))),DATE(VALUE(MID('Raw Orders'!B1271,7,4)),VALUE(MID('Raw Orders'!B1271,4,2)),VALUE(LEFT('Raw Orders'!B1271,2)))))</f>
        <v>46215</v>
      </c>
      <c r="B1274" s="36" t="n">
        <f aca="false">IF(A1274="","",A1274-WEEKDAY(A1274,3))</f>
        <v>46209</v>
      </c>
      <c r="C1274" s="32" t="n">
        <f aca="false">IF(OR('Raw Orders'!C1271&lt;&gt;"Product",'Raw Orders'!K1271="Cancelled"),0,'Raw Orders'!G1271)</f>
        <v>90</v>
      </c>
      <c r="D1274" s="31" t="n">
        <f aca="false">IF(AND('Raw Orders'!C1271="Product",'Raw Orders'!K1271="Fulfilled",COUNTIFS('Raw Orders'!$A$2:$A1271,'Raw Orders'!A1271,'Raw Orders'!$C$2:$C1271,"Product",'Raw Orders'!$K$2:$K1271,"Fulfilled")=1),1,0)</f>
        <v>1</v>
      </c>
      <c r="E1274" s="31" t="n">
        <f aca="false">IF(AND('Raw Orders'!C1271="Product",'Raw Orders'!K1271="Fulfilled"),'Raw Orders'!E1271,0)</f>
        <v>2</v>
      </c>
      <c r="F1274" s="32" t="n">
        <f aca="false">IF('Raw Orders'!K1271="Refunded",'Raw Orders'!G1271,0)</f>
        <v>0</v>
      </c>
    </row>
    <row r="1275" customFormat="false" ht="15" hidden="false" customHeight="false" outlineLevel="0" collapsed="false">
      <c r="A1275" s="36" t="n">
        <f aca="false">IF('Raw Orders'!B1272="","",IF(MID('Raw Orders'!B1272,5,1)="-",DATE(VALUE(LEFT('Raw Orders'!B1272,4)),VALUE(MID('Raw Orders'!B1272,6,2)),VALUE(MID('Raw Orders'!B1272,9,2))),DATE(VALUE(MID('Raw Orders'!B1272,7,4)),VALUE(MID('Raw Orders'!B1272,4,2)),VALUE(LEFT('Raw Orders'!B1272,2)))))</f>
        <v>46215</v>
      </c>
      <c r="B1275" s="36" t="n">
        <f aca="false">IF(A1275="","",A1275-WEEKDAY(A1275,3))</f>
        <v>46209</v>
      </c>
      <c r="C1275" s="32" t="n">
        <f aca="false">IF(OR('Raw Orders'!C1272&lt;&gt;"Product",'Raw Orders'!K1272="Cancelled"),0,'Raw Orders'!G1272)</f>
        <v>69</v>
      </c>
      <c r="D1275" s="31" t="n">
        <f aca="false">IF(AND('Raw Orders'!C1272="Product",'Raw Orders'!K1272="Fulfilled",COUNTIFS('Raw Orders'!$A$2:$A1272,'Raw Orders'!A1272,'Raw Orders'!$C$2:$C1272,"Product",'Raw Orders'!$K$2:$K1272,"Fulfilled")=1),1,0)</f>
        <v>0</v>
      </c>
      <c r="E1275" s="31" t="n">
        <f aca="false">IF(AND('Raw Orders'!C1272="Product",'Raw Orders'!K1272="Fulfilled"),'Raw Orders'!E1272,0)</f>
        <v>1</v>
      </c>
      <c r="F1275" s="32" t="n">
        <f aca="false">IF('Raw Orders'!K1272="Refunded",'Raw Orders'!G1272,0)</f>
        <v>0</v>
      </c>
    </row>
    <row r="1276" customFormat="false" ht="15" hidden="false" customHeight="false" outlineLevel="0" collapsed="false">
      <c r="A1276" s="36" t="n">
        <f aca="false">IF('Raw Orders'!B1273="","",IF(MID('Raw Orders'!B1273,5,1)="-",DATE(VALUE(LEFT('Raw Orders'!B1273,4)),VALUE(MID('Raw Orders'!B1273,6,2)),VALUE(MID('Raw Orders'!B1273,9,2))),DATE(VALUE(MID('Raw Orders'!B1273,7,4)),VALUE(MID('Raw Orders'!B1273,4,2)),VALUE(LEFT('Raw Orders'!B1273,2)))))</f>
        <v>46215</v>
      </c>
      <c r="B1276" s="36" t="n">
        <f aca="false">IF(A1276="","",A1276-WEEKDAY(A1276,3))</f>
        <v>46209</v>
      </c>
      <c r="C1276" s="32" t="n">
        <f aca="false">IF(OR('Raw Orders'!C1273&lt;&gt;"Product",'Raw Orders'!K1273="Cancelled"),0,'Raw Orders'!G1273)</f>
        <v>0</v>
      </c>
      <c r="D1276" s="31" t="n">
        <f aca="false">IF(AND('Raw Orders'!C1273="Product",'Raw Orders'!K1273="Fulfilled",COUNTIFS('Raw Orders'!$A$2:$A1273,'Raw Orders'!A1273,'Raw Orders'!$C$2:$C1273,"Product",'Raw Orders'!$K$2:$K1273,"Fulfilled")=1),1,0)</f>
        <v>0</v>
      </c>
      <c r="E1276" s="31" t="n">
        <f aca="false">IF(AND('Raw Orders'!C1273="Product",'Raw Orders'!K1273="Fulfilled"),'Raw Orders'!E1273,0)</f>
        <v>0</v>
      </c>
      <c r="F1276" s="32" t="n">
        <f aca="false">IF('Raw Orders'!K1273="Refunded",'Raw Orders'!G1273,0)</f>
        <v>0</v>
      </c>
    </row>
    <row r="1277" customFormat="false" ht="15" hidden="false" customHeight="false" outlineLevel="0" collapsed="false">
      <c r="A1277" s="36" t="n">
        <f aca="false">IF('Raw Orders'!B1274="","",IF(MID('Raw Orders'!B1274,5,1)="-",DATE(VALUE(LEFT('Raw Orders'!B1274,4)),VALUE(MID('Raw Orders'!B1274,6,2)),VALUE(MID('Raw Orders'!B1274,9,2))),DATE(VALUE(MID('Raw Orders'!B1274,7,4)),VALUE(MID('Raw Orders'!B1274,4,2)),VALUE(LEFT('Raw Orders'!B1274,2)))))</f>
        <v>46215</v>
      </c>
      <c r="B1277" s="36" t="n">
        <f aca="false">IF(A1277="","",A1277-WEEKDAY(A1277,3))</f>
        <v>46209</v>
      </c>
      <c r="C1277" s="32" t="n">
        <f aca="false">IF(OR('Raw Orders'!C1274&lt;&gt;"Product",'Raw Orders'!K1274="Cancelled"),0,'Raw Orders'!G1274)</f>
        <v>138</v>
      </c>
      <c r="D1277" s="31" t="n">
        <f aca="false">IF(AND('Raw Orders'!C1274="Product",'Raw Orders'!K1274="Fulfilled",COUNTIFS('Raw Orders'!$A$2:$A1274,'Raw Orders'!A1274,'Raw Orders'!$C$2:$C1274,"Product",'Raw Orders'!$K$2:$K1274,"Fulfilled")=1),1,0)</f>
        <v>1</v>
      </c>
      <c r="E1277" s="31" t="n">
        <f aca="false">IF(AND('Raw Orders'!C1274="Product",'Raw Orders'!K1274="Fulfilled"),'Raw Orders'!E1274,0)</f>
        <v>2</v>
      </c>
      <c r="F1277" s="32" t="n">
        <f aca="false">IF('Raw Orders'!K1274="Refunded",'Raw Orders'!G1274,0)</f>
        <v>0</v>
      </c>
    </row>
    <row r="1278" customFormat="false" ht="15" hidden="false" customHeight="false" outlineLevel="0" collapsed="false">
      <c r="A1278" s="36" t="n">
        <f aca="false">IF('Raw Orders'!B1275="","",IF(MID('Raw Orders'!B1275,5,1)="-",DATE(VALUE(LEFT('Raw Orders'!B1275,4)),VALUE(MID('Raw Orders'!B1275,6,2)),VALUE(MID('Raw Orders'!B1275,9,2))),DATE(VALUE(MID('Raw Orders'!B1275,7,4)),VALUE(MID('Raw Orders'!B1275,4,2)),VALUE(LEFT('Raw Orders'!B1275,2)))))</f>
        <v>46215</v>
      </c>
      <c r="B1278" s="36" t="n">
        <f aca="false">IF(A1278="","",A1278-WEEKDAY(A1278,3))</f>
        <v>46209</v>
      </c>
      <c r="C1278" s="32" t="n">
        <f aca="false">IF(OR('Raw Orders'!C1275&lt;&gt;"Product",'Raw Orders'!K1275="Cancelled"),0,'Raw Orders'!G1275)</f>
        <v>0</v>
      </c>
      <c r="D1278" s="31" t="n">
        <f aca="false">IF(AND('Raw Orders'!C1275="Product",'Raw Orders'!K1275="Fulfilled",COUNTIFS('Raw Orders'!$A$2:$A1275,'Raw Orders'!A1275,'Raw Orders'!$C$2:$C1275,"Product",'Raw Orders'!$K$2:$K1275,"Fulfilled")=1),1,0)</f>
        <v>0</v>
      </c>
      <c r="E1278" s="31" t="n">
        <f aca="false">IF(AND('Raw Orders'!C1275="Product",'Raw Orders'!K1275="Fulfilled"),'Raw Orders'!E1275,0)</f>
        <v>0</v>
      </c>
      <c r="F1278" s="32" t="n">
        <f aca="false">IF('Raw Orders'!K1275="Refunded",'Raw Orders'!G1275,0)</f>
        <v>0</v>
      </c>
    </row>
    <row r="1279" customFormat="false" ht="15" hidden="false" customHeight="false" outlineLevel="0" collapsed="false">
      <c r="A1279" s="36" t="n">
        <f aca="false">IF('Raw Orders'!B1276="","",IF(MID('Raw Orders'!B1276,5,1)="-",DATE(VALUE(LEFT('Raw Orders'!B1276,4)),VALUE(MID('Raw Orders'!B1276,6,2)),VALUE(MID('Raw Orders'!B1276,9,2))),DATE(VALUE(MID('Raw Orders'!B1276,7,4)),VALUE(MID('Raw Orders'!B1276,4,2)),VALUE(LEFT('Raw Orders'!B1276,2)))))</f>
        <v>46215</v>
      </c>
      <c r="B1279" s="36" t="n">
        <f aca="false">IF(A1279="","",A1279-WEEKDAY(A1279,3))</f>
        <v>46209</v>
      </c>
      <c r="C1279" s="32" t="n">
        <f aca="false">IF(OR('Raw Orders'!C1276&lt;&gt;"Product",'Raw Orders'!K1276="Cancelled"),0,'Raw Orders'!G1276)</f>
        <v>29</v>
      </c>
      <c r="D1279" s="31" t="n">
        <f aca="false">IF(AND('Raw Orders'!C1276="Product",'Raw Orders'!K1276="Fulfilled",COUNTIFS('Raw Orders'!$A$2:$A1276,'Raw Orders'!A1276,'Raw Orders'!$C$2:$C1276,"Product",'Raw Orders'!$K$2:$K1276,"Fulfilled")=1),1,0)</f>
        <v>1</v>
      </c>
      <c r="E1279" s="31" t="n">
        <f aca="false">IF(AND('Raw Orders'!C1276="Product",'Raw Orders'!K1276="Fulfilled"),'Raw Orders'!E1276,0)</f>
        <v>1</v>
      </c>
      <c r="F1279" s="32" t="n">
        <f aca="false">IF('Raw Orders'!K1276="Refunded",'Raw Orders'!G1276,0)</f>
        <v>0</v>
      </c>
    </row>
    <row r="1280" customFormat="false" ht="15" hidden="false" customHeight="false" outlineLevel="0" collapsed="false">
      <c r="A1280" s="36" t="n">
        <f aca="false">IF('Raw Orders'!B1277="","",IF(MID('Raw Orders'!B1277,5,1)="-",DATE(VALUE(LEFT('Raw Orders'!B1277,4)),VALUE(MID('Raw Orders'!B1277,6,2)),VALUE(MID('Raw Orders'!B1277,9,2))),DATE(VALUE(MID('Raw Orders'!B1277,7,4)),VALUE(MID('Raw Orders'!B1277,4,2)),VALUE(LEFT('Raw Orders'!B1277,2)))))</f>
        <v>46215</v>
      </c>
      <c r="B1280" s="36" t="n">
        <f aca="false">IF(A1280="","",A1280-WEEKDAY(A1280,3))</f>
        <v>46209</v>
      </c>
      <c r="C1280" s="32" t="n">
        <f aca="false">IF(OR('Raw Orders'!C1277&lt;&gt;"Product",'Raw Orders'!K1277="Cancelled"),0,'Raw Orders'!G1277)</f>
        <v>32</v>
      </c>
      <c r="D1280" s="31" t="n">
        <f aca="false">IF(AND('Raw Orders'!C1277="Product",'Raw Orders'!K1277="Fulfilled",COUNTIFS('Raw Orders'!$A$2:$A1277,'Raw Orders'!A1277,'Raw Orders'!$C$2:$C1277,"Product",'Raw Orders'!$K$2:$K1277,"Fulfilled")=1),1,0)</f>
        <v>0</v>
      </c>
      <c r="E1280" s="31" t="n">
        <f aca="false">IF(AND('Raw Orders'!C1277="Product",'Raw Orders'!K1277="Fulfilled"),'Raw Orders'!E1277,0)</f>
        <v>1</v>
      </c>
      <c r="F1280" s="32" t="n">
        <f aca="false">IF('Raw Orders'!K1277="Refunded",'Raw Orders'!G1277,0)</f>
        <v>0</v>
      </c>
    </row>
    <row r="1281" customFormat="false" ht="15" hidden="false" customHeight="false" outlineLevel="0" collapsed="false">
      <c r="A1281" s="36" t="n">
        <f aca="false">IF('Raw Orders'!B1278="","",IF(MID('Raw Orders'!B1278,5,1)="-",DATE(VALUE(LEFT('Raw Orders'!B1278,4)),VALUE(MID('Raw Orders'!B1278,6,2)),VALUE(MID('Raw Orders'!B1278,9,2))),DATE(VALUE(MID('Raw Orders'!B1278,7,4)),VALUE(MID('Raw Orders'!B1278,4,2)),VALUE(LEFT('Raw Orders'!B1278,2)))))</f>
        <v>46215</v>
      </c>
      <c r="B1281" s="36" t="n">
        <f aca="false">IF(A1281="","",A1281-WEEKDAY(A1281,3))</f>
        <v>46209</v>
      </c>
      <c r="C1281" s="32" t="n">
        <f aca="false">IF(OR('Raw Orders'!C1278&lt;&gt;"Product",'Raw Orders'!K1278="Cancelled"),0,'Raw Orders'!G1278)</f>
        <v>0</v>
      </c>
      <c r="D1281" s="31" t="n">
        <f aca="false">IF(AND('Raw Orders'!C1278="Product",'Raw Orders'!K1278="Fulfilled",COUNTIFS('Raw Orders'!$A$2:$A1278,'Raw Orders'!A1278,'Raw Orders'!$C$2:$C1278,"Product",'Raw Orders'!$K$2:$K1278,"Fulfilled")=1),1,0)</f>
        <v>0</v>
      </c>
      <c r="E1281" s="31" t="n">
        <f aca="false">IF(AND('Raw Orders'!C1278="Product",'Raw Orders'!K1278="Fulfilled"),'Raw Orders'!E1278,0)</f>
        <v>0</v>
      </c>
      <c r="F1281" s="32" t="n">
        <f aca="false">IF('Raw Orders'!K1278="Refunded",'Raw Orders'!G1278,0)</f>
        <v>0</v>
      </c>
    </row>
    <row r="1282" customFormat="false" ht="15" hidden="false" customHeight="false" outlineLevel="0" collapsed="false">
      <c r="A1282" s="36" t="n">
        <f aca="false">IF('Raw Orders'!B1279="","",IF(MID('Raw Orders'!B1279,5,1)="-",DATE(VALUE(LEFT('Raw Orders'!B1279,4)),VALUE(MID('Raw Orders'!B1279,6,2)),VALUE(MID('Raw Orders'!B1279,9,2))),DATE(VALUE(MID('Raw Orders'!B1279,7,4)),VALUE(MID('Raw Orders'!B1279,4,2)),VALUE(LEFT('Raw Orders'!B1279,2)))))</f>
        <v>46216</v>
      </c>
      <c r="B1282" s="36" t="n">
        <f aca="false">IF(A1282="","",A1282-WEEKDAY(A1282,3))</f>
        <v>46216</v>
      </c>
      <c r="C1282" s="32" t="n">
        <f aca="false">IF(OR('Raw Orders'!C1279&lt;&gt;"Product",'Raw Orders'!K1279="Cancelled"),0,'Raw Orders'!G1279)</f>
        <v>0</v>
      </c>
      <c r="D1282" s="31" t="n">
        <f aca="false">IF(AND('Raw Orders'!C1279="Product",'Raw Orders'!K1279="Fulfilled",COUNTIFS('Raw Orders'!$A$2:$A1279,'Raw Orders'!A1279,'Raw Orders'!$C$2:$C1279,"Product",'Raw Orders'!$K$2:$K1279,"Fulfilled")=1),1,0)</f>
        <v>0</v>
      </c>
      <c r="E1282" s="31" t="n">
        <f aca="false">IF(AND('Raw Orders'!C1279="Product",'Raw Orders'!K1279="Fulfilled"),'Raw Orders'!E1279,0)</f>
        <v>0</v>
      </c>
      <c r="F1282" s="32" t="n">
        <f aca="false">IF('Raw Orders'!K1279="Refunded",'Raw Orders'!G1279,0)</f>
        <v>0</v>
      </c>
    </row>
    <row r="1283" customFormat="false" ht="15" hidden="false" customHeight="false" outlineLevel="0" collapsed="false">
      <c r="A1283" s="36" t="n">
        <f aca="false">IF('Raw Orders'!B1280="","",IF(MID('Raw Orders'!B1280,5,1)="-",DATE(VALUE(LEFT('Raw Orders'!B1280,4)),VALUE(MID('Raw Orders'!B1280,6,2)),VALUE(MID('Raw Orders'!B1280,9,2))),DATE(VALUE(MID('Raw Orders'!B1280,7,4)),VALUE(MID('Raw Orders'!B1280,4,2)),VALUE(LEFT('Raw Orders'!B1280,2)))))</f>
        <v>46216</v>
      </c>
      <c r="B1283" s="36" t="n">
        <f aca="false">IF(A1283="","",A1283-WEEKDAY(A1283,3))</f>
        <v>46216</v>
      </c>
      <c r="C1283" s="32" t="n">
        <f aca="false">IF(OR('Raw Orders'!C1280&lt;&gt;"Product",'Raw Orders'!K1280="Cancelled"),0,'Raw Orders'!G1280)</f>
        <v>44</v>
      </c>
      <c r="D1283" s="31" t="n">
        <f aca="false">IF(AND('Raw Orders'!C1280="Product",'Raw Orders'!K1280="Fulfilled",COUNTIFS('Raw Orders'!$A$2:$A1280,'Raw Orders'!A1280,'Raw Orders'!$C$2:$C1280,"Product",'Raw Orders'!$K$2:$K1280,"Fulfilled")=1),1,0)</f>
        <v>1</v>
      </c>
      <c r="E1283" s="31" t="n">
        <f aca="false">IF(AND('Raw Orders'!C1280="Product",'Raw Orders'!K1280="Fulfilled"),'Raw Orders'!E1280,0)</f>
        <v>2</v>
      </c>
      <c r="F1283" s="32" t="n">
        <f aca="false">IF('Raw Orders'!K1280="Refunded",'Raw Orders'!G1280,0)</f>
        <v>0</v>
      </c>
    </row>
    <row r="1284" customFormat="false" ht="15" hidden="false" customHeight="false" outlineLevel="0" collapsed="false">
      <c r="A1284" s="36" t="n">
        <f aca="false">IF('Raw Orders'!B1281="","",IF(MID('Raw Orders'!B1281,5,1)="-",DATE(VALUE(LEFT('Raw Orders'!B1281,4)),VALUE(MID('Raw Orders'!B1281,6,2)),VALUE(MID('Raw Orders'!B1281,9,2))),DATE(VALUE(MID('Raw Orders'!B1281,7,4)),VALUE(MID('Raw Orders'!B1281,4,2)),VALUE(LEFT('Raw Orders'!B1281,2)))))</f>
        <v>46216</v>
      </c>
      <c r="B1284" s="36" t="n">
        <f aca="false">IF(A1284="","",A1284-WEEKDAY(A1284,3))</f>
        <v>46216</v>
      </c>
      <c r="C1284" s="32" t="n">
        <f aca="false">IF(OR('Raw Orders'!C1281&lt;&gt;"Product",'Raw Orders'!K1281="Cancelled"),0,'Raw Orders'!G1281)</f>
        <v>0</v>
      </c>
      <c r="D1284" s="31" t="n">
        <f aca="false">IF(AND('Raw Orders'!C1281="Product",'Raw Orders'!K1281="Fulfilled",COUNTIFS('Raw Orders'!$A$2:$A1281,'Raw Orders'!A1281,'Raw Orders'!$C$2:$C1281,"Product",'Raw Orders'!$K$2:$K1281,"Fulfilled")=1),1,0)</f>
        <v>0</v>
      </c>
      <c r="E1284" s="31" t="n">
        <f aca="false">IF(AND('Raw Orders'!C1281="Product",'Raw Orders'!K1281="Fulfilled"),'Raw Orders'!E1281,0)</f>
        <v>0</v>
      </c>
      <c r="F1284" s="32" t="n">
        <f aca="false">IF('Raw Orders'!K1281="Refunded",'Raw Orders'!G1281,0)</f>
        <v>0</v>
      </c>
    </row>
    <row r="1285" customFormat="false" ht="15" hidden="false" customHeight="false" outlineLevel="0" collapsed="false">
      <c r="A1285" s="36" t="n">
        <f aca="false">IF('Raw Orders'!B1282="","",IF(MID('Raw Orders'!B1282,5,1)="-",DATE(VALUE(LEFT('Raw Orders'!B1282,4)),VALUE(MID('Raw Orders'!B1282,6,2)),VALUE(MID('Raw Orders'!B1282,9,2))),DATE(VALUE(MID('Raw Orders'!B1282,7,4)),VALUE(MID('Raw Orders'!B1282,4,2)),VALUE(LEFT('Raw Orders'!B1282,2)))))</f>
        <v>46216</v>
      </c>
      <c r="B1285" s="36" t="n">
        <f aca="false">IF(A1285="","",A1285-WEEKDAY(A1285,3))</f>
        <v>46216</v>
      </c>
      <c r="C1285" s="32" t="n">
        <f aca="false">IF(OR('Raw Orders'!C1282&lt;&gt;"Product",'Raw Orders'!K1282="Cancelled"),0,'Raw Orders'!G1282)</f>
        <v>0</v>
      </c>
      <c r="D1285" s="31" t="n">
        <f aca="false">IF(AND('Raw Orders'!C1282="Product",'Raw Orders'!K1282="Fulfilled",COUNTIFS('Raw Orders'!$A$2:$A1282,'Raw Orders'!A1282,'Raw Orders'!$C$2:$C1282,"Product",'Raw Orders'!$K$2:$K1282,"Fulfilled")=1),1,0)</f>
        <v>0</v>
      </c>
      <c r="E1285" s="31" t="n">
        <f aca="false">IF(AND('Raw Orders'!C1282="Product",'Raw Orders'!K1282="Fulfilled"),'Raw Orders'!E1282,0)</f>
        <v>0</v>
      </c>
      <c r="F1285" s="32" t="n">
        <f aca="false">IF('Raw Orders'!K1282="Refunded",'Raw Orders'!G1282,0)</f>
        <v>0</v>
      </c>
    </row>
    <row r="1286" customFormat="false" ht="15" hidden="false" customHeight="false" outlineLevel="0" collapsed="false">
      <c r="A1286" s="36" t="n">
        <f aca="false">IF('Raw Orders'!B1283="","",IF(MID('Raw Orders'!B1283,5,1)="-",DATE(VALUE(LEFT('Raw Orders'!B1283,4)),VALUE(MID('Raw Orders'!B1283,6,2)),VALUE(MID('Raw Orders'!B1283,9,2))),DATE(VALUE(MID('Raw Orders'!B1283,7,4)),VALUE(MID('Raw Orders'!B1283,4,2)),VALUE(LEFT('Raw Orders'!B1283,2)))))</f>
        <v>46216</v>
      </c>
      <c r="B1286" s="36" t="n">
        <f aca="false">IF(A1286="","",A1286-WEEKDAY(A1286,3))</f>
        <v>46216</v>
      </c>
      <c r="C1286" s="32" t="n">
        <f aca="false">IF(OR('Raw Orders'!C1283&lt;&gt;"Product",'Raw Orders'!K1283="Cancelled"),0,'Raw Orders'!G1283)</f>
        <v>0</v>
      </c>
      <c r="D1286" s="31" t="n">
        <f aca="false">IF(AND('Raw Orders'!C1283="Product",'Raw Orders'!K1283="Fulfilled",COUNTIFS('Raw Orders'!$A$2:$A1283,'Raw Orders'!A1283,'Raw Orders'!$C$2:$C1283,"Product",'Raw Orders'!$K$2:$K1283,"Fulfilled")=1),1,0)</f>
        <v>0</v>
      </c>
      <c r="E1286" s="31" t="n">
        <f aca="false">IF(AND('Raw Orders'!C1283="Product",'Raw Orders'!K1283="Fulfilled"),'Raw Orders'!E1283,0)</f>
        <v>0</v>
      </c>
      <c r="F1286" s="32" t="n">
        <f aca="false">IF('Raw Orders'!K1283="Refunded",'Raw Orders'!G1283,0)</f>
        <v>0</v>
      </c>
    </row>
    <row r="1287" customFormat="false" ht="15" hidden="false" customHeight="false" outlineLevel="0" collapsed="false">
      <c r="A1287" s="36" t="n">
        <f aca="false">IF('Raw Orders'!B1284="","",IF(MID('Raw Orders'!B1284,5,1)="-",DATE(VALUE(LEFT('Raw Orders'!B1284,4)),VALUE(MID('Raw Orders'!B1284,6,2)),VALUE(MID('Raw Orders'!B1284,9,2))),DATE(VALUE(MID('Raw Orders'!B1284,7,4)),VALUE(MID('Raw Orders'!B1284,4,2)),VALUE(LEFT('Raw Orders'!B1284,2)))))</f>
        <v>46216</v>
      </c>
      <c r="B1287" s="36" t="n">
        <f aca="false">IF(A1287="","",A1287-WEEKDAY(A1287,3))</f>
        <v>46216</v>
      </c>
      <c r="C1287" s="32" t="n">
        <f aca="false">IF(OR('Raw Orders'!C1284&lt;&gt;"Product",'Raw Orders'!K1284="Cancelled"),0,'Raw Orders'!G1284)</f>
        <v>0</v>
      </c>
      <c r="D1287" s="31" t="n">
        <f aca="false">IF(AND('Raw Orders'!C1284="Product",'Raw Orders'!K1284="Fulfilled",COUNTIFS('Raw Orders'!$A$2:$A1284,'Raw Orders'!A1284,'Raw Orders'!$C$2:$C1284,"Product",'Raw Orders'!$K$2:$K1284,"Fulfilled")=1),1,0)</f>
        <v>0</v>
      </c>
      <c r="E1287" s="31" t="n">
        <f aca="false">IF(AND('Raw Orders'!C1284="Product",'Raw Orders'!K1284="Fulfilled"),'Raw Orders'!E1284,0)</f>
        <v>0</v>
      </c>
      <c r="F1287" s="32" t="n">
        <f aca="false">IF('Raw Orders'!K1284="Refunded",'Raw Orders'!G1284,0)</f>
        <v>0</v>
      </c>
    </row>
    <row r="1288" customFormat="false" ht="15" hidden="false" customHeight="false" outlineLevel="0" collapsed="false">
      <c r="A1288" s="36" t="n">
        <f aca="false">IF('Raw Orders'!B1285="","",IF(MID('Raw Orders'!B1285,5,1)="-",DATE(VALUE(LEFT('Raw Orders'!B1285,4)),VALUE(MID('Raw Orders'!B1285,6,2)),VALUE(MID('Raw Orders'!B1285,9,2))),DATE(VALUE(MID('Raw Orders'!B1285,7,4)),VALUE(MID('Raw Orders'!B1285,4,2)),VALUE(LEFT('Raw Orders'!B1285,2)))))</f>
        <v>46216</v>
      </c>
      <c r="B1288" s="36" t="n">
        <f aca="false">IF(A1288="","",A1288-WEEKDAY(A1288,3))</f>
        <v>46216</v>
      </c>
      <c r="C1288" s="32" t="n">
        <f aca="false">IF(OR('Raw Orders'!C1285&lt;&gt;"Product",'Raw Orders'!K1285="Cancelled"),0,'Raw Orders'!G1285)</f>
        <v>89</v>
      </c>
      <c r="D1288" s="31" t="n">
        <f aca="false">IF(AND('Raw Orders'!C1285="Product",'Raw Orders'!K1285="Fulfilled",COUNTIFS('Raw Orders'!$A$2:$A1285,'Raw Orders'!A1285,'Raw Orders'!$C$2:$C1285,"Product",'Raw Orders'!$K$2:$K1285,"Fulfilled")=1),1,0)</f>
        <v>1</v>
      </c>
      <c r="E1288" s="31" t="n">
        <f aca="false">IF(AND('Raw Orders'!C1285="Product",'Raw Orders'!K1285="Fulfilled"),'Raw Orders'!E1285,0)</f>
        <v>1</v>
      </c>
      <c r="F1288" s="32" t="n">
        <f aca="false">IF('Raw Orders'!K1285="Refunded",'Raw Orders'!G1285,0)</f>
        <v>0</v>
      </c>
    </row>
    <row r="1289" customFormat="false" ht="15" hidden="false" customHeight="false" outlineLevel="0" collapsed="false">
      <c r="A1289" s="36" t="n">
        <f aca="false">IF('Raw Orders'!B1286="","",IF(MID('Raw Orders'!B1286,5,1)="-",DATE(VALUE(LEFT('Raw Orders'!B1286,4)),VALUE(MID('Raw Orders'!B1286,6,2)),VALUE(MID('Raw Orders'!B1286,9,2))),DATE(VALUE(MID('Raw Orders'!B1286,7,4)),VALUE(MID('Raw Orders'!B1286,4,2)),VALUE(LEFT('Raw Orders'!B1286,2)))))</f>
        <v>46216</v>
      </c>
      <c r="B1289" s="36" t="n">
        <f aca="false">IF(A1289="","",A1289-WEEKDAY(A1289,3))</f>
        <v>46216</v>
      </c>
      <c r="C1289" s="32" t="n">
        <f aca="false">IF(OR('Raw Orders'!C1286&lt;&gt;"Product",'Raw Orders'!K1286="Cancelled"),0,'Raw Orders'!G1286)</f>
        <v>207</v>
      </c>
      <c r="D1289" s="31" t="n">
        <f aca="false">IF(AND('Raw Orders'!C1286="Product",'Raw Orders'!K1286="Fulfilled",COUNTIFS('Raw Orders'!$A$2:$A1286,'Raw Orders'!A1286,'Raw Orders'!$C$2:$C1286,"Product",'Raw Orders'!$K$2:$K1286,"Fulfilled")=1),1,0)</f>
        <v>1</v>
      </c>
      <c r="E1289" s="31" t="n">
        <f aca="false">IF(AND('Raw Orders'!C1286="Product",'Raw Orders'!K1286="Fulfilled"),'Raw Orders'!E1286,0)</f>
        <v>3</v>
      </c>
      <c r="F1289" s="32" t="n">
        <f aca="false">IF('Raw Orders'!K1286="Refunded",'Raw Orders'!G1286,0)</f>
        <v>0</v>
      </c>
    </row>
    <row r="1290" customFormat="false" ht="15" hidden="false" customHeight="false" outlineLevel="0" collapsed="false">
      <c r="A1290" s="36" t="n">
        <f aca="false">IF('Raw Orders'!B1287="","",IF(MID('Raw Orders'!B1287,5,1)="-",DATE(VALUE(LEFT('Raw Orders'!B1287,4)),VALUE(MID('Raw Orders'!B1287,6,2)),VALUE(MID('Raw Orders'!B1287,9,2))),DATE(VALUE(MID('Raw Orders'!B1287,7,4)),VALUE(MID('Raw Orders'!B1287,4,2)),VALUE(LEFT('Raw Orders'!B1287,2)))))</f>
        <v>46216</v>
      </c>
      <c r="B1290" s="36" t="n">
        <f aca="false">IF(A1290="","",A1290-WEEKDAY(A1290,3))</f>
        <v>46216</v>
      </c>
      <c r="C1290" s="32" t="n">
        <f aca="false">IF(OR('Raw Orders'!C1287&lt;&gt;"Product",'Raw Orders'!K1287="Cancelled"),0,'Raw Orders'!G1287)</f>
        <v>26</v>
      </c>
      <c r="D1290" s="31" t="n">
        <f aca="false">IF(AND('Raw Orders'!C1287="Product",'Raw Orders'!K1287="Fulfilled",COUNTIFS('Raw Orders'!$A$2:$A1287,'Raw Orders'!A1287,'Raw Orders'!$C$2:$C1287,"Product",'Raw Orders'!$K$2:$K1287,"Fulfilled")=1),1,0)</f>
        <v>1</v>
      </c>
      <c r="E1290" s="31" t="n">
        <f aca="false">IF(AND('Raw Orders'!C1287="Product",'Raw Orders'!K1287="Fulfilled"),'Raw Orders'!E1287,0)</f>
        <v>1</v>
      </c>
      <c r="F1290" s="32" t="n">
        <f aca="false">IF('Raw Orders'!K1287="Refunded",'Raw Orders'!G1287,0)</f>
        <v>0</v>
      </c>
    </row>
    <row r="1291" customFormat="false" ht="15" hidden="false" customHeight="false" outlineLevel="0" collapsed="false">
      <c r="A1291" s="36" t="n">
        <f aca="false">IF('Raw Orders'!B1288="","",IF(MID('Raw Orders'!B1288,5,1)="-",DATE(VALUE(LEFT('Raw Orders'!B1288,4)),VALUE(MID('Raw Orders'!B1288,6,2)),VALUE(MID('Raw Orders'!B1288,9,2))),DATE(VALUE(MID('Raw Orders'!B1288,7,4)),VALUE(MID('Raw Orders'!B1288,4,2)),VALUE(LEFT('Raw Orders'!B1288,2)))))</f>
        <v>46216</v>
      </c>
      <c r="B1291" s="36" t="n">
        <f aca="false">IF(A1291="","",A1291-WEEKDAY(A1291,3))</f>
        <v>46216</v>
      </c>
      <c r="C1291" s="32" t="n">
        <f aca="false">IF(OR('Raw Orders'!C1288&lt;&gt;"Product",'Raw Orders'!K1288="Cancelled"),0,'Raw Orders'!G1288)</f>
        <v>44</v>
      </c>
      <c r="D1291" s="31" t="n">
        <f aca="false">IF(AND('Raw Orders'!C1288="Product",'Raw Orders'!K1288="Fulfilled",COUNTIFS('Raw Orders'!$A$2:$A1288,'Raw Orders'!A1288,'Raw Orders'!$C$2:$C1288,"Product",'Raw Orders'!$K$2:$K1288,"Fulfilled")=1),1,0)</f>
        <v>1</v>
      </c>
      <c r="E1291" s="31" t="n">
        <f aca="false">IF(AND('Raw Orders'!C1288="Product",'Raw Orders'!K1288="Fulfilled"),'Raw Orders'!E1288,0)</f>
        <v>2</v>
      </c>
      <c r="F1291" s="32" t="n">
        <f aca="false">IF('Raw Orders'!K1288="Refunded",'Raw Orders'!G1288,0)</f>
        <v>0</v>
      </c>
    </row>
    <row r="1292" customFormat="false" ht="15" hidden="false" customHeight="false" outlineLevel="0" collapsed="false">
      <c r="A1292" s="36" t="n">
        <f aca="false">IF('Raw Orders'!B1289="","",IF(MID('Raw Orders'!B1289,5,1)="-",DATE(VALUE(LEFT('Raw Orders'!B1289,4)),VALUE(MID('Raw Orders'!B1289,6,2)),VALUE(MID('Raw Orders'!B1289,9,2))),DATE(VALUE(MID('Raw Orders'!B1289,7,4)),VALUE(MID('Raw Orders'!B1289,4,2)),VALUE(LEFT('Raw Orders'!B1289,2)))))</f>
        <v>46216</v>
      </c>
      <c r="B1292" s="36" t="n">
        <f aca="false">IF(A1292="","",A1292-WEEKDAY(A1292,3))</f>
        <v>46216</v>
      </c>
      <c r="C1292" s="32" t="n">
        <f aca="false">IF(OR('Raw Orders'!C1289&lt;&gt;"Product",'Raw Orders'!K1289="Cancelled"),0,'Raw Orders'!G1289)</f>
        <v>78</v>
      </c>
      <c r="D1292" s="31" t="n">
        <f aca="false">IF(AND('Raw Orders'!C1289="Product",'Raw Orders'!K1289="Fulfilled",COUNTIFS('Raw Orders'!$A$2:$A1289,'Raw Orders'!A1289,'Raw Orders'!$C$2:$C1289,"Product",'Raw Orders'!$K$2:$K1289,"Fulfilled")=1),1,0)</f>
        <v>1</v>
      </c>
      <c r="E1292" s="31" t="n">
        <f aca="false">IF(AND('Raw Orders'!C1289="Product",'Raw Orders'!K1289="Fulfilled"),'Raw Orders'!E1289,0)</f>
        <v>2</v>
      </c>
      <c r="F1292" s="32" t="n">
        <f aca="false">IF('Raw Orders'!K1289="Refunded",'Raw Orders'!G1289,0)</f>
        <v>0</v>
      </c>
    </row>
    <row r="1293" customFormat="false" ht="15" hidden="false" customHeight="false" outlineLevel="0" collapsed="false">
      <c r="A1293" s="36" t="n">
        <f aca="false">IF('Raw Orders'!B1290="","",IF(MID('Raw Orders'!B1290,5,1)="-",DATE(VALUE(LEFT('Raw Orders'!B1290,4)),VALUE(MID('Raw Orders'!B1290,6,2)),VALUE(MID('Raw Orders'!B1290,9,2))),DATE(VALUE(MID('Raw Orders'!B1290,7,4)),VALUE(MID('Raw Orders'!B1290,4,2)),VALUE(LEFT('Raw Orders'!B1290,2)))))</f>
        <v>46216</v>
      </c>
      <c r="B1293" s="36" t="n">
        <f aca="false">IF(A1293="","",A1293-WEEKDAY(A1293,3))</f>
        <v>46216</v>
      </c>
      <c r="C1293" s="32" t="n">
        <f aca="false">IF(OR('Raw Orders'!C1290&lt;&gt;"Product",'Raw Orders'!K1290="Cancelled"),0,'Raw Orders'!G1290)</f>
        <v>0</v>
      </c>
      <c r="D1293" s="31" t="n">
        <f aca="false">IF(AND('Raw Orders'!C1290="Product",'Raw Orders'!K1290="Fulfilled",COUNTIFS('Raw Orders'!$A$2:$A1290,'Raw Orders'!A1290,'Raw Orders'!$C$2:$C1290,"Product",'Raw Orders'!$K$2:$K1290,"Fulfilled")=1),1,0)</f>
        <v>0</v>
      </c>
      <c r="E1293" s="31" t="n">
        <f aca="false">IF(AND('Raw Orders'!C1290="Product",'Raw Orders'!K1290="Fulfilled"),'Raw Orders'!E1290,0)</f>
        <v>0</v>
      </c>
      <c r="F1293" s="32" t="n">
        <f aca="false">IF('Raw Orders'!K1290="Refunded",'Raw Orders'!G1290,0)</f>
        <v>0</v>
      </c>
    </row>
    <row r="1294" customFormat="false" ht="15" hidden="false" customHeight="false" outlineLevel="0" collapsed="false">
      <c r="A1294" s="36" t="n">
        <f aca="false">IF('Raw Orders'!B1291="","",IF(MID('Raw Orders'!B1291,5,1)="-",DATE(VALUE(LEFT('Raw Orders'!B1291,4)),VALUE(MID('Raw Orders'!B1291,6,2)),VALUE(MID('Raw Orders'!B1291,9,2))),DATE(VALUE(MID('Raw Orders'!B1291,7,4)),VALUE(MID('Raw Orders'!B1291,4,2)),VALUE(LEFT('Raw Orders'!B1291,2)))))</f>
        <v>46216</v>
      </c>
      <c r="B1294" s="36" t="n">
        <f aca="false">IF(A1294="","",A1294-WEEKDAY(A1294,3))</f>
        <v>46216</v>
      </c>
      <c r="C1294" s="32" t="n">
        <f aca="false">IF(OR('Raw Orders'!C1291&lt;&gt;"Product",'Raw Orders'!K1291="Cancelled"),0,'Raw Orders'!G1291)</f>
        <v>69</v>
      </c>
      <c r="D1294" s="31" t="n">
        <f aca="false">IF(AND('Raw Orders'!C1291="Product",'Raw Orders'!K1291="Fulfilled",COUNTIFS('Raw Orders'!$A$2:$A1291,'Raw Orders'!A1291,'Raw Orders'!$C$2:$C1291,"Product",'Raw Orders'!$K$2:$K1291,"Fulfilled")=1),1,0)</f>
        <v>1</v>
      </c>
      <c r="E1294" s="31" t="n">
        <f aca="false">IF(AND('Raw Orders'!C1291="Product",'Raw Orders'!K1291="Fulfilled"),'Raw Orders'!E1291,0)</f>
        <v>1</v>
      </c>
      <c r="F1294" s="32" t="n">
        <f aca="false">IF('Raw Orders'!K1291="Refunded",'Raw Orders'!G1291,0)</f>
        <v>0</v>
      </c>
    </row>
    <row r="1295" customFormat="false" ht="15" hidden="false" customHeight="false" outlineLevel="0" collapsed="false">
      <c r="A1295" s="36" t="n">
        <f aca="false">IF('Raw Orders'!B1292="","",IF(MID('Raw Orders'!B1292,5,1)="-",DATE(VALUE(LEFT('Raw Orders'!B1292,4)),VALUE(MID('Raw Orders'!B1292,6,2)),VALUE(MID('Raw Orders'!B1292,9,2))),DATE(VALUE(MID('Raw Orders'!B1292,7,4)),VALUE(MID('Raw Orders'!B1292,4,2)),VALUE(LEFT('Raw Orders'!B1292,2)))))</f>
        <v>46216</v>
      </c>
      <c r="B1295" s="36" t="n">
        <f aca="false">IF(A1295="","",A1295-WEEKDAY(A1295,3))</f>
        <v>46216</v>
      </c>
      <c r="C1295" s="32" t="n">
        <f aca="false">IF(OR('Raw Orders'!C1292&lt;&gt;"Product",'Raw Orders'!K1292="Cancelled"),0,'Raw Orders'!G1292)</f>
        <v>39</v>
      </c>
      <c r="D1295" s="31" t="n">
        <f aca="false">IF(AND('Raw Orders'!C1292="Product",'Raw Orders'!K1292="Fulfilled",COUNTIFS('Raw Orders'!$A$2:$A1292,'Raw Orders'!A1292,'Raw Orders'!$C$2:$C1292,"Product",'Raw Orders'!$K$2:$K1292,"Fulfilled")=1),1,0)</f>
        <v>0</v>
      </c>
      <c r="E1295" s="31" t="n">
        <f aca="false">IF(AND('Raw Orders'!C1292="Product",'Raw Orders'!K1292="Fulfilled"),'Raw Orders'!E1292,0)</f>
        <v>1</v>
      </c>
      <c r="F1295" s="32" t="n">
        <f aca="false">IF('Raw Orders'!K1292="Refunded",'Raw Orders'!G1292,0)</f>
        <v>0</v>
      </c>
    </row>
    <row r="1296" customFormat="false" ht="15" hidden="false" customHeight="false" outlineLevel="0" collapsed="false">
      <c r="A1296" s="36" t="n">
        <f aca="false">IF('Raw Orders'!B1293="","",IF(MID('Raw Orders'!B1293,5,1)="-",DATE(VALUE(LEFT('Raw Orders'!B1293,4)),VALUE(MID('Raw Orders'!B1293,6,2)),VALUE(MID('Raw Orders'!B1293,9,2))),DATE(VALUE(MID('Raw Orders'!B1293,7,4)),VALUE(MID('Raw Orders'!B1293,4,2)),VALUE(LEFT('Raw Orders'!B1293,2)))))</f>
        <v>46216</v>
      </c>
      <c r="B1296" s="36" t="n">
        <f aca="false">IF(A1296="","",A1296-WEEKDAY(A1296,3))</f>
        <v>46216</v>
      </c>
      <c r="C1296" s="32" t="n">
        <f aca="false">IF(OR('Raw Orders'!C1293&lt;&gt;"Product",'Raw Orders'!K1293="Cancelled"),0,'Raw Orders'!G1293)</f>
        <v>0</v>
      </c>
      <c r="D1296" s="31" t="n">
        <f aca="false">IF(AND('Raw Orders'!C1293="Product",'Raw Orders'!K1293="Fulfilled",COUNTIFS('Raw Orders'!$A$2:$A1293,'Raw Orders'!A1293,'Raw Orders'!$C$2:$C1293,"Product",'Raw Orders'!$K$2:$K1293,"Fulfilled")=1),1,0)</f>
        <v>0</v>
      </c>
      <c r="E1296" s="31" t="n">
        <f aca="false">IF(AND('Raw Orders'!C1293="Product",'Raw Orders'!K1293="Fulfilled"),'Raw Orders'!E1293,0)</f>
        <v>0</v>
      </c>
      <c r="F1296" s="32" t="n">
        <f aca="false">IF('Raw Orders'!K1293="Refunded",'Raw Orders'!G1293,0)</f>
        <v>0</v>
      </c>
    </row>
    <row r="1297" customFormat="false" ht="15" hidden="false" customHeight="false" outlineLevel="0" collapsed="false">
      <c r="A1297" s="36" t="n">
        <f aca="false">IF('Raw Orders'!B1294="","",IF(MID('Raw Orders'!B1294,5,1)="-",DATE(VALUE(LEFT('Raw Orders'!B1294,4)),VALUE(MID('Raw Orders'!B1294,6,2)),VALUE(MID('Raw Orders'!B1294,9,2))),DATE(VALUE(MID('Raw Orders'!B1294,7,4)),VALUE(MID('Raw Orders'!B1294,4,2)),VALUE(LEFT('Raw Orders'!B1294,2)))))</f>
        <v>46216</v>
      </c>
      <c r="B1297" s="36" t="n">
        <f aca="false">IF(A1297="","",A1297-WEEKDAY(A1297,3))</f>
        <v>46216</v>
      </c>
      <c r="C1297" s="32" t="n">
        <f aca="false">IF(OR('Raw Orders'!C1294&lt;&gt;"Product",'Raw Orders'!K1294="Cancelled"),0,'Raw Orders'!G1294)</f>
        <v>58</v>
      </c>
      <c r="D1297" s="31" t="n">
        <f aca="false">IF(AND('Raw Orders'!C1294="Product",'Raw Orders'!K1294="Fulfilled",COUNTIFS('Raw Orders'!$A$2:$A1294,'Raw Orders'!A1294,'Raw Orders'!$C$2:$C1294,"Product",'Raw Orders'!$K$2:$K1294,"Fulfilled")=1),1,0)</f>
        <v>1</v>
      </c>
      <c r="E1297" s="31" t="n">
        <f aca="false">IF(AND('Raw Orders'!C1294="Product",'Raw Orders'!K1294="Fulfilled"),'Raw Orders'!E1294,0)</f>
        <v>2</v>
      </c>
      <c r="F1297" s="32" t="n">
        <f aca="false">IF('Raw Orders'!K1294="Refunded",'Raw Orders'!G1294,0)</f>
        <v>0</v>
      </c>
    </row>
    <row r="1298" customFormat="false" ht="15" hidden="false" customHeight="false" outlineLevel="0" collapsed="false">
      <c r="A1298" s="36" t="n">
        <f aca="false">IF('Raw Orders'!B1295="","",IF(MID('Raw Orders'!B1295,5,1)="-",DATE(VALUE(LEFT('Raw Orders'!B1295,4)),VALUE(MID('Raw Orders'!B1295,6,2)),VALUE(MID('Raw Orders'!B1295,9,2))),DATE(VALUE(MID('Raw Orders'!B1295,7,4)),VALUE(MID('Raw Orders'!B1295,4,2)),VALUE(LEFT('Raw Orders'!B1295,2)))))</f>
        <v>46216</v>
      </c>
      <c r="B1298" s="36" t="n">
        <f aca="false">IF(A1298="","",A1298-WEEKDAY(A1298,3))</f>
        <v>46216</v>
      </c>
      <c r="C1298" s="32" t="n">
        <f aca="false">IF(OR('Raw Orders'!C1295&lt;&gt;"Product",'Raw Orders'!K1295="Cancelled"),0,'Raw Orders'!G1295)</f>
        <v>150</v>
      </c>
      <c r="D1298" s="31" t="n">
        <f aca="false">IF(AND('Raw Orders'!C1295="Product",'Raw Orders'!K1295="Fulfilled",COUNTIFS('Raw Orders'!$A$2:$A1295,'Raw Orders'!A1295,'Raw Orders'!$C$2:$C1295,"Product",'Raw Orders'!$K$2:$K1295,"Fulfilled")=1),1,0)</f>
        <v>0</v>
      </c>
      <c r="E1298" s="31" t="n">
        <f aca="false">IF(AND('Raw Orders'!C1295="Product",'Raw Orders'!K1295="Fulfilled"),'Raw Orders'!E1295,0)</f>
        <v>2</v>
      </c>
      <c r="F1298" s="32" t="n">
        <f aca="false">IF('Raw Orders'!K1295="Refunded",'Raw Orders'!G1295,0)</f>
        <v>0</v>
      </c>
    </row>
    <row r="1299" customFormat="false" ht="15" hidden="false" customHeight="false" outlineLevel="0" collapsed="false">
      <c r="A1299" s="36" t="n">
        <f aca="false">IF('Raw Orders'!B1296="","",IF(MID('Raw Orders'!B1296,5,1)="-",DATE(VALUE(LEFT('Raw Orders'!B1296,4)),VALUE(MID('Raw Orders'!B1296,6,2)),VALUE(MID('Raw Orders'!B1296,9,2))),DATE(VALUE(MID('Raw Orders'!B1296,7,4)),VALUE(MID('Raw Orders'!B1296,4,2)),VALUE(LEFT('Raw Orders'!B1296,2)))))</f>
        <v>46216</v>
      </c>
      <c r="B1299" s="36" t="n">
        <f aca="false">IF(A1299="","",A1299-WEEKDAY(A1299,3))</f>
        <v>46216</v>
      </c>
      <c r="C1299" s="32" t="n">
        <f aca="false">IF(OR('Raw Orders'!C1296&lt;&gt;"Product",'Raw Orders'!K1296="Cancelled"),0,'Raw Orders'!G1296)</f>
        <v>26</v>
      </c>
      <c r="D1299" s="31" t="n">
        <f aca="false">IF(AND('Raw Orders'!C1296="Product",'Raw Orders'!K1296="Fulfilled",COUNTIFS('Raw Orders'!$A$2:$A1296,'Raw Orders'!A1296,'Raw Orders'!$C$2:$C1296,"Product",'Raw Orders'!$K$2:$K1296,"Fulfilled")=1),1,0)</f>
        <v>1</v>
      </c>
      <c r="E1299" s="31" t="n">
        <f aca="false">IF(AND('Raw Orders'!C1296="Product",'Raw Orders'!K1296="Fulfilled"),'Raw Orders'!E1296,0)</f>
        <v>1</v>
      </c>
      <c r="F1299" s="32" t="n">
        <f aca="false">IF('Raw Orders'!K1296="Refunded",'Raw Orders'!G1296,0)</f>
        <v>0</v>
      </c>
    </row>
    <row r="1300" customFormat="false" ht="15" hidden="false" customHeight="false" outlineLevel="0" collapsed="false">
      <c r="A1300" s="36" t="n">
        <f aca="false">IF('Raw Orders'!B1297="","",IF(MID('Raw Orders'!B1297,5,1)="-",DATE(VALUE(LEFT('Raw Orders'!B1297,4)),VALUE(MID('Raw Orders'!B1297,6,2)),VALUE(MID('Raw Orders'!B1297,9,2))),DATE(VALUE(MID('Raw Orders'!B1297,7,4)),VALUE(MID('Raw Orders'!B1297,4,2)),VALUE(LEFT('Raw Orders'!B1297,2)))))</f>
        <v>46216</v>
      </c>
      <c r="B1300" s="36" t="n">
        <f aca="false">IF(A1300="","",A1300-WEEKDAY(A1300,3))</f>
        <v>46216</v>
      </c>
      <c r="C1300" s="32" t="n">
        <f aca="false">IF(OR('Raw Orders'!C1297&lt;&gt;"Product",'Raw Orders'!K1297="Cancelled"),0,'Raw Orders'!G1297)</f>
        <v>0</v>
      </c>
      <c r="D1300" s="31" t="n">
        <f aca="false">IF(AND('Raw Orders'!C1297="Product",'Raw Orders'!K1297="Fulfilled",COUNTIFS('Raw Orders'!$A$2:$A1297,'Raw Orders'!A1297,'Raw Orders'!$C$2:$C1297,"Product",'Raw Orders'!$K$2:$K1297,"Fulfilled")=1),1,0)</f>
        <v>0</v>
      </c>
      <c r="E1300" s="31" t="n">
        <f aca="false">IF(AND('Raw Orders'!C1297="Product",'Raw Orders'!K1297="Fulfilled"),'Raw Orders'!E1297,0)</f>
        <v>0</v>
      </c>
      <c r="F1300" s="32" t="n">
        <f aca="false">IF('Raw Orders'!K1297="Refunded",'Raw Orders'!G1297,0)</f>
        <v>0</v>
      </c>
    </row>
    <row r="1301" customFormat="false" ht="15" hidden="false" customHeight="false" outlineLevel="0" collapsed="false">
      <c r="A1301" s="36" t="n">
        <f aca="false">IF('Raw Orders'!B1298="","",IF(MID('Raw Orders'!B1298,5,1)="-",DATE(VALUE(LEFT('Raw Orders'!B1298,4)),VALUE(MID('Raw Orders'!B1298,6,2)),VALUE(MID('Raw Orders'!B1298,9,2))),DATE(VALUE(MID('Raw Orders'!B1298,7,4)),VALUE(MID('Raw Orders'!B1298,4,2)),VALUE(LEFT('Raw Orders'!B1298,2)))))</f>
        <v>46217</v>
      </c>
      <c r="B1301" s="36" t="n">
        <f aca="false">IF(A1301="","",A1301-WEEKDAY(A1301,3))</f>
        <v>46216</v>
      </c>
      <c r="C1301" s="32" t="n">
        <f aca="false">IF(OR('Raw Orders'!C1298&lt;&gt;"Product",'Raw Orders'!K1298="Cancelled"),0,'Raw Orders'!G1298)</f>
        <v>89</v>
      </c>
      <c r="D1301" s="31" t="n">
        <f aca="false">IF(AND('Raw Orders'!C1298="Product",'Raw Orders'!K1298="Fulfilled",COUNTIFS('Raw Orders'!$A$2:$A1298,'Raw Orders'!A1298,'Raw Orders'!$C$2:$C1298,"Product",'Raw Orders'!$K$2:$K1298,"Fulfilled")=1),1,0)</f>
        <v>1</v>
      </c>
      <c r="E1301" s="31" t="n">
        <f aca="false">IF(AND('Raw Orders'!C1298="Product",'Raw Orders'!K1298="Fulfilled"),'Raw Orders'!E1298,0)</f>
        <v>1</v>
      </c>
      <c r="F1301" s="32" t="n">
        <f aca="false">IF('Raw Orders'!K1298="Refunded",'Raw Orders'!G1298,0)</f>
        <v>0</v>
      </c>
    </row>
    <row r="1302" customFormat="false" ht="15" hidden="false" customHeight="false" outlineLevel="0" collapsed="false">
      <c r="A1302" s="36" t="n">
        <f aca="false">IF('Raw Orders'!B1299="","",IF(MID('Raw Orders'!B1299,5,1)="-",DATE(VALUE(LEFT('Raw Orders'!B1299,4)),VALUE(MID('Raw Orders'!B1299,6,2)),VALUE(MID('Raw Orders'!B1299,9,2))),DATE(VALUE(MID('Raw Orders'!B1299,7,4)),VALUE(MID('Raw Orders'!B1299,4,2)),VALUE(LEFT('Raw Orders'!B1299,2)))))</f>
        <v>46217</v>
      </c>
      <c r="B1302" s="36" t="n">
        <f aca="false">IF(A1302="","",A1302-WEEKDAY(A1302,3))</f>
        <v>46216</v>
      </c>
      <c r="C1302" s="32" t="n">
        <f aca="false">IF(OR('Raw Orders'!C1299&lt;&gt;"Product",'Raw Orders'!K1299="Cancelled"),0,'Raw Orders'!G1299)</f>
        <v>105</v>
      </c>
      <c r="D1302" s="31" t="n">
        <f aca="false">IF(AND('Raw Orders'!C1299="Product",'Raw Orders'!K1299="Fulfilled",COUNTIFS('Raw Orders'!$A$2:$A1299,'Raw Orders'!A1299,'Raw Orders'!$C$2:$C1299,"Product",'Raw Orders'!$K$2:$K1299,"Fulfilled")=1),1,0)</f>
        <v>0</v>
      </c>
      <c r="E1302" s="31" t="n">
        <f aca="false">IF(AND('Raw Orders'!C1299="Product",'Raw Orders'!K1299="Fulfilled"),'Raw Orders'!E1299,0)</f>
        <v>3</v>
      </c>
      <c r="F1302" s="32" t="n">
        <f aca="false">IF('Raw Orders'!K1299="Refunded",'Raw Orders'!G1299,0)</f>
        <v>0</v>
      </c>
    </row>
    <row r="1303" customFormat="false" ht="15" hidden="false" customHeight="false" outlineLevel="0" collapsed="false">
      <c r="A1303" s="36" t="n">
        <f aca="false">IF('Raw Orders'!B1300="","",IF(MID('Raw Orders'!B1300,5,1)="-",DATE(VALUE(LEFT('Raw Orders'!B1300,4)),VALUE(MID('Raw Orders'!B1300,6,2)),VALUE(MID('Raw Orders'!B1300,9,2))),DATE(VALUE(MID('Raw Orders'!B1300,7,4)),VALUE(MID('Raw Orders'!B1300,4,2)),VALUE(LEFT('Raw Orders'!B1300,2)))))</f>
        <v>46217</v>
      </c>
      <c r="B1303" s="36" t="n">
        <f aca="false">IF(A1303="","",A1303-WEEKDAY(A1303,3))</f>
        <v>46216</v>
      </c>
      <c r="C1303" s="32" t="n">
        <f aca="false">IF(OR('Raw Orders'!C1300&lt;&gt;"Product",'Raw Orders'!K1300="Cancelled"),0,'Raw Orders'!G1300)</f>
        <v>18.7</v>
      </c>
      <c r="D1303" s="31" t="n">
        <f aca="false">IF(AND('Raw Orders'!C1300="Product",'Raw Orders'!K1300="Fulfilled",COUNTIFS('Raw Orders'!$A$2:$A1300,'Raw Orders'!A1300,'Raw Orders'!$C$2:$C1300,"Product",'Raw Orders'!$K$2:$K1300,"Fulfilled")=1),1,0)</f>
        <v>1</v>
      </c>
      <c r="E1303" s="31" t="n">
        <f aca="false">IF(AND('Raw Orders'!C1300="Product",'Raw Orders'!K1300="Fulfilled"),'Raw Orders'!E1300,0)</f>
        <v>1</v>
      </c>
      <c r="F1303" s="32" t="n">
        <f aca="false">IF('Raw Orders'!K1300="Refunded",'Raw Orders'!G1300,0)</f>
        <v>0</v>
      </c>
    </row>
    <row r="1304" customFormat="false" ht="15" hidden="false" customHeight="false" outlineLevel="0" collapsed="false">
      <c r="A1304" s="36" t="n">
        <f aca="false">IF('Raw Orders'!B1301="","",IF(MID('Raw Orders'!B1301,5,1)="-",DATE(VALUE(LEFT('Raw Orders'!B1301,4)),VALUE(MID('Raw Orders'!B1301,6,2)),VALUE(MID('Raw Orders'!B1301,9,2))),DATE(VALUE(MID('Raw Orders'!B1301,7,4)),VALUE(MID('Raw Orders'!B1301,4,2)),VALUE(LEFT('Raw Orders'!B1301,2)))))</f>
        <v>46217</v>
      </c>
      <c r="B1304" s="36" t="n">
        <f aca="false">IF(A1304="","",A1304-WEEKDAY(A1304,3))</f>
        <v>46216</v>
      </c>
      <c r="C1304" s="32" t="n">
        <f aca="false">IF(OR('Raw Orders'!C1301&lt;&gt;"Product",'Raw Orders'!K1301="Cancelled"),0,'Raw Orders'!G1301)</f>
        <v>0</v>
      </c>
      <c r="D1304" s="31" t="n">
        <f aca="false">IF(AND('Raw Orders'!C1301="Product",'Raw Orders'!K1301="Fulfilled",COUNTIFS('Raw Orders'!$A$2:$A1301,'Raw Orders'!A1301,'Raw Orders'!$C$2:$C1301,"Product",'Raw Orders'!$K$2:$K1301,"Fulfilled")=1),1,0)</f>
        <v>0</v>
      </c>
      <c r="E1304" s="31" t="n">
        <f aca="false">IF(AND('Raw Orders'!C1301="Product",'Raw Orders'!K1301="Fulfilled"),'Raw Orders'!E1301,0)</f>
        <v>0</v>
      </c>
      <c r="F1304" s="32" t="n">
        <f aca="false">IF('Raw Orders'!K1301="Refunded",'Raw Orders'!G1301,0)</f>
        <v>0</v>
      </c>
    </row>
    <row r="1305" customFormat="false" ht="15" hidden="false" customHeight="false" outlineLevel="0" collapsed="false">
      <c r="A1305" s="36" t="n">
        <f aca="false">IF('Raw Orders'!B1302="","",IF(MID('Raw Orders'!B1302,5,1)="-",DATE(VALUE(LEFT('Raw Orders'!B1302,4)),VALUE(MID('Raw Orders'!B1302,6,2)),VALUE(MID('Raw Orders'!B1302,9,2))),DATE(VALUE(MID('Raw Orders'!B1302,7,4)),VALUE(MID('Raw Orders'!B1302,4,2)),VALUE(LEFT('Raw Orders'!B1302,2)))))</f>
        <v>46217</v>
      </c>
      <c r="B1305" s="36" t="n">
        <f aca="false">IF(A1305="","",A1305-WEEKDAY(A1305,3))</f>
        <v>46216</v>
      </c>
      <c r="C1305" s="32" t="n">
        <f aca="false">IF(OR('Raw Orders'!C1302&lt;&gt;"Product",'Raw Orders'!K1302="Cancelled"),0,'Raw Orders'!G1302)</f>
        <v>89</v>
      </c>
      <c r="D1305" s="31" t="n">
        <f aca="false">IF(AND('Raw Orders'!C1302="Product",'Raw Orders'!K1302="Fulfilled",COUNTIFS('Raw Orders'!$A$2:$A1302,'Raw Orders'!A1302,'Raw Orders'!$C$2:$C1302,"Product",'Raw Orders'!$K$2:$K1302,"Fulfilled")=1),1,0)</f>
        <v>0</v>
      </c>
      <c r="E1305" s="31" t="n">
        <f aca="false">IF(AND('Raw Orders'!C1302="Product",'Raw Orders'!K1302="Fulfilled"),'Raw Orders'!E1302,0)</f>
        <v>1</v>
      </c>
      <c r="F1305" s="32" t="n">
        <f aca="false">IF('Raw Orders'!K1302="Refunded",'Raw Orders'!G1302,0)</f>
        <v>0</v>
      </c>
    </row>
    <row r="1306" customFormat="false" ht="15" hidden="false" customHeight="false" outlineLevel="0" collapsed="false">
      <c r="A1306" s="36" t="n">
        <f aca="false">IF('Raw Orders'!B1303="","",IF(MID('Raw Orders'!B1303,5,1)="-",DATE(VALUE(LEFT('Raw Orders'!B1303,4)),VALUE(MID('Raw Orders'!B1303,6,2)),VALUE(MID('Raw Orders'!B1303,9,2))),DATE(VALUE(MID('Raw Orders'!B1303,7,4)),VALUE(MID('Raw Orders'!B1303,4,2)),VALUE(LEFT('Raw Orders'!B1303,2)))))</f>
        <v>46217</v>
      </c>
      <c r="B1306" s="36" t="n">
        <f aca="false">IF(A1306="","",A1306-WEEKDAY(A1306,3))</f>
        <v>46216</v>
      </c>
      <c r="C1306" s="32" t="n">
        <f aca="false">IF(OR('Raw Orders'!C1303&lt;&gt;"Product",'Raw Orders'!K1303="Cancelled"),0,'Raw Orders'!G1303)</f>
        <v>29</v>
      </c>
      <c r="D1306" s="31" t="n">
        <f aca="false">IF(AND('Raw Orders'!C1303="Product",'Raw Orders'!K1303="Fulfilled",COUNTIFS('Raw Orders'!$A$2:$A1303,'Raw Orders'!A1303,'Raw Orders'!$C$2:$C1303,"Product",'Raw Orders'!$K$2:$K1303,"Fulfilled")=1),1,0)</f>
        <v>1</v>
      </c>
      <c r="E1306" s="31" t="n">
        <f aca="false">IF(AND('Raw Orders'!C1303="Product",'Raw Orders'!K1303="Fulfilled"),'Raw Orders'!E1303,0)</f>
        <v>1</v>
      </c>
      <c r="F1306" s="32" t="n">
        <f aca="false">IF('Raw Orders'!K1303="Refunded",'Raw Orders'!G1303,0)</f>
        <v>0</v>
      </c>
    </row>
    <row r="1307" customFormat="false" ht="15" hidden="false" customHeight="false" outlineLevel="0" collapsed="false">
      <c r="A1307" s="36" t="n">
        <f aca="false">IF('Raw Orders'!B1304="","",IF(MID('Raw Orders'!B1304,5,1)="-",DATE(VALUE(LEFT('Raw Orders'!B1304,4)),VALUE(MID('Raw Orders'!B1304,6,2)),VALUE(MID('Raw Orders'!B1304,9,2))),DATE(VALUE(MID('Raw Orders'!B1304,7,4)),VALUE(MID('Raw Orders'!B1304,4,2)),VALUE(LEFT('Raw Orders'!B1304,2)))))</f>
        <v>46217</v>
      </c>
      <c r="B1307" s="36" t="n">
        <f aca="false">IF(A1307="","",A1307-WEEKDAY(A1307,3))</f>
        <v>46216</v>
      </c>
      <c r="C1307" s="32" t="n">
        <f aca="false">IF(OR('Raw Orders'!C1304&lt;&gt;"Product",'Raw Orders'!K1304="Cancelled"),0,'Raw Orders'!G1304)</f>
        <v>0</v>
      </c>
      <c r="D1307" s="31" t="n">
        <f aca="false">IF(AND('Raw Orders'!C1304="Product",'Raw Orders'!K1304="Fulfilled",COUNTIFS('Raw Orders'!$A$2:$A1304,'Raw Orders'!A1304,'Raw Orders'!$C$2:$C1304,"Product",'Raw Orders'!$K$2:$K1304,"Fulfilled")=1),1,0)</f>
        <v>0</v>
      </c>
      <c r="E1307" s="31" t="n">
        <f aca="false">IF(AND('Raw Orders'!C1304="Product",'Raw Orders'!K1304="Fulfilled"),'Raw Orders'!E1304,0)</f>
        <v>0</v>
      </c>
      <c r="F1307" s="32" t="n">
        <f aca="false">IF('Raw Orders'!K1304="Refunded",'Raw Orders'!G1304,0)</f>
        <v>0</v>
      </c>
    </row>
    <row r="1308" customFormat="false" ht="15" hidden="false" customHeight="false" outlineLevel="0" collapsed="false">
      <c r="A1308" s="36" t="n">
        <f aca="false">IF('Raw Orders'!B1305="","",IF(MID('Raw Orders'!B1305,5,1)="-",DATE(VALUE(LEFT('Raw Orders'!B1305,4)),VALUE(MID('Raw Orders'!B1305,6,2)),VALUE(MID('Raw Orders'!B1305,9,2))),DATE(VALUE(MID('Raw Orders'!B1305,7,4)),VALUE(MID('Raw Orders'!B1305,4,2)),VALUE(LEFT('Raw Orders'!B1305,2)))))</f>
        <v>46217</v>
      </c>
      <c r="B1308" s="36" t="n">
        <f aca="false">IF(A1308="","",A1308-WEEKDAY(A1308,3))</f>
        <v>46216</v>
      </c>
      <c r="C1308" s="32" t="n">
        <f aca="false">IF(OR('Raw Orders'!C1305&lt;&gt;"Product",'Raw Orders'!K1305="Cancelled"),0,'Raw Orders'!G1305)</f>
        <v>69</v>
      </c>
      <c r="D1308" s="31" t="n">
        <f aca="false">IF(AND('Raw Orders'!C1305="Product",'Raw Orders'!K1305="Fulfilled",COUNTIFS('Raw Orders'!$A$2:$A1305,'Raw Orders'!A1305,'Raw Orders'!$C$2:$C1305,"Product",'Raw Orders'!$K$2:$K1305,"Fulfilled")=1),1,0)</f>
        <v>1</v>
      </c>
      <c r="E1308" s="31" t="n">
        <f aca="false">IF(AND('Raw Orders'!C1305="Product",'Raw Orders'!K1305="Fulfilled"),'Raw Orders'!E1305,0)</f>
        <v>1</v>
      </c>
      <c r="F1308" s="32" t="n">
        <f aca="false">IF('Raw Orders'!K1305="Refunded",'Raw Orders'!G1305,0)</f>
        <v>0</v>
      </c>
    </row>
    <row r="1309" customFormat="false" ht="15" hidden="false" customHeight="false" outlineLevel="0" collapsed="false">
      <c r="A1309" s="36" t="n">
        <f aca="false">IF('Raw Orders'!B1306="","",IF(MID('Raw Orders'!B1306,5,1)="-",DATE(VALUE(LEFT('Raw Orders'!B1306,4)),VALUE(MID('Raw Orders'!B1306,6,2)),VALUE(MID('Raw Orders'!B1306,9,2))),DATE(VALUE(MID('Raw Orders'!B1306,7,4)),VALUE(MID('Raw Orders'!B1306,4,2)),VALUE(LEFT('Raw Orders'!B1306,2)))))</f>
        <v>46217</v>
      </c>
      <c r="B1309" s="36" t="n">
        <f aca="false">IF(A1309="","",A1309-WEEKDAY(A1309,3))</f>
        <v>46216</v>
      </c>
      <c r="C1309" s="32" t="n">
        <f aca="false">IF(OR('Raw Orders'!C1306&lt;&gt;"Product",'Raw Orders'!K1306="Cancelled"),0,'Raw Orders'!G1306)</f>
        <v>89</v>
      </c>
      <c r="D1309" s="31" t="n">
        <f aca="false">IF(AND('Raw Orders'!C1306="Product",'Raw Orders'!K1306="Fulfilled",COUNTIFS('Raw Orders'!$A$2:$A1306,'Raw Orders'!A1306,'Raw Orders'!$C$2:$C1306,"Product",'Raw Orders'!$K$2:$K1306,"Fulfilled")=1),1,0)</f>
        <v>0</v>
      </c>
      <c r="E1309" s="31" t="n">
        <f aca="false">IF(AND('Raw Orders'!C1306="Product",'Raw Orders'!K1306="Fulfilled"),'Raw Orders'!E1306,0)</f>
        <v>1</v>
      </c>
      <c r="F1309" s="32" t="n">
        <f aca="false">IF('Raw Orders'!K1306="Refunded",'Raw Orders'!G1306,0)</f>
        <v>0</v>
      </c>
    </row>
    <row r="1310" customFormat="false" ht="15" hidden="false" customHeight="false" outlineLevel="0" collapsed="false">
      <c r="A1310" s="36" t="n">
        <f aca="false">IF('Raw Orders'!B1307="","",IF(MID('Raw Orders'!B1307,5,1)="-",DATE(VALUE(LEFT('Raw Orders'!B1307,4)),VALUE(MID('Raw Orders'!B1307,6,2)),VALUE(MID('Raw Orders'!B1307,9,2))),DATE(VALUE(MID('Raw Orders'!B1307,7,4)),VALUE(MID('Raw Orders'!B1307,4,2)),VALUE(LEFT('Raw Orders'!B1307,2)))))</f>
        <v>46217</v>
      </c>
      <c r="B1310" s="36" t="n">
        <f aca="false">IF(A1310="","",A1310-WEEKDAY(A1310,3))</f>
        <v>46216</v>
      </c>
      <c r="C1310" s="32" t="n">
        <f aca="false">IF(OR('Raw Orders'!C1307&lt;&gt;"Product",'Raw Orders'!K1307="Cancelled"),0,'Raw Orders'!G1307)</f>
        <v>69</v>
      </c>
      <c r="D1310" s="31" t="n">
        <f aca="false">IF(AND('Raw Orders'!C1307="Product",'Raw Orders'!K1307="Fulfilled",COUNTIFS('Raw Orders'!$A$2:$A1307,'Raw Orders'!A1307,'Raw Orders'!$C$2:$C1307,"Product",'Raw Orders'!$K$2:$K1307,"Fulfilled")=1),1,0)</f>
        <v>1</v>
      </c>
      <c r="E1310" s="31" t="n">
        <f aca="false">IF(AND('Raw Orders'!C1307="Product",'Raw Orders'!K1307="Fulfilled"),'Raw Orders'!E1307,0)</f>
        <v>1</v>
      </c>
      <c r="F1310" s="32" t="n">
        <f aca="false">IF('Raw Orders'!K1307="Refunded",'Raw Orders'!G1307,0)</f>
        <v>0</v>
      </c>
    </row>
    <row r="1311" customFormat="false" ht="15" hidden="false" customHeight="false" outlineLevel="0" collapsed="false">
      <c r="A1311" s="36" t="n">
        <f aca="false">IF('Raw Orders'!B1308="","",IF(MID('Raw Orders'!B1308,5,1)="-",DATE(VALUE(LEFT('Raw Orders'!B1308,4)),VALUE(MID('Raw Orders'!B1308,6,2)),VALUE(MID('Raw Orders'!B1308,9,2))),DATE(VALUE(MID('Raw Orders'!B1308,7,4)),VALUE(MID('Raw Orders'!B1308,4,2)),VALUE(LEFT('Raw Orders'!B1308,2)))))</f>
        <v>46217</v>
      </c>
      <c r="B1311" s="36" t="n">
        <f aca="false">IF(A1311="","",A1311-WEEKDAY(A1311,3))</f>
        <v>46216</v>
      </c>
      <c r="C1311" s="32" t="n">
        <f aca="false">IF(OR('Raw Orders'!C1308&lt;&gt;"Product",'Raw Orders'!K1308="Cancelled"),0,'Raw Orders'!G1308)</f>
        <v>22</v>
      </c>
      <c r="D1311" s="31" t="n">
        <f aca="false">IF(AND('Raw Orders'!C1308="Product",'Raw Orders'!K1308="Fulfilled",COUNTIFS('Raw Orders'!$A$2:$A1308,'Raw Orders'!A1308,'Raw Orders'!$C$2:$C1308,"Product",'Raw Orders'!$K$2:$K1308,"Fulfilled")=1),1,0)</f>
        <v>0</v>
      </c>
      <c r="E1311" s="31" t="n">
        <f aca="false">IF(AND('Raw Orders'!C1308="Product",'Raw Orders'!K1308="Fulfilled"),'Raw Orders'!E1308,0)</f>
        <v>1</v>
      </c>
      <c r="F1311" s="32" t="n">
        <f aca="false">IF('Raw Orders'!K1308="Refunded",'Raw Orders'!G1308,0)</f>
        <v>0</v>
      </c>
    </row>
    <row r="1312" customFormat="false" ht="15" hidden="false" customHeight="false" outlineLevel="0" collapsed="false">
      <c r="A1312" s="36" t="n">
        <f aca="false">IF('Raw Orders'!B1309="","",IF(MID('Raw Orders'!B1309,5,1)="-",DATE(VALUE(LEFT('Raw Orders'!B1309,4)),VALUE(MID('Raw Orders'!B1309,6,2)),VALUE(MID('Raw Orders'!B1309,9,2))),DATE(VALUE(MID('Raw Orders'!B1309,7,4)),VALUE(MID('Raw Orders'!B1309,4,2)),VALUE(LEFT('Raw Orders'!B1309,2)))))</f>
        <v>46217</v>
      </c>
      <c r="B1312" s="36" t="n">
        <f aca="false">IF(A1312="","",A1312-WEEKDAY(A1312,3))</f>
        <v>46216</v>
      </c>
      <c r="C1312" s="32" t="n">
        <f aca="false">IF(OR('Raw Orders'!C1309&lt;&gt;"Product",'Raw Orders'!K1309="Cancelled"),0,'Raw Orders'!G1309)</f>
        <v>0</v>
      </c>
      <c r="D1312" s="31" t="n">
        <f aca="false">IF(AND('Raw Orders'!C1309="Product",'Raw Orders'!K1309="Fulfilled",COUNTIFS('Raw Orders'!$A$2:$A1309,'Raw Orders'!A1309,'Raw Orders'!$C$2:$C1309,"Product",'Raw Orders'!$K$2:$K1309,"Fulfilled")=1),1,0)</f>
        <v>0</v>
      </c>
      <c r="E1312" s="31" t="n">
        <f aca="false">IF(AND('Raw Orders'!C1309="Product",'Raw Orders'!K1309="Fulfilled"),'Raw Orders'!E1309,0)</f>
        <v>0</v>
      </c>
      <c r="F1312" s="32" t="n">
        <f aca="false">IF('Raw Orders'!K1309="Refunded",'Raw Orders'!G1309,0)</f>
        <v>0</v>
      </c>
    </row>
    <row r="1313" customFormat="false" ht="15" hidden="false" customHeight="false" outlineLevel="0" collapsed="false">
      <c r="A1313" s="36" t="n">
        <f aca="false">IF('Raw Orders'!B1310="","",IF(MID('Raw Orders'!B1310,5,1)="-",DATE(VALUE(LEFT('Raw Orders'!B1310,4)),VALUE(MID('Raw Orders'!B1310,6,2)),VALUE(MID('Raw Orders'!B1310,9,2))),DATE(VALUE(MID('Raw Orders'!B1310,7,4)),VALUE(MID('Raw Orders'!B1310,4,2)),VALUE(LEFT('Raw Orders'!B1310,2)))))</f>
        <v>46217</v>
      </c>
      <c r="B1313" s="36" t="n">
        <f aca="false">IF(A1313="","",A1313-WEEKDAY(A1313,3))</f>
        <v>46216</v>
      </c>
      <c r="C1313" s="32" t="n">
        <f aca="false">IF(OR('Raw Orders'!C1310&lt;&gt;"Product",'Raw Orders'!K1310="Cancelled"),0,'Raw Orders'!G1310)</f>
        <v>32</v>
      </c>
      <c r="D1313" s="31" t="n">
        <f aca="false">IF(AND('Raw Orders'!C1310="Product",'Raw Orders'!K1310="Fulfilled",COUNTIFS('Raw Orders'!$A$2:$A1310,'Raw Orders'!A1310,'Raw Orders'!$C$2:$C1310,"Product",'Raw Orders'!$K$2:$K1310,"Fulfilled")=1),1,0)</f>
        <v>1</v>
      </c>
      <c r="E1313" s="31" t="n">
        <f aca="false">IF(AND('Raw Orders'!C1310="Product",'Raw Orders'!K1310="Fulfilled"),'Raw Orders'!E1310,0)</f>
        <v>1</v>
      </c>
      <c r="F1313" s="32" t="n">
        <f aca="false">IF('Raw Orders'!K1310="Refunded",'Raw Orders'!G1310,0)</f>
        <v>0</v>
      </c>
    </row>
    <row r="1314" customFormat="false" ht="15" hidden="false" customHeight="false" outlineLevel="0" collapsed="false">
      <c r="A1314" s="36" t="n">
        <f aca="false">IF('Raw Orders'!B1311="","",IF(MID('Raw Orders'!B1311,5,1)="-",DATE(VALUE(LEFT('Raw Orders'!B1311,4)),VALUE(MID('Raw Orders'!B1311,6,2)),VALUE(MID('Raw Orders'!B1311,9,2))),DATE(VALUE(MID('Raw Orders'!B1311,7,4)),VALUE(MID('Raw Orders'!B1311,4,2)),VALUE(LEFT('Raw Orders'!B1311,2)))))</f>
        <v>46217</v>
      </c>
      <c r="B1314" s="36" t="n">
        <f aca="false">IF(A1314="","",A1314-WEEKDAY(A1314,3))</f>
        <v>46216</v>
      </c>
      <c r="C1314" s="32" t="n">
        <f aca="false">IF(OR('Raw Orders'!C1311&lt;&gt;"Product",'Raw Orders'!K1311="Cancelled"),0,'Raw Orders'!G1311)</f>
        <v>0</v>
      </c>
      <c r="D1314" s="31" t="n">
        <f aca="false">IF(AND('Raw Orders'!C1311="Product",'Raw Orders'!K1311="Fulfilled",COUNTIFS('Raw Orders'!$A$2:$A1311,'Raw Orders'!A1311,'Raw Orders'!$C$2:$C1311,"Product",'Raw Orders'!$K$2:$K1311,"Fulfilled")=1),1,0)</f>
        <v>0</v>
      </c>
      <c r="E1314" s="31" t="n">
        <f aca="false">IF(AND('Raw Orders'!C1311="Product",'Raw Orders'!K1311="Fulfilled"),'Raw Orders'!E1311,0)</f>
        <v>0</v>
      </c>
      <c r="F1314" s="32" t="n">
        <f aca="false">IF('Raw Orders'!K1311="Refunded",'Raw Orders'!G1311,0)</f>
        <v>0</v>
      </c>
    </row>
    <row r="1315" customFormat="false" ht="15" hidden="false" customHeight="false" outlineLevel="0" collapsed="false">
      <c r="A1315" s="36" t="n">
        <f aca="false">IF('Raw Orders'!B1312="","",IF(MID('Raw Orders'!B1312,5,1)="-",DATE(VALUE(LEFT('Raw Orders'!B1312,4)),VALUE(MID('Raw Orders'!B1312,6,2)),VALUE(MID('Raw Orders'!B1312,9,2))),DATE(VALUE(MID('Raw Orders'!B1312,7,4)),VALUE(MID('Raw Orders'!B1312,4,2)),VALUE(LEFT('Raw Orders'!B1312,2)))))</f>
        <v>46217</v>
      </c>
      <c r="B1315" s="36" t="n">
        <f aca="false">IF(A1315="","",A1315-WEEKDAY(A1315,3))</f>
        <v>46216</v>
      </c>
      <c r="C1315" s="32" t="n">
        <f aca="false">IF(OR('Raw Orders'!C1312&lt;&gt;"Product",'Raw Orders'!K1312="Cancelled"),0,'Raw Orders'!G1312)</f>
        <v>0</v>
      </c>
      <c r="D1315" s="31" t="n">
        <f aca="false">IF(AND('Raw Orders'!C1312="Product",'Raw Orders'!K1312="Fulfilled",COUNTIFS('Raw Orders'!$A$2:$A1312,'Raw Orders'!A1312,'Raw Orders'!$C$2:$C1312,"Product",'Raw Orders'!$K$2:$K1312,"Fulfilled")=1),1,0)</f>
        <v>0</v>
      </c>
      <c r="E1315" s="31" t="n">
        <f aca="false">IF(AND('Raw Orders'!C1312="Product",'Raw Orders'!K1312="Fulfilled"),'Raw Orders'!E1312,0)</f>
        <v>0</v>
      </c>
      <c r="F1315" s="32" t="n">
        <f aca="false">IF('Raw Orders'!K1312="Refunded",'Raw Orders'!G1312,0)</f>
        <v>0</v>
      </c>
    </row>
    <row r="1316" customFormat="false" ht="15" hidden="false" customHeight="false" outlineLevel="0" collapsed="false">
      <c r="A1316" s="36" t="n">
        <f aca="false">IF('Raw Orders'!B1313="","",IF(MID('Raw Orders'!B1313,5,1)="-",DATE(VALUE(LEFT('Raw Orders'!B1313,4)),VALUE(MID('Raw Orders'!B1313,6,2)),VALUE(MID('Raw Orders'!B1313,9,2))),DATE(VALUE(MID('Raw Orders'!B1313,7,4)),VALUE(MID('Raw Orders'!B1313,4,2)),VALUE(LEFT('Raw Orders'!B1313,2)))))</f>
        <v>46217</v>
      </c>
      <c r="B1316" s="36" t="n">
        <f aca="false">IF(A1316="","",A1316-WEEKDAY(A1316,3))</f>
        <v>46216</v>
      </c>
      <c r="C1316" s="32" t="n">
        <f aca="false">IF(OR('Raw Orders'!C1313&lt;&gt;"Product",'Raw Orders'!K1313="Cancelled"),0,'Raw Orders'!G1313)</f>
        <v>39</v>
      </c>
      <c r="D1316" s="31" t="n">
        <f aca="false">IF(AND('Raw Orders'!C1313="Product",'Raw Orders'!K1313="Fulfilled",COUNTIFS('Raw Orders'!$A$2:$A1313,'Raw Orders'!A1313,'Raw Orders'!$C$2:$C1313,"Product",'Raw Orders'!$K$2:$K1313,"Fulfilled")=1),1,0)</f>
        <v>1</v>
      </c>
      <c r="E1316" s="31" t="n">
        <f aca="false">IF(AND('Raw Orders'!C1313="Product",'Raw Orders'!K1313="Fulfilled"),'Raw Orders'!E1313,0)</f>
        <v>1</v>
      </c>
      <c r="F1316" s="32" t="n">
        <f aca="false">IF('Raw Orders'!K1313="Refunded",'Raw Orders'!G1313,0)</f>
        <v>0</v>
      </c>
    </row>
    <row r="1317" customFormat="false" ht="15" hidden="false" customHeight="false" outlineLevel="0" collapsed="false">
      <c r="A1317" s="36" t="n">
        <f aca="false">IF('Raw Orders'!B1314="","",IF(MID('Raw Orders'!B1314,5,1)="-",DATE(VALUE(LEFT('Raw Orders'!B1314,4)),VALUE(MID('Raw Orders'!B1314,6,2)),VALUE(MID('Raw Orders'!B1314,9,2))),DATE(VALUE(MID('Raw Orders'!B1314,7,4)),VALUE(MID('Raw Orders'!B1314,4,2)),VALUE(LEFT('Raw Orders'!B1314,2)))))</f>
        <v>46217</v>
      </c>
      <c r="B1317" s="36" t="n">
        <f aca="false">IF(A1317="","",A1317-WEEKDAY(A1317,3))</f>
        <v>46216</v>
      </c>
      <c r="C1317" s="32" t="n">
        <f aca="false">IF(OR('Raw Orders'!C1314&lt;&gt;"Product",'Raw Orders'!K1314="Cancelled"),0,'Raw Orders'!G1314)</f>
        <v>75</v>
      </c>
      <c r="D1317" s="31" t="n">
        <f aca="false">IF(AND('Raw Orders'!C1314="Product",'Raw Orders'!K1314="Fulfilled",COUNTIFS('Raw Orders'!$A$2:$A1314,'Raw Orders'!A1314,'Raw Orders'!$C$2:$C1314,"Product",'Raw Orders'!$K$2:$K1314,"Fulfilled")=1),1,0)</f>
        <v>1</v>
      </c>
      <c r="E1317" s="31" t="n">
        <f aca="false">IF(AND('Raw Orders'!C1314="Product",'Raw Orders'!K1314="Fulfilled"),'Raw Orders'!E1314,0)</f>
        <v>1</v>
      </c>
      <c r="F1317" s="32" t="n">
        <f aca="false">IF('Raw Orders'!K1314="Refunded",'Raw Orders'!G1314,0)</f>
        <v>0</v>
      </c>
    </row>
    <row r="1318" customFormat="false" ht="15" hidden="false" customHeight="false" outlineLevel="0" collapsed="false">
      <c r="A1318" s="36" t="n">
        <f aca="false">IF('Raw Orders'!B1315="","",IF(MID('Raw Orders'!B1315,5,1)="-",DATE(VALUE(LEFT('Raw Orders'!B1315,4)),VALUE(MID('Raw Orders'!B1315,6,2)),VALUE(MID('Raw Orders'!B1315,9,2))),DATE(VALUE(MID('Raw Orders'!B1315,7,4)),VALUE(MID('Raw Orders'!B1315,4,2)),VALUE(LEFT('Raw Orders'!B1315,2)))))</f>
        <v>46217</v>
      </c>
      <c r="B1318" s="36" t="n">
        <f aca="false">IF(A1318="","",A1318-WEEKDAY(A1318,3))</f>
        <v>46216</v>
      </c>
      <c r="C1318" s="32" t="n">
        <f aca="false">IF(OR('Raw Orders'!C1315&lt;&gt;"Product",'Raw Orders'!K1315="Cancelled"),0,'Raw Orders'!G1315)</f>
        <v>178</v>
      </c>
      <c r="D1318" s="31" t="n">
        <f aca="false">IF(AND('Raw Orders'!C1315="Product",'Raw Orders'!K1315="Fulfilled",COUNTIFS('Raw Orders'!$A$2:$A1315,'Raw Orders'!A1315,'Raw Orders'!$C$2:$C1315,"Product",'Raw Orders'!$K$2:$K1315,"Fulfilled")=1),1,0)</f>
        <v>0</v>
      </c>
      <c r="E1318" s="31" t="n">
        <f aca="false">IF(AND('Raw Orders'!C1315="Product",'Raw Orders'!K1315="Fulfilled"),'Raw Orders'!E1315,0)</f>
        <v>2</v>
      </c>
      <c r="F1318" s="32" t="n">
        <f aca="false">IF('Raw Orders'!K1315="Refunded",'Raw Orders'!G1315,0)</f>
        <v>0</v>
      </c>
    </row>
    <row r="1319" customFormat="false" ht="15" hidden="false" customHeight="false" outlineLevel="0" collapsed="false">
      <c r="A1319" s="36" t="n">
        <f aca="false">IF('Raw Orders'!B1316="","",IF(MID('Raw Orders'!B1316,5,1)="-",DATE(VALUE(LEFT('Raw Orders'!B1316,4)),VALUE(MID('Raw Orders'!B1316,6,2)),VALUE(MID('Raw Orders'!B1316,9,2))),DATE(VALUE(MID('Raw Orders'!B1316,7,4)),VALUE(MID('Raw Orders'!B1316,4,2)),VALUE(LEFT('Raw Orders'!B1316,2)))))</f>
        <v>46217</v>
      </c>
      <c r="B1319" s="36" t="n">
        <f aca="false">IF(A1319="","",A1319-WEEKDAY(A1319,3))</f>
        <v>46216</v>
      </c>
      <c r="C1319" s="32" t="n">
        <f aca="false">IF(OR('Raw Orders'!C1316&lt;&gt;"Product",'Raw Orders'!K1316="Cancelled"),0,'Raw Orders'!G1316)</f>
        <v>0</v>
      </c>
      <c r="D1319" s="31" t="n">
        <f aca="false">IF(AND('Raw Orders'!C1316="Product",'Raw Orders'!K1316="Fulfilled",COUNTIFS('Raw Orders'!$A$2:$A1316,'Raw Orders'!A1316,'Raw Orders'!$C$2:$C1316,"Product",'Raw Orders'!$K$2:$K1316,"Fulfilled")=1),1,0)</f>
        <v>0</v>
      </c>
      <c r="E1319" s="31" t="n">
        <f aca="false">IF(AND('Raw Orders'!C1316="Product",'Raw Orders'!K1316="Fulfilled"),'Raw Orders'!E1316,0)</f>
        <v>0</v>
      </c>
      <c r="F1319" s="32" t="n">
        <f aca="false">IF('Raw Orders'!K1316="Refunded",'Raw Orders'!G1316,0)</f>
        <v>0</v>
      </c>
    </row>
    <row r="1320" customFormat="false" ht="15" hidden="false" customHeight="false" outlineLevel="0" collapsed="false">
      <c r="A1320" s="36" t="n">
        <f aca="false">IF('Raw Orders'!B1317="","",IF(MID('Raw Orders'!B1317,5,1)="-",DATE(VALUE(LEFT('Raw Orders'!B1317,4)),VALUE(MID('Raw Orders'!B1317,6,2)),VALUE(MID('Raw Orders'!B1317,9,2))),DATE(VALUE(MID('Raw Orders'!B1317,7,4)),VALUE(MID('Raw Orders'!B1317,4,2)),VALUE(LEFT('Raw Orders'!B1317,2)))))</f>
        <v>46217</v>
      </c>
      <c r="B1320" s="36" t="n">
        <f aca="false">IF(A1320="","",A1320-WEEKDAY(A1320,3))</f>
        <v>46216</v>
      </c>
      <c r="C1320" s="32" t="n">
        <f aca="false">IF(OR('Raw Orders'!C1317&lt;&gt;"Product",'Raw Orders'!K1317="Cancelled"),0,'Raw Orders'!G1317)</f>
        <v>69</v>
      </c>
      <c r="D1320" s="31" t="n">
        <f aca="false">IF(AND('Raw Orders'!C1317="Product",'Raw Orders'!K1317="Fulfilled",COUNTIFS('Raw Orders'!$A$2:$A1317,'Raw Orders'!A1317,'Raw Orders'!$C$2:$C1317,"Product",'Raw Orders'!$K$2:$K1317,"Fulfilled")=1),1,0)</f>
        <v>1</v>
      </c>
      <c r="E1320" s="31" t="n">
        <f aca="false">IF(AND('Raw Orders'!C1317="Product",'Raw Orders'!K1317="Fulfilled"),'Raw Orders'!E1317,0)</f>
        <v>1</v>
      </c>
      <c r="F1320" s="32" t="n">
        <f aca="false">IF('Raw Orders'!K1317="Refunded",'Raw Orders'!G1317,0)</f>
        <v>0</v>
      </c>
    </row>
    <row r="1321" customFormat="false" ht="15" hidden="false" customHeight="false" outlineLevel="0" collapsed="false">
      <c r="A1321" s="36" t="n">
        <f aca="false">IF('Raw Orders'!B1318="","",IF(MID('Raw Orders'!B1318,5,1)="-",DATE(VALUE(LEFT('Raw Orders'!B1318,4)),VALUE(MID('Raw Orders'!B1318,6,2)),VALUE(MID('Raw Orders'!B1318,9,2))),DATE(VALUE(MID('Raw Orders'!B1318,7,4)),VALUE(MID('Raw Orders'!B1318,4,2)),VALUE(LEFT('Raw Orders'!B1318,2)))))</f>
        <v>46217</v>
      </c>
      <c r="B1321" s="36" t="n">
        <f aca="false">IF(A1321="","",A1321-WEEKDAY(A1321,3))</f>
        <v>46216</v>
      </c>
      <c r="C1321" s="32" t="n">
        <f aca="false">IF(OR('Raw Orders'!C1318&lt;&gt;"Product",'Raw Orders'!K1318="Cancelled"),0,'Raw Orders'!G1318)</f>
        <v>0</v>
      </c>
      <c r="D1321" s="31" t="n">
        <f aca="false">IF(AND('Raw Orders'!C1318="Product",'Raw Orders'!K1318="Fulfilled",COUNTIFS('Raw Orders'!$A$2:$A1318,'Raw Orders'!A1318,'Raw Orders'!$C$2:$C1318,"Product",'Raw Orders'!$K$2:$K1318,"Fulfilled")=1),1,0)</f>
        <v>0</v>
      </c>
      <c r="E1321" s="31" t="n">
        <f aca="false">IF(AND('Raw Orders'!C1318="Product",'Raw Orders'!K1318="Fulfilled"),'Raw Orders'!E1318,0)</f>
        <v>0</v>
      </c>
      <c r="F1321" s="32" t="n">
        <f aca="false">IF('Raw Orders'!K1318="Refunded",'Raw Orders'!G1318,0)</f>
        <v>0</v>
      </c>
    </row>
    <row r="1322" customFormat="false" ht="15" hidden="false" customHeight="false" outlineLevel="0" collapsed="false">
      <c r="A1322" s="36" t="n">
        <f aca="false">IF('Raw Orders'!B1319="","",IF(MID('Raw Orders'!B1319,5,1)="-",DATE(VALUE(LEFT('Raw Orders'!B1319,4)),VALUE(MID('Raw Orders'!B1319,6,2)),VALUE(MID('Raw Orders'!B1319,9,2))),DATE(VALUE(MID('Raw Orders'!B1319,7,4)),VALUE(MID('Raw Orders'!B1319,4,2)),VALUE(LEFT('Raw Orders'!B1319,2)))))</f>
        <v>46217</v>
      </c>
      <c r="B1322" s="36" t="n">
        <f aca="false">IF(A1322="","",A1322-WEEKDAY(A1322,3))</f>
        <v>46216</v>
      </c>
      <c r="C1322" s="32" t="n">
        <f aca="false">IF(OR('Raw Orders'!C1319&lt;&gt;"Product",'Raw Orders'!K1319="Cancelled"),0,'Raw Orders'!G1319)</f>
        <v>78</v>
      </c>
      <c r="D1322" s="31" t="n">
        <f aca="false">IF(AND('Raw Orders'!C1319="Product",'Raw Orders'!K1319="Fulfilled",COUNTIFS('Raw Orders'!$A$2:$A1319,'Raw Orders'!A1319,'Raw Orders'!$C$2:$C1319,"Product",'Raw Orders'!$K$2:$K1319,"Fulfilled")=1),1,0)</f>
        <v>1</v>
      </c>
      <c r="E1322" s="31" t="n">
        <f aca="false">IF(AND('Raw Orders'!C1319="Product",'Raw Orders'!K1319="Fulfilled"),'Raw Orders'!E1319,0)</f>
        <v>2</v>
      </c>
      <c r="F1322" s="32" t="n">
        <f aca="false">IF('Raw Orders'!K1319="Refunded",'Raw Orders'!G1319,0)</f>
        <v>0</v>
      </c>
    </row>
    <row r="1323" customFormat="false" ht="15" hidden="false" customHeight="false" outlineLevel="0" collapsed="false">
      <c r="A1323" s="36" t="n">
        <f aca="false">IF('Raw Orders'!B1320="","",IF(MID('Raw Orders'!B1320,5,1)="-",DATE(VALUE(LEFT('Raw Orders'!B1320,4)),VALUE(MID('Raw Orders'!B1320,6,2)),VALUE(MID('Raw Orders'!B1320,9,2))),DATE(VALUE(MID('Raw Orders'!B1320,7,4)),VALUE(MID('Raw Orders'!B1320,4,2)),VALUE(LEFT('Raw Orders'!B1320,2)))))</f>
        <v>46217</v>
      </c>
      <c r="B1323" s="36" t="n">
        <f aca="false">IF(A1323="","",A1323-WEEKDAY(A1323,3))</f>
        <v>46216</v>
      </c>
      <c r="C1323" s="32" t="n">
        <f aca="false">IF(OR('Raw Orders'!C1320&lt;&gt;"Product",'Raw Orders'!K1320="Cancelled"),0,'Raw Orders'!G1320)</f>
        <v>0</v>
      </c>
      <c r="D1323" s="31" t="n">
        <f aca="false">IF(AND('Raw Orders'!C1320="Product",'Raw Orders'!K1320="Fulfilled",COUNTIFS('Raw Orders'!$A$2:$A1320,'Raw Orders'!A1320,'Raw Orders'!$C$2:$C1320,"Product",'Raw Orders'!$K$2:$K1320,"Fulfilled")=1),1,0)</f>
        <v>0</v>
      </c>
      <c r="E1323" s="31" t="n">
        <f aca="false">IF(AND('Raw Orders'!C1320="Product",'Raw Orders'!K1320="Fulfilled"),'Raw Orders'!E1320,0)</f>
        <v>0</v>
      </c>
      <c r="F1323" s="32" t="n">
        <f aca="false">IF('Raw Orders'!K1320="Refunded",'Raw Orders'!G1320,0)</f>
        <v>0</v>
      </c>
    </row>
    <row r="1324" customFormat="false" ht="15" hidden="false" customHeight="false" outlineLevel="0" collapsed="false">
      <c r="A1324" s="36" t="n">
        <f aca="false">IF('Raw Orders'!B1321="","",IF(MID('Raw Orders'!B1321,5,1)="-",DATE(VALUE(LEFT('Raw Orders'!B1321,4)),VALUE(MID('Raw Orders'!B1321,6,2)),VALUE(MID('Raw Orders'!B1321,9,2))),DATE(VALUE(MID('Raw Orders'!B1321,7,4)),VALUE(MID('Raw Orders'!B1321,4,2)),VALUE(LEFT('Raw Orders'!B1321,2)))))</f>
        <v>46217</v>
      </c>
      <c r="B1324" s="36" t="n">
        <f aca="false">IF(A1324="","",A1324-WEEKDAY(A1324,3))</f>
        <v>46216</v>
      </c>
      <c r="C1324" s="32" t="n">
        <f aca="false">IF(OR('Raw Orders'!C1321&lt;&gt;"Product",'Raw Orders'!K1321="Cancelled"),0,'Raw Orders'!G1321)</f>
        <v>39</v>
      </c>
      <c r="D1324" s="31" t="n">
        <f aca="false">IF(AND('Raw Orders'!C1321="Product",'Raw Orders'!K1321="Fulfilled",COUNTIFS('Raw Orders'!$A$2:$A1321,'Raw Orders'!A1321,'Raw Orders'!$C$2:$C1321,"Product",'Raw Orders'!$K$2:$K1321,"Fulfilled")=1),1,0)</f>
        <v>1</v>
      </c>
      <c r="E1324" s="31" t="n">
        <f aca="false">IF(AND('Raw Orders'!C1321="Product",'Raw Orders'!K1321="Fulfilled"),'Raw Orders'!E1321,0)</f>
        <v>1</v>
      </c>
      <c r="F1324" s="32" t="n">
        <f aca="false">IF('Raw Orders'!K1321="Refunded",'Raw Orders'!G1321,0)</f>
        <v>0</v>
      </c>
    </row>
    <row r="1325" customFormat="false" ht="15" hidden="false" customHeight="false" outlineLevel="0" collapsed="false">
      <c r="A1325" s="36" t="n">
        <f aca="false">IF('Raw Orders'!B1322="","",IF(MID('Raw Orders'!B1322,5,1)="-",DATE(VALUE(LEFT('Raw Orders'!B1322,4)),VALUE(MID('Raw Orders'!B1322,6,2)),VALUE(MID('Raw Orders'!B1322,9,2))),DATE(VALUE(MID('Raw Orders'!B1322,7,4)),VALUE(MID('Raw Orders'!B1322,4,2)),VALUE(LEFT('Raw Orders'!B1322,2)))))</f>
        <v>46218</v>
      </c>
      <c r="B1325" s="36" t="n">
        <f aca="false">IF(A1325="","",A1325-WEEKDAY(A1325,3))</f>
        <v>46216</v>
      </c>
      <c r="C1325" s="32" t="n">
        <f aca="false">IF(OR('Raw Orders'!C1322&lt;&gt;"Product",'Raw Orders'!K1322="Cancelled"),0,'Raw Orders'!G1322)</f>
        <v>0</v>
      </c>
      <c r="D1325" s="31" t="n">
        <f aca="false">IF(AND('Raw Orders'!C1322="Product",'Raw Orders'!K1322="Fulfilled",COUNTIFS('Raw Orders'!$A$2:$A1322,'Raw Orders'!A1322,'Raw Orders'!$C$2:$C1322,"Product",'Raw Orders'!$K$2:$K1322,"Fulfilled")=1),1,0)</f>
        <v>0</v>
      </c>
      <c r="E1325" s="31" t="n">
        <f aca="false">IF(AND('Raw Orders'!C1322="Product",'Raw Orders'!K1322="Fulfilled"),'Raw Orders'!E1322,0)</f>
        <v>0</v>
      </c>
      <c r="F1325" s="32" t="n">
        <f aca="false">IF('Raw Orders'!K1322="Refunded",'Raw Orders'!G1322,0)</f>
        <v>0</v>
      </c>
    </row>
    <row r="1326" customFormat="false" ht="15" hidden="false" customHeight="false" outlineLevel="0" collapsed="false">
      <c r="A1326" s="36" t="n">
        <f aca="false">IF('Raw Orders'!B1323="","",IF(MID('Raw Orders'!B1323,5,1)="-",DATE(VALUE(LEFT('Raw Orders'!B1323,4)),VALUE(MID('Raw Orders'!B1323,6,2)),VALUE(MID('Raw Orders'!B1323,9,2))),DATE(VALUE(MID('Raw Orders'!B1323,7,4)),VALUE(MID('Raw Orders'!B1323,4,2)),VALUE(LEFT('Raw Orders'!B1323,2)))))</f>
        <v>46218</v>
      </c>
      <c r="B1326" s="36" t="n">
        <f aca="false">IF(A1326="","",A1326-WEEKDAY(A1326,3))</f>
        <v>46216</v>
      </c>
      <c r="C1326" s="32" t="n">
        <f aca="false">IF(OR('Raw Orders'!C1323&lt;&gt;"Product",'Raw Orders'!K1323="Cancelled"),0,'Raw Orders'!G1323)</f>
        <v>35</v>
      </c>
      <c r="D1326" s="31" t="n">
        <f aca="false">IF(AND('Raw Orders'!C1323="Product",'Raw Orders'!K1323="Fulfilled",COUNTIFS('Raw Orders'!$A$2:$A1323,'Raw Orders'!A1323,'Raw Orders'!$C$2:$C1323,"Product",'Raw Orders'!$K$2:$K1323,"Fulfilled")=1),1,0)</f>
        <v>1</v>
      </c>
      <c r="E1326" s="31" t="n">
        <f aca="false">IF(AND('Raw Orders'!C1323="Product",'Raw Orders'!K1323="Fulfilled"),'Raw Orders'!E1323,0)</f>
        <v>1</v>
      </c>
      <c r="F1326" s="32" t="n">
        <f aca="false">IF('Raw Orders'!K1323="Refunded",'Raw Orders'!G1323,0)</f>
        <v>0</v>
      </c>
    </row>
    <row r="1327" customFormat="false" ht="15" hidden="false" customHeight="false" outlineLevel="0" collapsed="false">
      <c r="A1327" s="36" t="n">
        <f aca="false">IF('Raw Orders'!B1324="","",IF(MID('Raw Orders'!B1324,5,1)="-",DATE(VALUE(LEFT('Raw Orders'!B1324,4)),VALUE(MID('Raw Orders'!B1324,6,2)),VALUE(MID('Raw Orders'!B1324,9,2))),DATE(VALUE(MID('Raw Orders'!B1324,7,4)),VALUE(MID('Raw Orders'!B1324,4,2)),VALUE(LEFT('Raw Orders'!B1324,2)))))</f>
        <v>46218</v>
      </c>
      <c r="B1327" s="36" t="n">
        <f aca="false">IF(A1327="","",A1327-WEEKDAY(A1327,3))</f>
        <v>46216</v>
      </c>
      <c r="C1327" s="32" t="n">
        <f aca="false">IF(OR('Raw Orders'!C1324&lt;&gt;"Product",'Raw Orders'!K1324="Cancelled"),0,'Raw Orders'!G1324)</f>
        <v>110.4</v>
      </c>
      <c r="D1327" s="31" t="n">
        <f aca="false">IF(AND('Raw Orders'!C1324="Product",'Raw Orders'!K1324="Fulfilled",COUNTIFS('Raw Orders'!$A$2:$A1324,'Raw Orders'!A1324,'Raw Orders'!$C$2:$C1324,"Product",'Raw Orders'!$K$2:$K1324,"Fulfilled")=1),1,0)</f>
        <v>1</v>
      </c>
      <c r="E1327" s="31" t="n">
        <f aca="false">IF(AND('Raw Orders'!C1324="Product",'Raw Orders'!K1324="Fulfilled"),'Raw Orders'!E1324,0)</f>
        <v>2</v>
      </c>
      <c r="F1327" s="32" t="n">
        <f aca="false">IF('Raw Orders'!K1324="Refunded",'Raw Orders'!G1324,0)</f>
        <v>0</v>
      </c>
    </row>
    <row r="1328" customFormat="false" ht="15" hidden="false" customHeight="false" outlineLevel="0" collapsed="false">
      <c r="A1328" s="36" t="n">
        <f aca="false">IF('Raw Orders'!B1325="","",IF(MID('Raw Orders'!B1325,5,1)="-",DATE(VALUE(LEFT('Raw Orders'!B1325,4)),VALUE(MID('Raw Orders'!B1325,6,2)),VALUE(MID('Raw Orders'!B1325,9,2))),DATE(VALUE(MID('Raw Orders'!B1325,7,4)),VALUE(MID('Raw Orders'!B1325,4,2)),VALUE(LEFT('Raw Orders'!B1325,2)))))</f>
        <v>46218</v>
      </c>
      <c r="B1328" s="36" t="n">
        <f aca="false">IF(A1328="","",A1328-WEEKDAY(A1328,3))</f>
        <v>46216</v>
      </c>
      <c r="C1328" s="32" t="n">
        <f aca="false">IF(OR('Raw Orders'!C1325&lt;&gt;"Product",'Raw Orders'!K1325="Cancelled"),0,'Raw Orders'!G1325)</f>
        <v>0</v>
      </c>
      <c r="D1328" s="31" t="n">
        <f aca="false">IF(AND('Raw Orders'!C1325="Product",'Raw Orders'!K1325="Fulfilled",COUNTIFS('Raw Orders'!$A$2:$A1325,'Raw Orders'!A1325,'Raw Orders'!$C$2:$C1325,"Product",'Raw Orders'!$K$2:$K1325,"Fulfilled")=1),1,0)</f>
        <v>0</v>
      </c>
      <c r="E1328" s="31" t="n">
        <f aca="false">IF(AND('Raw Orders'!C1325="Product",'Raw Orders'!K1325="Fulfilled"),'Raw Orders'!E1325,0)</f>
        <v>0</v>
      </c>
      <c r="F1328" s="32" t="n">
        <f aca="false">IF('Raw Orders'!K1325="Refunded",'Raw Orders'!G1325,0)</f>
        <v>0</v>
      </c>
    </row>
    <row r="1329" customFormat="false" ht="15" hidden="false" customHeight="false" outlineLevel="0" collapsed="false">
      <c r="A1329" s="36" t="n">
        <f aca="false">IF('Raw Orders'!B1326="","",IF(MID('Raw Orders'!B1326,5,1)="-",DATE(VALUE(LEFT('Raw Orders'!B1326,4)),VALUE(MID('Raw Orders'!B1326,6,2)),VALUE(MID('Raw Orders'!B1326,9,2))),DATE(VALUE(MID('Raw Orders'!B1326,7,4)),VALUE(MID('Raw Orders'!B1326,4,2)),VALUE(LEFT('Raw Orders'!B1326,2)))))</f>
        <v>46218</v>
      </c>
      <c r="B1329" s="36" t="n">
        <f aca="false">IF(A1329="","",A1329-WEEKDAY(A1329,3))</f>
        <v>46216</v>
      </c>
      <c r="C1329" s="32" t="n">
        <f aca="false">IF(OR('Raw Orders'!C1326&lt;&gt;"Product",'Raw Orders'!K1326="Cancelled"),0,'Raw Orders'!G1326)</f>
        <v>55.2</v>
      </c>
      <c r="D1329" s="31" t="n">
        <f aca="false">IF(AND('Raw Orders'!C1326="Product",'Raw Orders'!K1326="Fulfilled",COUNTIFS('Raw Orders'!$A$2:$A1326,'Raw Orders'!A1326,'Raw Orders'!$C$2:$C1326,"Product",'Raw Orders'!$K$2:$K1326,"Fulfilled")=1),1,0)</f>
        <v>1</v>
      </c>
      <c r="E1329" s="31" t="n">
        <f aca="false">IF(AND('Raw Orders'!C1326="Product",'Raw Orders'!K1326="Fulfilled"),'Raw Orders'!E1326,0)</f>
        <v>1</v>
      </c>
      <c r="F1329" s="32" t="n">
        <f aca="false">IF('Raw Orders'!K1326="Refunded",'Raw Orders'!G1326,0)</f>
        <v>0</v>
      </c>
    </row>
    <row r="1330" customFormat="false" ht="15" hidden="false" customHeight="false" outlineLevel="0" collapsed="false">
      <c r="A1330" s="36" t="n">
        <f aca="false">IF('Raw Orders'!B1327="","",IF(MID('Raw Orders'!B1327,5,1)="-",DATE(VALUE(LEFT('Raw Orders'!B1327,4)),VALUE(MID('Raw Orders'!B1327,6,2)),VALUE(MID('Raw Orders'!B1327,9,2))),DATE(VALUE(MID('Raw Orders'!B1327,7,4)),VALUE(MID('Raw Orders'!B1327,4,2)),VALUE(LEFT('Raw Orders'!B1327,2)))))</f>
        <v>46218</v>
      </c>
      <c r="B1330" s="36" t="n">
        <f aca="false">IF(A1330="","",A1330-WEEKDAY(A1330,3))</f>
        <v>46216</v>
      </c>
      <c r="C1330" s="32" t="n">
        <f aca="false">IF(OR('Raw Orders'!C1327&lt;&gt;"Product",'Raw Orders'!K1327="Cancelled"),0,'Raw Orders'!G1327)</f>
        <v>138</v>
      </c>
      <c r="D1330" s="31" t="n">
        <f aca="false">IF(AND('Raw Orders'!C1327="Product",'Raw Orders'!K1327="Fulfilled",COUNTIFS('Raw Orders'!$A$2:$A1327,'Raw Orders'!A1327,'Raw Orders'!$C$2:$C1327,"Product",'Raw Orders'!$K$2:$K1327,"Fulfilled")=1),1,0)</f>
        <v>1</v>
      </c>
      <c r="E1330" s="31" t="n">
        <f aca="false">IF(AND('Raw Orders'!C1327="Product",'Raw Orders'!K1327="Fulfilled"),'Raw Orders'!E1327,0)</f>
        <v>2</v>
      </c>
      <c r="F1330" s="32" t="n">
        <f aca="false">IF('Raw Orders'!K1327="Refunded",'Raw Orders'!G1327,0)</f>
        <v>0</v>
      </c>
    </row>
    <row r="1331" customFormat="false" ht="15" hidden="false" customHeight="false" outlineLevel="0" collapsed="false">
      <c r="A1331" s="36" t="n">
        <f aca="false">IF('Raw Orders'!B1328="","",IF(MID('Raw Orders'!B1328,5,1)="-",DATE(VALUE(LEFT('Raw Orders'!B1328,4)),VALUE(MID('Raw Orders'!B1328,6,2)),VALUE(MID('Raw Orders'!B1328,9,2))),DATE(VALUE(MID('Raw Orders'!B1328,7,4)),VALUE(MID('Raw Orders'!B1328,4,2)),VALUE(LEFT('Raw Orders'!B1328,2)))))</f>
        <v>46218</v>
      </c>
      <c r="B1331" s="36" t="n">
        <f aca="false">IF(A1331="","",A1331-WEEKDAY(A1331,3))</f>
        <v>46216</v>
      </c>
      <c r="C1331" s="32" t="n">
        <f aca="false">IF(OR('Raw Orders'!C1328&lt;&gt;"Product",'Raw Orders'!K1328="Cancelled"),0,'Raw Orders'!G1328)</f>
        <v>0</v>
      </c>
      <c r="D1331" s="31" t="n">
        <f aca="false">IF(AND('Raw Orders'!C1328="Product",'Raw Orders'!K1328="Fulfilled",COUNTIFS('Raw Orders'!$A$2:$A1328,'Raw Orders'!A1328,'Raw Orders'!$C$2:$C1328,"Product",'Raw Orders'!$K$2:$K1328,"Fulfilled")=1),1,0)</f>
        <v>0</v>
      </c>
      <c r="E1331" s="31" t="n">
        <f aca="false">IF(AND('Raw Orders'!C1328="Product",'Raw Orders'!K1328="Fulfilled"),'Raw Orders'!E1328,0)</f>
        <v>0</v>
      </c>
      <c r="F1331" s="32" t="n">
        <f aca="false">IF('Raw Orders'!K1328="Refunded",'Raw Orders'!G1328,0)</f>
        <v>0</v>
      </c>
    </row>
    <row r="1332" customFormat="false" ht="15" hidden="false" customHeight="false" outlineLevel="0" collapsed="false">
      <c r="A1332" s="36" t="n">
        <f aca="false">IF('Raw Orders'!B1329="","",IF(MID('Raw Orders'!B1329,5,1)="-",DATE(VALUE(LEFT('Raw Orders'!B1329,4)),VALUE(MID('Raw Orders'!B1329,6,2)),VALUE(MID('Raw Orders'!B1329,9,2))),DATE(VALUE(MID('Raw Orders'!B1329,7,4)),VALUE(MID('Raw Orders'!B1329,4,2)),VALUE(LEFT('Raw Orders'!B1329,2)))))</f>
        <v>46218</v>
      </c>
      <c r="B1332" s="36" t="n">
        <f aca="false">IF(A1332="","",A1332-WEEKDAY(A1332,3))</f>
        <v>46216</v>
      </c>
      <c r="C1332" s="32" t="n">
        <f aca="false">IF(OR('Raw Orders'!C1329&lt;&gt;"Product",'Raw Orders'!K1329="Cancelled"),0,'Raw Orders'!G1329)</f>
        <v>45</v>
      </c>
      <c r="D1332" s="31" t="n">
        <f aca="false">IF(AND('Raw Orders'!C1329="Product",'Raw Orders'!K1329="Fulfilled",COUNTIFS('Raw Orders'!$A$2:$A1329,'Raw Orders'!A1329,'Raw Orders'!$C$2:$C1329,"Product",'Raw Orders'!$K$2:$K1329,"Fulfilled")=1),1,0)</f>
        <v>0</v>
      </c>
      <c r="E1332" s="31" t="n">
        <f aca="false">IF(AND('Raw Orders'!C1329="Product",'Raw Orders'!K1329="Fulfilled"),'Raw Orders'!E1329,0)</f>
        <v>1</v>
      </c>
      <c r="F1332" s="32" t="n">
        <f aca="false">IF('Raw Orders'!K1329="Refunded",'Raw Orders'!G1329,0)</f>
        <v>0</v>
      </c>
    </row>
    <row r="1333" customFormat="false" ht="15" hidden="false" customHeight="false" outlineLevel="0" collapsed="false">
      <c r="A1333" s="36" t="n">
        <f aca="false">IF('Raw Orders'!B1330="","",IF(MID('Raw Orders'!B1330,5,1)="-",DATE(VALUE(LEFT('Raw Orders'!B1330,4)),VALUE(MID('Raw Orders'!B1330,6,2)),VALUE(MID('Raw Orders'!B1330,9,2))),DATE(VALUE(MID('Raw Orders'!B1330,7,4)),VALUE(MID('Raw Orders'!B1330,4,2)),VALUE(LEFT('Raw Orders'!B1330,2)))))</f>
        <v>46218</v>
      </c>
      <c r="B1333" s="36" t="n">
        <f aca="false">IF(A1333="","",A1333-WEEKDAY(A1333,3))</f>
        <v>46216</v>
      </c>
      <c r="C1333" s="32" t="n">
        <f aca="false">IF(OR('Raw Orders'!C1330&lt;&gt;"Product",'Raw Orders'!K1330="Cancelled"),0,'Raw Orders'!G1330)</f>
        <v>55.2</v>
      </c>
      <c r="D1333" s="31" t="n">
        <f aca="false">IF(AND('Raw Orders'!C1330="Product",'Raw Orders'!K1330="Fulfilled",COUNTIFS('Raw Orders'!$A$2:$A1330,'Raw Orders'!A1330,'Raw Orders'!$C$2:$C1330,"Product",'Raw Orders'!$K$2:$K1330,"Fulfilled")=1),1,0)</f>
        <v>1</v>
      </c>
      <c r="E1333" s="31" t="n">
        <f aca="false">IF(AND('Raw Orders'!C1330="Product",'Raw Orders'!K1330="Fulfilled"),'Raw Orders'!E1330,0)</f>
        <v>1</v>
      </c>
      <c r="F1333" s="32" t="n">
        <f aca="false">IF('Raw Orders'!K1330="Refunded",'Raw Orders'!G1330,0)</f>
        <v>0</v>
      </c>
    </row>
    <row r="1334" customFormat="false" ht="15" hidden="false" customHeight="false" outlineLevel="0" collapsed="false">
      <c r="A1334" s="36" t="n">
        <f aca="false">IF('Raw Orders'!B1331="","",IF(MID('Raw Orders'!B1331,5,1)="-",DATE(VALUE(LEFT('Raw Orders'!B1331,4)),VALUE(MID('Raw Orders'!B1331,6,2)),VALUE(MID('Raw Orders'!B1331,9,2))),DATE(VALUE(MID('Raw Orders'!B1331,7,4)),VALUE(MID('Raw Orders'!B1331,4,2)),VALUE(LEFT('Raw Orders'!B1331,2)))))</f>
        <v>46218</v>
      </c>
      <c r="B1334" s="36" t="n">
        <f aca="false">IF(A1334="","",A1334-WEEKDAY(A1334,3))</f>
        <v>46216</v>
      </c>
      <c r="C1334" s="32" t="n">
        <f aca="false">IF(OR('Raw Orders'!C1331&lt;&gt;"Product",'Raw Orders'!K1331="Cancelled"),0,'Raw Orders'!G1331)</f>
        <v>14</v>
      </c>
      <c r="D1334" s="31" t="n">
        <f aca="false">IF(AND('Raw Orders'!C1331="Product",'Raw Orders'!K1331="Fulfilled",COUNTIFS('Raw Orders'!$A$2:$A1331,'Raw Orders'!A1331,'Raw Orders'!$C$2:$C1331,"Product",'Raw Orders'!$K$2:$K1331,"Fulfilled")=1),1,0)</f>
        <v>0</v>
      </c>
      <c r="E1334" s="31" t="n">
        <f aca="false">IF(AND('Raw Orders'!C1331="Product",'Raw Orders'!K1331="Fulfilled"),'Raw Orders'!E1331,0)</f>
        <v>1</v>
      </c>
      <c r="F1334" s="32" t="n">
        <f aca="false">IF('Raw Orders'!K1331="Refunded",'Raw Orders'!G1331,0)</f>
        <v>0</v>
      </c>
    </row>
    <row r="1335" customFormat="false" ht="15" hidden="false" customHeight="false" outlineLevel="0" collapsed="false">
      <c r="A1335" s="36" t="n">
        <f aca="false">IF('Raw Orders'!B1332="","",IF(MID('Raw Orders'!B1332,5,1)="-",DATE(VALUE(LEFT('Raw Orders'!B1332,4)),VALUE(MID('Raw Orders'!B1332,6,2)),VALUE(MID('Raw Orders'!B1332,9,2))),DATE(VALUE(MID('Raw Orders'!B1332,7,4)),VALUE(MID('Raw Orders'!B1332,4,2)),VALUE(LEFT('Raw Orders'!B1332,2)))))</f>
        <v>46218</v>
      </c>
      <c r="B1335" s="36" t="n">
        <f aca="false">IF(A1335="","",A1335-WEEKDAY(A1335,3))</f>
        <v>46216</v>
      </c>
      <c r="C1335" s="32" t="n">
        <f aca="false">IF(OR('Raw Orders'!C1332&lt;&gt;"Product",'Raw Orders'!K1332="Cancelled"),0,'Raw Orders'!G1332)</f>
        <v>0</v>
      </c>
      <c r="D1335" s="31" t="n">
        <f aca="false">IF(AND('Raw Orders'!C1332="Product",'Raw Orders'!K1332="Fulfilled",COUNTIFS('Raw Orders'!$A$2:$A1332,'Raw Orders'!A1332,'Raw Orders'!$C$2:$C1332,"Product",'Raw Orders'!$K$2:$K1332,"Fulfilled")=1),1,0)</f>
        <v>0</v>
      </c>
      <c r="E1335" s="31" t="n">
        <f aca="false">IF(AND('Raw Orders'!C1332="Product",'Raw Orders'!K1332="Fulfilled"),'Raw Orders'!E1332,0)</f>
        <v>0</v>
      </c>
      <c r="F1335" s="32" t="n">
        <f aca="false">IF('Raw Orders'!K1332="Refunded",'Raw Orders'!G1332,0)</f>
        <v>0</v>
      </c>
    </row>
    <row r="1336" customFormat="false" ht="15" hidden="false" customHeight="false" outlineLevel="0" collapsed="false">
      <c r="A1336" s="36" t="n">
        <f aca="false">IF('Raw Orders'!B1333="","",IF(MID('Raw Orders'!B1333,5,1)="-",DATE(VALUE(LEFT('Raw Orders'!B1333,4)),VALUE(MID('Raw Orders'!B1333,6,2)),VALUE(MID('Raw Orders'!B1333,9,2))),DATE(VALUE(MID('Raw Orders'!B1333,7,4)),VALUE(MID('Raw Orders'!B1333,4,2)),VALUE(LEFT('Raw Orders'!B1333,2)))))</f>
        <v>46218</v>
      </c>
      <c r="B1336" s="36" t="n">
        <f aca="false">IF(A1336="","",A1336-WEEKDAY(A1336,3))</f>
        <v>46216</v>
      </c>
      <c r="C1336" s="32" t="n">
        <f aca="false">IF(OR('Raw Orders'!C1333&lt;&gt;"Product",'Raw Orders'!K1333="Cancelled"),0,'Raw Orders'!G1333)</f>
        <v>22</v>
      </c>
      <c r="D1336" s="31" t="n">
        <f aca="false">IF(AND('Raw Orders'!C1333="Product",'Raw Orders'!K1333="Fulfilled",COUNTIFS('Raw Orders'!$A$2:$A1333,'Raw Orders'!A1333,'Raw Orders'!$C$2:$C1333,"Product",'Raw Orders'!$K$2:$K1333,"Fulfilled")=1),1,0)</f>
        <v>1</v>
      </c>
      <c r="E1336" s="31" t="n">
        <f aca="false">IF(AND('Raw Orders'!C1333="Product",'Raw Orders'!K1333="Fulfilled"),'Raw Orders'!E1333,0)</f>
        <v>1</v>
      </c>
      <c r="F1336" s="32" t="n">
        <f aca="false">IF('Raw Orders'!K1333="Refunded",'Raw Orders'!G1333,0)</f>
        <v>0</v>
      </c>
    </row>
    <row r="1337" customFormat="false" ht="15" hidden="false" customHeight="false" outlineLevel="0" collapsed="false">
      <c r="A1337" s="36" t="n">
        <f aca="false">IF('Raw Orders'!B1334="","",IF(MID('Raw Orders'!B1334,5,1)="-",DATE(VALUE(LEFT('Raw Orders'!B1334,4)),VALUE(MID('Raw Orders'!B1334,6,2)),VALUE(MID('Raw Orders'!B1334,9,2))),DATE(VALUE(MID('Raw Orders'!B1334,7,4)),VALUE(MID('Raw Orders'!B1334,4,2)),VALUE(LEFT('Raw Orders'!B1334,2)))))</f>
        <v>46218</v>
      </c>
      <c r="B1337" s="36" t="n">
        <f aca="false">IF(A1337="","",A1337-WEEKDAY(A1337,3))</f>
        <v>46216</v>
      </c>
      <c r="C1337" s="32" t="n">
        <f aca="false">IF(OR('Raw Orders'!C1334&lt;&gt;"Product",'Raw Orders'!K1334="Cancelled"),0,'Raw Orders'!G1334)</f>
        <v>0</v>
      </c>
      <c r="D1337" s="31" t="n">
        <f aca="false">IF(AND('Raw Orders'!C1334="Product",'Raw Orders'!K1334="Fulfilled",COUNTIFS('Raw Orders'!$A$2:$A1334,'Raw Orders'!A1334,'Raw Orders'!$C$2:$C1334,"Product",'Raw Orders'!$K$2:$K1334,"Fulfilled")=1),1,0)</f>
        <v>0</v>
      </c>
      <c r="E1337" s="31" t="n">
        <f aca="false">IF(AND('Raw Orders'!C1334="Product",'Raw Orders'!K1334="Fulfilled"),'Raw Orders'!E1334,0)</f>
        <v>0</v>
      </c>
      <c r="F1337" s="32" t="n">
        <f aca="false">IF('Raw Orders'!K1334="Refunded",'Raw Orders'!G1334,0)</f>
        <v>0</v>
      </c>
    </row>
    <row r="1338" customFormat="false" ht="15" hidden="false" customHeight="false" outlineLevel="0" collapsed="false">
      <c r="A1338" s="36" t="n">
        <f aca="false">IF('Raw Orders'!B1335="","",IF(MID('Raw Orders'!B1335,5,1)="-",DATE(VALUE(LEFT('Raw Orders'!B1335,4)),VALUE(MID('Raw Orders'!B1335,6,2)),VALUE(MID('Raw Orders'!B1335,9,2))),DATE(VALUE(MID('Raw Orders'!B1335,7,4)),VALUE(MID('Raw Orders'!B1335,4,2)),VALUE(LEFT('Raw Orders'!B1335,2)))))</f>
        <v>46218</v>
      </c>
      <c r="B1338" s="36" t="n">
        <f aca="false">IF(A1338="","",A1338-WEEKDAY(A1338,3))</f>
        <v>46216</v>
      </c>
      <c r="C1338" s="32" t="n">
        <f aca="false">IF(OR('Raw Orders'!C1335&lt;&gt;"Product",'Raw Orders'!K1335="Cancelled"),0,'Raw Orders'!G1335)</f>
        <v>29</v>
      </c>
      <c r="D1338" s="31" t="n">
        <f aca="false">IF(AND('Raw Orders'!C1335="Product",'Raw Orders'!K1335="Fulfilled",COUNTIFS('Raw Orders'!$A$2:$A1335,'Raw Orders'!A1335,'Raw Orders'!$C$2:$C1335,"Product",'Raw Orders'!$K$2:$K1335,"Fulfilled")=1),1,0)</f>
        <v>1</v>
      </c>
      <c r="E1338" s="31" t="n">
        <f aca="false">IF(AND('Raw Orders'!C1335="Product",'Raw Orders'!K1335="Fulfilled"),'Raw Orders'!E1335,0)</f>
        <v>1</v>
      </c>
      <c r="F1338" s="32" t="n">
        <f aca="false">IF('Raw Orders'!K1335="Refunded",'Raw Orders'!G1335,0)</f>
        <v>0</v>
      </c>
    </row>
    <row r="1339" customFormat="false" ht="15" hidden="false" customHeight="false" outlineLevel="0" collapsed="false">
      <c r="A1339" s="36" t="n">
        <f aca="false">IF('Raw Orders'!B1336="","",IF(MID('Raw Orders'!B1336,5,1)="-",DATE(VALUE(LEFT('Raw Orders'!B1336,4)),VALUE(MID('Raw Orders'!B1336,6,2)),VALUE(MID('Raw Orders'!B1336,9,2))),DATE(VALUE(MID('Raw Orders'!B1336,7,4)),VALUE(MID('Raw Orders'!B1336,4,2)),VALUE(LEFT('Raw Orders'!B1336,2)))))</f>
        <v>46218</v>
      </c>
      <c r="B1339" s="36" t="n">
        <f aca="false">IF(A1339="","",A1339-WEEKDAY(A1339,3))</f>
        <v>46216</v>
      </c>
      <c r="C1339" s="32" t="n">
        <f aca="false">IF(OR('Raw Orders'!C1336&lt;&gt;"Product",'Raw Orders'!K1336="Cancelled"),0,'Raw Orders'!G1336)</f>
        <v>0</v>
      </c>
      <c r="D1339" s="31" t="n">
        <f aca="false">IF(AND('Raw Orders'!C1336="Product",'Raw Orders'!K1336="Fulfilled",COUNTIFS('Raw Orders'!$A$2:$A1336,'Raw Orders'!A1336,'Raw Orders'!$C$2:$C1336,"Product",'Raw Orders'!$K$2:$K1336,"Fulfilled")=1),1,0)</f>
        <v>0</v>
      </c>
      <c r="E1339" s="31" t="n">
        <f aca="false">IF(AND('Raw Orders'!C1336="Product",'Raw Orders'!K1336="Fulfilled"),'Raw Orders'!E1336,0)</f>
        <v>0</v>
      </c>
      <c r="F1339" s="32" t="n">
        <f aca="false">IF('Raw Orders'!K1336="Refunded",'Raw Orders'!G1336,0)</f>
        <v>0</v>
      </c>
    </row>
    <row r="1340" customFormat="false" ht="15" hidden="false" customHeight="false" outlineLevel="0" collapsed="false">
      <c r="A1340" s="36" t="n">
        <f aca="false">IF('Raw Orders'!B1337="","",IF(MID('Raw Orders'!B1337,5,1)="-",DATE(VALUE(LEFT('Raw Orders'!B1337,4)),VALUE(MID('Raw Orders'!B1337,6,2)),VALUE(MID('Raw Orders'!B1337,9,2))),DATE(VALUE(MID('Raw Orders'!B1337,7,4)),VALUE(MID('Raw Orders'!B1337,4,2)),VALUE(LEFT('Raw Orders'!B1337,2)))))</f>
        <v>46218</v>
      </c>
      <c r="B1340" s="36" t="n">
        <f aca="false">IF(A1340="","",A1340-WEEKDAY(A1340,3))</f>
        <v>46216</v>
      </c>
      <c r="C1340" s="32" t="n">
        <f aca="false">IF(OR('Raw Orders'!C1337&lt;&gt;"Product",'Raw Orders'!K1337="Cancelled"),0,'Raw Orders'!G1337)</f>
        <v>178</v>
      </c>
      <c r="D1340" s="31" t="n">
        <f aca="false">IF(AND('Raw Orders'!C1337="Product",'Raw Orders'!K1337="Fulfilled",COUNTIFS('Raw Orders'!$A$2:$A1337,'Raw Orders'!A1337,'Raw Orders'!$C$2:$C1337,"Product",'Raw Orders'!$K$2:$K1337,"Fulfilled")=1),1,0)</f>
        <v>1</v>
      </c>
      <c r="E1340" s="31" t="n">
        <f aca="false">IF(AND('Raw Orders'!C1337="Product",'Raw Orders'!K1337="Fulfilled"),'Raw Orders'!E1337,0)</f>
        <v>2</v>
      </c>
      <c r="F1340" s="32" t="n">
        <f aca="false">IF('Raw Orders'!K1337="Refunded",'Raw Orders'!G1337,0)</f>
        <v>0</v>
      </c>
    </row>
    <row r="1341" customFormat="false" ht="15" hidden="false" customHeight="false" outlineLevel="0" collapsed="false">
      <c r="A1341" s="36" t="n">
        <f aca="false">IF('Raw Orders'!B1338="","",IF(MID('Raw Orders'!B1338,5,1)="-",DATE(VALUE(LEFT('Raw Orders'!B1338,4)),VALUE(MID('Raw Orders'!B1338,6,2)),VALUE(MID('Raw Orders'!B1338,9,2))),DATE(VALUE(MID('Raw Orders'!B1338,7,4)),VALUE(MID('Raw Orders'!B1338,4,2)),VALUE(LEFT('Raw Orders'!B1338,2)))))</f>
        <v>46218</v>
      </c>
      <c r="B1341" s="36" t="n">
        <f aca="false">IF(A1341="","",A1341-WEEKDAY(A1341,3))</f>
        <v>46216</v>
      </c>
      <c r="C1341" s="32" t="n">
        <f aca="false">IF(OR('Raw Orders'!C1338&lt;&gt;"Product",'Raw Orders'!K1338="Cancelled"),0,'Raw Orders'!G1338)</f>
        <v>26</v>
      </c>
      <c r="D1341" s="31" t="n">
        <f aca="false">IF(AND('Raw Orders'!C1338="Product",'Raw Orders'!K1338="Fulfilled",COUNTIFS('Raw Orders'!$A$2:$A1338,'Raw Orders'!A1338,'Raw Orders'!$C$2:$C1338,"Product",'Raw Orders'!$K$2:$K1338,"Fulfilled")=1),1,0)</f>
        <v>0</v>
      </c>
      <c r="E1341" s="31" t="n">
        <f aca="false">IF(AND('Raw Orders'!C1338="Product",'Raw Orders'!K1338="Fulfilled"),'Raw Orders'!E1338,0)</f>
        <v>1</v>
      </c>
      <c r="F1341" s="32" t="n">
        <f aca="false">IF('Raw Orders'!K1338="Refunded",'Raw Orders'!G1338,0)</f>
        <v>0</v>
      </c>
    </row>
    <row r="1342" customFormat="false" ht="15" hidden="false" customHeight="false" outlineLevel="0" collapsed="false">
      <c r="A1342" s="36" t="n">
        <f aca="false">IF('Raw Orders'!B1339="","",IF(MID('Raw Orders'!B1339,5,1)="-",DATE(VALUE(LEFT('Raw Orders'!B1339,4)),VALUE(MID('Raw Orders'!B1339,6,2)),VALUE(MID('Raw Orders'!B1339,9,2))),DATE(VALUE(MID('Raw Orders'!B1339,7,4)),VALUE(MID('Raw Orders'!B1339,4,2)),VALUE(LEFT('Raw Orders'!B1339,2)))))</f>
        <v>46218</v>
      </c>
      <c r="B1342" s="36" t="n">
        <f aca="false">IF(A1342="","",A1342-WEEKDAY(A1342,3))</f>
        <v>46216</v>
      </c>
      <c r="C1342" s="32" t="n">
        <f aca="false">IF(OR('Raw Orders'!C1339&lt;&gt;"Product",'Raw Orders'!K1339="Cancelled"),0,'Raw Orders'!G1339)</f>
        <v>0</v>
      </c>
      <c r="D1342" s="31" t="n">
        <f aca="false">IF(AND('Raw Orders'!C1339="Product",'Raw Orders'!K1339="Fulfilled",COUNTIFS('Raw Orders'!$A$2:$A1339,'Raw Orders'!A1339,'Raw Orders'!$C$2:$C1339,"Product",'Raw Orders'!$K$2:$K1339,"Fulfilled")=1),1,0)</f>
        <v>0</v>
      </c>
      <c r="E1342" s="31" t="n">
        <f aca="false">IF(AND('Raw Orders'!C1339="Product",'Raw Orders'!K1339="Fulfilled"),'Raw Orders'!E1339,0)</f>
        <v>0</v>
      </c>
      <c r="F1342" s="32" t="n">
        <f aca="false">IF('Raw Orders'!K1339="Refunded",'Raw Orders'!G1339,0)</f>
        <v>0</v>
      </c>
    </row>
    <row r="1343" customFormat="false" ht="15" hidden="false" customHeight="false" outlineLevel="0" collapsed="false">
      <c r="A1343" s="36" t="n">
        <f aca="false">IF('Raw Orders'!B1340="","",IF(MID('Raw Orders'!B1340,5,1)="-",DATE(VALUE(LEFT('Raw Orders'!B1340,4)),VALUE(MID('Raw Orders'!B1340,6,2)),VALUE(MID('Raw Orders'!B1340,9,2))),DATE(VALUE(MID('Raw Orders'!B1340,7,4)),VALUE(MID('Raw Orders'!B1340,4,2)),VALUE(LEFT('Raw Orders'!B1340,2)))))</f>
        <v>46219</v>
      </c>
      <c r="B1343" s="36" t="n">
        <f aca="false">IF(A1343="","",A1343-WEEKDAY(A1343,3))</f>
        <v>46216</v>
      </c>
      <c r="C1343" s="32" t="n">
        <f aca="false">IF(OR('Raw Orders'!C1340&lt;&gt;"Product",'Raw Orders'!K1340="Cancelled"),0,'Raw Orders'!G1340)</f>
        <v>0</v>
      </c>
      <c r="D1343" s="31" t="n">
        <f aca="false">IF(AND('Raw Orders'!C1340="Product",'Raw Orders'!K1340="Fulfilled",COUNTIFS('Raw Orders'!$A$2:$A1340,'Raw Orders'!A1340,'Raw Orders'!$C$2:$C1340,"Product",'Raw Orders'!$K$2:$K1340,"Fulfilled")=1),1,0)</f>
        <v>0</v>
      </c>
      <c r="E1343" s="31" t="n">
        <f aca="false">IF(AND('Raw Orders'!C1340="Product",'Raw Orders'!K1340="Fulfilled"),'Raw Orders'!E1340,0)</f>
        <v>0</v>
      </c>
      <c r="F1343" s="32" t="n">
        <f aca="false">IF('Raw Orders'!K1340="Refunded",'Raw Orders'!G1340,0)</f>
        <v>0</v>
      </c>
    </row>
    <row r="1344" customFormat="false" ht="15" hidden="false" customHeight="false" outlineLevel="0" collapsed="false">
      <c r="A1344" s="36" t="n">
        <f aca="false">IF('Raw Orders'!B1341="","",IF(MID('Raw Orders'!B1341,5,1)="-",DATE(VALUE(LEFT('Raw Orders'!B1341,4)),VALUE(MID('Raw Orders'!B1341,6,2)),VALUE(MID('Raw Orders'!B1341,9,2))),DATE(VALUE(MID('Raw Orders'!B1341,7,4)),VALUE(MID('Raw Orders'!B1341,4,2)),VALUE(LEFT('Raw Orders'!B1341,2)))))</f>
        <v>46219</v>
      </c>
      <c r="B1344" s="36" t="n">
        <f aca="false">IF(A1344="","",A1344-WEEKDAY(A1344,3))</f>
        <v>46216</v>
      </c>
      <c r="C1344" s="32" t="n">
        <f aca="false">IF(OR('Raw Orders'!C1341&lt;&gt;"Product",'Raw Orders'!K1341="Cancelled"),0,'Raw Orders'!G1341)</f>
        <v>138</v>
      </c>
      <c r="D1344" s="31" t="n">
        <f aca="false">IF(AND('Raw Orders'!C1341="Product",'Raw Orders'!K1341="Fulfilled",COUNTIFS('Raw Orders'!$A$2:$A1341,'Raw Orders'!A1341,'Raw Orders'!$C$2:$C1341,"Product",'Raw Orders'!$K$2:$K1341,"Fulfilled")=1),1,0)</f>
        <v>1</v>
      </c>
      <c r="E1344" s="31" t="n">
        <f aca="false">IF(AND('Raw Orders'!C1341="Product",'Raw Orders'!K1341="Fulfilled"),'Raw Orders'!E1341,0)</f>
        <v>2</v>
      </c>
      <c r="F1344" s="32" t="n">
        <f aca="false">IF('Raw Orders'!K1341="Refunded",'Raw Orders'!G1341,0)</f>
        <v>0</v>
      </c>
    </row>
    <row r="1345" customFormat="false" ht="15" hidden="false" customHeight="false" outlineLevel="0" collapsed="false">
      <c r="A1345" s="36" t="n">
        <f aca="false">IF('Raw Orders'!B1342="","",IF(MID('Raw Orders'!B1342,5,1)="-",DATE(VALUE(LEFT('Raw Orders'!B1342,4)),VALUE(MID('Raw Orders'!B1342,6,2)),VALUE(MID('Raw Orders'!B1342,9,2))),DATE(VALUE(MID('Raw Orders'!B1342,7,4)),VALUE(MID('Raw Orders'!B1342,4,2)),VALUE(LEFT('Raw Orders'!B1342,2)))))</f>
        <v>46219</v>
      </c>
      <c r="B1345" s="36" t="n">
        <f aca="false">IF(A1345="","",A1345-WEEKDAY(A1345,3))</f>
        <v>46216</v>
      </c>
      <c r="C1345" s="32" t="n">
        <f aca="false">IF(OR('Raw Orders'!C1342&lt;&gt;"Product",'Raw Orders'!K1342="Cancelled"),0,'Raw Orders'!G1342)</f>
        <v>64</v>
      </c>
      <c r="D1345" s="31" t="n">
        <f aca="false">IF(AND('Raw Orders'!C1342="Product",'Raw Orders'!K1342="Fulfilled",COUNTIFS('Raw Orders'!$A$2:$A1342,'Raw Orders'!A1342,'Raw Orders'!$C$2:$C1342,"Product",'Raw Orders'!$K$2:$K1342,"Fulfilled")=1),1,0)</f>
        <v>0</v>
      </c>
      <c r="E1345" s="31" t="n">
        <f aca="false">IF(AND('Raw Orders'!C1342="Product",'Raw Orders'!K1342="Fulfilled"),'Raw Orders'!E1342,0)</f>
        <v>2</v>
      </c>
      <c r="F1345" s="32" t="n">
        <f aca="false">IF('Raw Orders'!K1342="Refunded",'Raw Orders'!G1342,0)</f>
        <v>0</v>
      </c>
    </row>
    <row r="1346" customFormat="false" ht="15" hidden="false" customHeight="false" outlineLevel="0" collapsed="false">
      <c r="A1346" s="36" t="n">
        <f aca="false">IF('Raw Orders'!B1343="","",IF(MID('Raw Orders'!B1343,5,1)="-",DATE(VALUE(LEFT('Raw Orders'!B1343,4)),VALUE(MID('Raw Orders'!B1343,6,2)),VALUE(MID('Raw Orders'!B1343,9,2))),DATE(VALUE(MID('Raw Orders'!B1343,7,4)),VALUE(MID('Raw Orders'!B1343,4,2)),VALUE(LEFT('Raw Orders'!B1343,2)))))</f>
        <v>46219</v>
      </c>
      <c r="B1346" s="36" t="n">
        <f aca="false">IF(A1346="","",A1346-WEEKDAY(A1346,3))</f>
        <v>46216</v>
      </c>
      <c r="C1346" s="32" t="n">
        <f aca="false">IF(OR('Raw Orders'!C1343&lt;&gt;"Product",'Raw Orders'!K1343="Cancelled"),0,'Raw Orders'!G1343)</f>
        <v>45</v>
      </c>
      <c r="D1346" s="31" t="n">
        <f aca="false">IF(AND('Raw Orders'!C1343="Product",'Raw Orders'!K1343="Fulfilled",COUNTIFS('Raw Orders'!$A$2:$A1343,'Raw Orders'!A1343,'Raw Orders'!$C$2:$C1343,"Product",'Raw Orders'!$K$2:$K1343,"Fulfilled")=1),1,0)</f>
        <v>0</v>
      </c>
      <c r="E1346" s="31" t="n">
        <f aca="false">IF(AND('Raw Orders'!C1343="Product",'Raw Orders'!K1343="Fulfilled"),'Raw Orders'!E1343,0)</f>
        <v>1</v>
      </c>
      <c r="F1346" s="32" t="n">
        <f aca="false">IF('Raw Orders'!K1343="Refunded",'Raw Orders'!G1343,0)</f>
        <v>0</v>
      </c>
    </row>
    <row r="1347" customFormat="false" ht="15" hidden="false" customHeight="false" outlineLevel="0" collapsed="false">
      <c r="A1347" s="36" t="n">
        <f aca="false">IF('Raw Orders'!B1344="","",IF(MID('Raw Orders'!B1344,5,1)="-",DATE(VALUE(LEFT('Raw Orders'!B1344,4)),VALUE(MID('Raw Orders'!B1344,6,2)),VALUE(MID('Raw Orders'!B1344,9,2))),DATE(VALUE(MID('Raw Orders'!B1344,7,4)),VALUE(MID('Raw Orders'!B1344,4,2)),VALUE(LEFT('Raw Orders'!B1344,2)))))</f>
        <v>46219</v>
      </c>
      <c r="B1347" s="36" t="n">
        <f aca="false">IF(A1347="","",A1347-WEEKDAY(A1347,3))</f>
        <v>46216</v>
      </c>
      <c r="C1347" s="32" t="n">
        <f aca="false">IF(OR('Raw Orders'!C1344&lt;&gt;"Product",'Raw Orders'!K1344="Cancelled"),0,'Raw Orders'!G1344)</f>
        <v>0</v>
      </c>
      <c r="D1347" s="31" t="n">
        <f aca="false">IF(AND('Raw Orders'!C1344="Product",'Raw Orders'!K1344="Fulfilled",COUNTIFS('Raw Orders'!$A$2:$A1344,'Raw Orders'!A1344,'Raw Orders'!$C$2:$C1344,"Product",'Raw Orders'!$K$2:$K1344,"Fulfilled")=1),1,0)</f>
        <v>0</v>
      </c>
      <c r="E1347" s="31" t="n">
        <f aca="false">IF(AND('Raw Orders'!C1344="Product",'Raw Orders'!K1344="Fulfilled"),'Raw Orders'!E1344,0)</f>
        <v>0</v>
      </c>
      <c r="F1347" s="32" t="n">
        <f aca="false">IF('Raw Orders'!K1344="Refunded",'Raw Orders'!G1344,0)</f>
        <v>0</v>
      </c>
    </row>
    <row r="1348" customFormat="false" ht="15" hidden="false" customHeight="false" outlineLevel="0" collapsed="false">
      <c r="A1348" s="36" t="n">
        <f aca="false">IF('Raw Orders'!B1345="","",IF(MID('Raw Orders'!B1345,5,1)="-",DATE(VALUE(LEFT('Raw Orders'!B1345,4)),VALUE(MID('Raw Orders'!B1345,6,2)),VALUE(MID('Raw Orders'!B1345,9,2))),DATE(VALUE(MID('Raw Orders'!B1345,7,4)),VALUE(MID('Raw Orders'!B1345,4,2)),VALUE(LEFT('Raw Orders'!B1345,2)))))</f>
        <v>46219</v>
      </c>
      <c r="B1348" s="36" t="n">
        <f aca="false">IF(A1348="","",A1348-WEEKDAY(A1348,3))</f>
        <v>46216</v>
      </c>
      <c r="C1348" s="32" t="n">
        <f aca="false">IF(OR('Raw Orders'!C1345&lt;&gt;"Product",'Raw Orders'!K1345="Cancelled"),0,'Raw Orders'!G1345)</f>
        <v>45</v>
      </c>
      <c r="D1348" s="31" t="n">
        <f aca="false">IF(AND('Raw Orders'!C1345="Product",'Raw Orders'!K1345="Fulfilled",COUNTIFS('Raw Orders'!$A$2:$A1345,'Raw Orders'!A1345,'Raw Orders'!$C$2:$C1345,"Product",'Raw Orders'!$K$2:$K1345,"Fulfilled")=1),1,0)</f>
        <v>0</v>
      </c>
      <c r="E1348" s="31" t="n">
        <f aca="false">IF(AND('Raw Orders'!C1345="Product",'Raw Orders'!K1345="Fulfilled"),'Raw Orders'!E1345,0)</f>
        <v>1</v>
      </c>
      <c r="F1348" s="32" t="n">
        <f aca="false">IF('Raw Orders'!K1345="Refunded",'Raw Orders'!G1345,0)</f>
        <v>0</v>
      </c>
    </row>
    <row r="1349" customFormat="false" ht="15" hidden="false" customHeight="false" outlineLevel="0" collapsed="false">
      <c r="A1349" s="36" t="n">
        <f aca="false">IF('Raw Orders'!B1346="","",IF(MID('Raw Orders'!B1346,5,1)="-",DATE(VALUE(LEFT('Raw Orders'!B1346,4)),VALUE(MID('Raw Orders'!B1346,6,2)),VALUE(MID('Raw Orders'!B1346,9,2))),DATE(VALUE(MID('Raw Orders'!B1346,7,4)),VALUE(MID('Raw Orders'!B1346,4,2)),VALUE(LEFT('Raw Orders'!B1346,2)))))</f>
        <v>46219</v>
      </c>
      <c r="B1349" s="36" t="n">
        <f aca="false">IF(A1349="","",A1349-WEEKDAY(A1349,3))</f>
        <v>46216</v>
      </c>
      <c r="C1349" s="32" t="n">
        <f aca="false">IF(OR('Raw Orders'!C1346&lt;&gt;"Product",'Raw Orders'!K1346="Cancelled"),0,'Raw Orders'!G1346)</f>
        <v>0</v>
      </c>
      <c r="D1349" s="31" t="n">
        <f aca="false">IF(AND('Raw Orders'!C1346="Product",'Raw Orders'!K1346="Fulfilled",COUNTIFS('Raw Orders'!$A$2:$A1346,'Raw Orders'!A1346,'Raw Orders'!$C$2:$C1346,"Product",'Raw Orders'!$K$2:$K1346,"Fulfilled")=1),1,0)</f>
        <v>0</v>
      </c>
      <c r="E1349" s="31" t="n">
        <f aca="false">IF(AND('Raw Orders'!C1346="Product",'Raw Orders'!K1346="Fulfilled"),'Raw Orders'!E1346,0)</f>
        <v>0</v>
      </c>
      <c r="F1349" s="32" t="n">
        <f aca="false">IF('Raw Orders'!K1346="Refunded",'Raw Orders'!G1346,0)</f>
        <v>0</v>
      </c>
    </row>
    <row r="1350" customFormat="false" ht="15" hidden="false" customHeight="false" outlineLevel="0" collapsed="false">
      <c r="A1350" s="36" t="n">
        <f aca="false">IF('Raw Orders'!B1347="","",IF(MID('Raw Orders'!B1347,5,1)="-",DATE(VALUE(LEFT('Raw Orders'!B1347,4)),VALUE(MID('Raw Orders'!B1347,6,2)),VALUE(MID('Raw Orders'!B1347,9,2))),DATE(VALUE(MID('Raw Orders'!B1347,7,4)),VALUE(MID('Raw Orders'!B1347,4,2)),VALUE(LEFT('Raw Orders'!B1347,2)))))</f>
        <v>46219</v>
      </c>
      <c r="B1350" s="36" t="n">
        <f aca="false">IF(A1350="","",A1350-WEEKDAY(A1350,3))</f>
        <v>46216</v>
      </c>
      <c r="C1350" s="32" t="n">
        <f aca="false">IF(OR('Raw Orders'!C1347&lt;&gt;"Product",'Raw Orders'!K1347="Cancelled"),0,'Raw Orders'!G1347)</f>
        <v>178</v>
      </c>
      <c r="D1350" s="31" t="n">
        <f aca="false">IF(AND('Raw Orders'!C1347="Product",'Raw Orders'!K1347="Fulfilled",COUNTIFS('Raw Orders'!$A$2:$A1347,'Raw Orders'!A1347,'Raw Orders'!$C$2:$C1347,"Product",'Raw Orders'!$K$2:$K1347,"Fulfilled")=1),1,0)</f>
        <v>1</v>
      </c>
      <c r="E1350" s="31" t="n">
        <f aca="false">IF(AND('Raw Orders'!C1347="Product",'Raw Orders'!K1347="Fulfilled"),'Raw Orders'!E1347,0)</f>
        <v>2</v>
      </c>
      <c r="F1350" s="32" t="n">
        <f aca="false">IF('Raw Orders'!K1347="Refunded",'Raw Orders'!G1347,0)</f>
        <v>0</v>
      </c>
    </row>
    <row r="1351" customFormat="false" ht="15" hidden="false" customHeight="false" outlineLevel="0" collapsed="false">
      <c r="A1351" s="36" t="n">
        <f aca="false">IF('Raw Orders'!B1348="","",IF(MID('Raw Orders'!B1348,5,1)="-",DATE(VALUE(LEFT('Raw Orders'!B1348,4)),VALUE(MID('Raw Orders'!B1348,6,2)),VALUE(MID('Raw Orders'!B1348,9,2))),DATE(VALUE(MID('Raw Orders'!B1348,7,4)),VALUE(MID('Raw Orders'!B1348,4,2)),VALUE(LEFT('Raw Orders'!B1348,2)))))</f>
        <v>46219</v>
      </c>
      <c r="B1351" s="36" t="n">
        <f aca="false">IF(A1351="","",A1351-WEEKDAY(A1351,3))</f>
        <v>46216</v>
      </c>
      <c r="C1351" s="32" t="n">
        <f aca="false">IF(OR('Raw Orders'!C1348&lt;&gt;"Product",'Raw Orders'!K1348="Cancelled"),0,'Raw Orders'!G1348)</f>
        <v>26</v>
      </c>
      <c r="D1351" s="31" t="n">
        <f aca="false">IF(AND('Raw Orders'!C1348="Product",'Raw Orders'!K1348="Fulfilled",COUNTIFS('Raw Orders'!$A$2:$A1348,'Raw Orders'!A1348,'Raw Orders'!$C$2:$C1348,"Product",'Raw Orders'!$K$2:$K1348,"Fulfilled")=1),1,0)</f>
        <v>0</v>
      </c>
      <c r="E1351" s="31" t="n">
        <f aca="false">IF(AND('Raw Orders'!C1348="Product",'Raw Orders'!K1348="Fulfilled"),'Raw Orders'!E1348,0)</f>
        <v>1</v>
      </c>
      <c r="F1351" s="32" t="n">
        <f aca="false">IF('Raw Orders'!K1348="Refunded",'Raw Orders'!G1348,0)</f>
        <v>0</v>
      </c>
    </row>
    <row r="1352" customFormat="false" ht="15" hidden="false" customHeight="false" outlineLevel="0" collapsed="false">
      <c r="A1352" s="36" t="n">
        <f aca="false">IF('Raw Orders'!B1349="","",IF(MID('Raw Orders'!B1349,5,1)="-",DATE(VALUE(LEFT('Raw Orders'!B1349,4)),VALUE(MID('Raw Orders'!B1349,6,2)),VALUE(MID('Raw Orders'!B1349,9,2))),DATE(VALUE(MID('Raw Orders'!B1349,7,4)),VALUE(MID('Raw Orders'!B1349,4,2)),VALUE(LEFT('Raw Orders'!B1349,2)))))</f>
        <v>46219</v>
      </c>
      <c r="B1352" s="36" t="n">
        <f aca="false">IF(A1352="","",A1352-WEEKDAY(A1352,3))</f>
        <v>46216</v>
      </c>
      <c r="C1352" s="32" t="n">
        <f aca="false">IF(OR('Raw Orders'!C1349&lt;&gt;"Product",'Raw Orders'!K1349="Cancelled"),0,'Raw Orders'!G1349)</f>
        <v>0</v>
      </c>
      <c r="D1352" s="31" t="n">
        <f aca="false">IF(AND('Raw Orders'!C1349="Product",'Raw Orders'!K1349="Fulfilled",COUNTIFS('Raw Orders'!$A$2:$A1349,'Raw Orders'!A1349,'Raw Orders'!$C$2:$C1349,"Product",'Raw Orders'!$K$2:$K1349,"Fulfilled")=1),1,0)</f>
        <v>0</v>
      </c>
      <c r="E1352" s="31" t="n">
        <f aca="false">IF(AND('Raw Orders'!C1349="Product",'Raw Orders'!K1349="Fulfilled"),'Raw Orders'!E1349,0)</f>
        <v>0</v>
      </c>
      <c r="F1352" s="32" t="n">
        <f aca="false">IF('Raw Orders'!K1349="Refunded",'Raw Orders'!G1349,0)</f>
        <v>0</v>
      </c>
    </row>
    <row r="1353" customFormat="false" ht="15" hidden="false" customHeight="false" outlineLevel="0" collapsed="false">
      <c r="A1353" s="36" t="n">
        <f aca="false">IF('Raw Orders'!B1350="","",IF(MID('Raw Orders'!B1350,5,1)="-",DATE(VALUE(LEFT('Raw Orders'!B1350,4)),VALUE(MID('Raw Orders'!B1350,6,2)),VALUE(MID('Raw Orders'!B1350,9,2))),DATE(VALUE(MID('Raw Orders'!B1350,7,4)),VALUE(MID('Raw Orders'!B1350,4,2)),VALUE(LEFT('Raw Orders'!B1350,2)))))</f>
        <v>46219</v>
      </c>
      <c r="B1353" s="36" t="n">
        <f aca="false">IF(A1353="","",A1353-WEEKDAY(A1353,3))</f>
        <v>46216</v>
      </c>
      <c r="C1353" s="32" t="n">
        <f aca="false">IF(OR('Raw Orders'!C1350&lt;&gt;"Product",'Raw Orders'!K1350="Cancelled"),0,'Raw Orders'!G1350)</f>
        <v>138</v>
      </c>
      <c r="D1353" s="31" t="n">
        <f aca="false">IF(AND('Raw Orders'!C1350="Product",'Raw Orders'!K1350="Fulfilled",COUNTIFS('Raw Orders'!$A$2:$A1350,'Raw Orders'!A1350,'Raw Orders'!$C$2:$C1350,"Product",'Raw Orders'!$K$2:$K1350,"Fulfilled")=1),1,0)</f>
        <v>1</v>
      </c>
      <c r="E1353" s="31" t="n">
        <f aca="false">IF(AND('Raw Orders'!C1350="Product",'Raw Orders'!K1350="Fulfilled"),'Raw Orders'!E1350,0)</f>
        <v>2</v>
      </c>
      <c r="F1353" s="32" t="n">
        <f aca="false">IF('Raw Orders'!K1350="Refunded",'Raw Orders'!G1350,0)</f>
        <v>0</v>
      </c>
    </row>
    <row r="1354" customFormat="false" ht="15" hidden="false" customHeight="false" outlineLevel="0" collapsed="false">
      <c r="A1354" s="36" t="n">
        <f aca="false">IF('Raw Orders'!B1351="","",IF(MID('Raw Orders'!B1351,5,1)="-",DATE(VALUE(LEFT('Raw Orders'!B1351,4)),VALUE(MID('Raw Orders'!B1351,6,2)),VALUE(MID('Raw Orders'!B1351,9,2))),DATE(VALUE(MID('Raw Orders'!B1351,7,4)),VALUE(MID('Raw Orders'!B1351,4,2)),VALUE(LEFT('Raw Orders'!B1351,2)))))</f>
        <v>46219</v>
      </c>
      <c r="B1354" s="36" t="n">
        <f aca="false">IF(A1354="","",A1354-WEEKDAY(A1354,3))</f>
        <v>46216</v>
      </c>
      <c r="C1354" s="32" t="n">
        <f aca="false">IF(OR('Raw Orders'!C1351&lt;&gt;"Product",'Raw Orders'!K1351="Cancelled"),0,'Raw Orders'!G1351)</f>
        <v>81</v>
      </c>
      <c r="D1354" s="31" t="n">
        <f aca="false">IF(AND('Raw Orders'!C1351="Product",'Raw Orders'!K1351="Fulfilled",COUNTIFS('Raw Orders'!$A$2:$A1351,'Raw Orders'!A1351,'Raw Orders'!$C$2:$C1351,"Product",'Raw Orders'!$K$2:$K1351,"Fulfilled")=1),1,0)</f>
        <v>1</v>
      </c>
      <c r="E1354" s="31" t="n">
        <f aca="false">IF(AND('Raw Orders'!C1351="Product",'Raw Orders'!K1351="Fulfilled"),'Raw Orders'!E1351,0)</f>
        <v>2</v>
      </c>
      <c r="F1354" s="32" t="n">
        <f aca="false">IF('Raw Orders'!K1351="Refunded",'Raw Orders'!G1351,0)</f>
        <v>0</v>
      </c>
    </row>
    <row r="1355" customFormat="false" ht="15" hidden="false" customHeight="false" outlineLevel="0" collapsed="false">
      <c r="A1355" s="36" t="n">
        <f aca="false">IF('Raw Orders'!B1352="","",IF(MID('Raw Orders'!B1352,5,1)="-",DATE(VALUE(LEFT('Raw Orders'!B1352,4)),VALUE(MID('Raw Orders'!B1352,6,2)),VALUE(MID('Raw Orders'!B1352,9,2))),DATE(VALUE(MID('Raw Orders'!B1352,7,4)),VALUE(MID('Raw Orders'!B1352,4,2)),VALUE(LEFT('Raw Orders'!B1352,2)))))</f>
        <v>46219</v>
      </c>
      <c r="B1355" s="36" t="n">
        <f aca="false">IF(A1355="","",A1355-WEEKDAY(A1355,3))</f>
        <v>46216</v>
      </c>
      <c r="C1355" s="32" t="n">
        <f aca="false">IF(OR('Raw Orders'!C1352&lt;&gt;"Product",'Raw Orders'!K1352="Cancelled"),0,'Raw Orders'!G1352)</f>
        <v>0</v>
      </c>
      <c r="D1355" s="31" t="n">
        <f aca="false">IF(AND('Raw Orders'!C1352="Product",'Raw Orders'!K1352="Fulfilled",COUNTIFS('Raw Orders'!$A$2:$A1352,'Raw Orders'!A1352,'Raw Orders'!$C$2:$C1352,"Product",'Raw Orders'!$K$2:$K1352,"Fulfilled")=1),1,0)</f>
        <v>0</v>
      </c>
      <c r="E1355" s="31" t="n">
        <f aca="false">IF(AND('Raw Orders'!C1352="Product",'Raw Orders'!K1352="Fulfilled"),'Raw Orders'!E1352,0)</f>
        <v>0</v>
      </c>
      <c r="F1355" s="32" t="n">
        <f aca="false">IF('Raw Orders'!K1352="Refunded",'Raw Orders'!G1352,0)</f>
        <v>0</v>
      </c>
    </row>
    <row r="1356" customFormat="false" ht="15" hidden="false" customHeight="false" outlineLevel="0" collapsed="false">
      <c r="A1356" s="36" t="n">
        <f aca="false">IF('Raw Orders'!B1353="","",IF(MID('Raw Orders'!B1353,5,1)="-",DATE(VALUE(LEFT('Raw Orders'!B1353,4)),VALUE(MID('Raw Orders'!B1353,6,2)),VALUE(MID('Raw Orders'!B1353,9,2))),DATE(VALUE(MID('Raw Orders'!B1353,7,4)),VALUE(MID('Raw Orders'!B1353,4,2)),VALUE(LEFT('Raw Orders'!B1353,2)))))</f>
        <v>46219</v>
      </c>
      <c r="B1356" s="36" t="n">
        <f aca="false">IF(A1356="","",A1356-WEEKDAY(A1356,3))</f>
        <v>46216</v>
      </c>
      <c r="C1356" s="32" t="n">
        <f aca="false">IF(OR('Raw Orders'!C1353&lt;&gt;"Product",'Raw Orders'!K1353="Cancelled"),0,'Raw Orders'!G1353)</f>
        <v>64</v>
      </c>
      <c r="D1356" s="31" t="n">
        <f aca="false">IF(AND('Raw Orders'!C1353="Product",'Raw Orders'!K1353="Fulfilled",COUNTIFS('Raw Orders'!$A$2:$A1353,'Raw Orders'!A1353,'Raw Orders'!$C$2:$C1353,"Product",'Raw Orders'!$K$2:$K1353,"Fulfilled")=1),1,0)</f>
        <v>1</v>
      </c>
      <c r="E1356" s="31" t="n">
        <f aca="false">IF(AND('Raw Orders'!C1353="Product",'Raw Orders'!K1353="Fulfilled"),'Raw Orders'!E1353,0)</f>
        <v>2</v>
      </c>
      <c r="F1356" s="32" t="n">
        <f aca="false">IF('Raw Orders'!K1353="Refunded",'Raw Orders'!G1353,0)</f>
        <v>0</v>
      </c>
    </row>
    <row r="1357" customFormat="false" ht="15" hidden="false" customHeight="false" outlineLevel="0" collapsed="false">
      <c r="A1357" s="36" t="n">
        <f aca="false">IF('Raw Orders'!B1354="","",IF(MID('Raw Orders'!B1354,5,1)="-",DATE(VALUE(LEFT('Raw Orders'!B1354,4)),VALUE(MID('Raw Orders'!B1354,6,2)),VALUE(MID('Raw Orders'!B1354,9,2))),DATE(VALUE(MID('Raw Orders'!B1354,7,4)),VALUE(MID('Raw Orders'!B1354,4,2)),VALUE(LEFT('Raw Orders'!B1354,2)))))</f>
        <v>46219</v>
      </c>
      <c r="B1357" s="36" t="n">
        <f aca="false">IF(A1357="","",A1357-WEEKDAY(A1357,3))</f>
        <v>46216</v>
      </c>
      <c r="C1357" s="32" t="n">
        <f aca="false">IF(OR('Raw Orders'!C1354&lt;&gt;"Product",'Raw Orders'!K1354="Cancelled"),0,'Raw Orders'!G1354)</f>
        <v>178</v>
      </c>
      <c r="D1357" s="31" t="n">
        <f aca="false">IF(AND('Raw Orders'!C1354="Product",'Raw Orders'!K1354="Fulfilled",COUNTIFS('Raw Orders'!$A$2:$A1354,'Raw Orders'!A1354,'Raw Orders'!$C$2:$C1354,"Product",'Raw Orders'!$K$2:$K1354,"Fulfilled")=1),1,0)</f>
        <v>1</v>
      </c>
      <c r="E1357" s="31" t="n">
        <f aca="false">IF(AND('Raw Orders'!C1354="Product",'Raw Orders'!K1354="Fulfilled"),'Raw Orders'!E1354,0)</f>
        <v>2</v>
      </c>
      <c r="F1357" s="32" t="n">
        <f aca="false">IF('Raw Orders'!K1354="Refunded",'Raw Orders'!G1354,0)</f>
        <v>0</v>
      </c>
    </row>
    <row r="1358" customFormat="false" ht="15" hidden="false" customHeight="false" outlineLevel="0" collapsed="false">
      <c r="A1358" s="36" t="n">
        <f aca="false">IF('Raw Orders'!B1355="","",IF(MID('Raw Orders'!B1355,5,1)="-",DATE(VALUE(LEFT('Raw Orders'!B1355,4)),VALUE(MID('Raw Orders'!B1355,6,2)),VALUE(MID('Raw Orders'!B1355,9,2))),DATE(VALUE(MID('Raw Orders'!B1355,7,4)),VALUE(MID('Raw Orders'!B1355,4,2)),VALUE(LEFT('Raw Orders'!B1355,2)))))</f>
        <v>46219</v>
      </c>
      <c r="B1358" s="36" t="n">
        <f aca="false">IF(A1358="","",A1358-WEEKDAY(A1358,3))</f>
        <v>46216</v>
      </c>
      <c r="C1358" s="32" t="n">
        <f aca="false">IF(OR('Raw Orders'!C1355&lt;&gt;"Product",'Raw Orders'!K1355="Cancelled"),0,'Raw Orders'!G1355)</f>
        <v>0</v>
      </c>
      <c r="D1358" s="31" t="n">
        <f aca="false">IF(AND('Raw Orders'!C1355="Product",'Raw Orders'!K1355="Fulfilled",COUNTIFS('Raw Orders'!$A$2:$A1355,'Raw Orders'!A1355,'Raw Orders'!$C$2:$C1355,"Product",'Raw Orders'!$K$2:$K1355,"Fulfilled")=1),1,0)</f>
        <v>0</v>
      </c>
      <c r="E1358" s="31" t="n">
        <f aca="false">IF(AND('Raw Orders'!C1355="Product",'Raw Orders'!K1355="Fulfilled"),'Raw Orders'!E1355,0)</f>
        <v>0</v>
      </c>
      <c r="F1358" s="32" t="n">
        <f aca="false">IF('Raw Orders'!K1355="Refunded",'Raw Orders'!G1355,0)</f>
        <v>0</v>
      </c>
    </row>
    <row r="1359" customFormat="false" ht="15" hidden="false" customHeight="false" outlineLevel="0" collapsed="false">
      <c r="A1359" s="36" t="n">
        <f aca="false">IF('Raw Orders'!B1356="","",IF(MID('Raw Orders'!B1356,5,1)="-",DATE(VALUE(LEFT('Raw Orders'!B1356,4)),VALUE(MID('Raw Orders'!B1356,6,2)),VALUE(MID('Raw Orders'!B1356,9,2))),DATE(VALUE(MID('Raw Orders'!B1356,7,4)),VALUE(MID('Raw Orders'!B1356,4,2)),VALUE(LEFT('Raw Orders'!B1356,2)))))</f>
        <v>46219</v>
      </c>
      <c r="B1359" s="36" t="n">
        <f aca="false">IF(A1359="","",A1359-WEEKDAY(A1359,3))</f>
        <v>46216</v>
      </c>
      <c r="C1359" s="32" t="n">
        <f aca="false">IF(OR('Raw Orders'!C1356&lt;&gt;"Product",'Raw Orders'!K1356="Cancelled"),0,'Raw Orders'!G1356)</f>
        <v>69</v>
      </c>
      <c r="D1359" s="31" t="n">
        <f aca="false">IF(AND('Raw Orders'!C1356="Product",'Raw Orders'!K1356="Fulfilled",COUNTIFS('Raw Orders'!$A$2:$A1356,'Raw Orders'!A1356,'Raw Orders'!$C$2:$C1356,"Product",'Raw Orders'!$K$2:$K1356,"Fulfilled")=1),1,0)</f>
        <v>1</v>
      </c>
      <c r="E1359" s="31" t="n">
        <f aca="false">IF(AND('Raw Orders'!C1356="Product",'Raw Orders'!K1356="Fulfilled"),'Raw Orders'!E1356,0)</f>
        <v>1</v>
      </c>
      <c r="F1359" s="32" t="n">
        <f aca="false">IF('Raw Orders'!K1356="Refunded",'Raw Orders'!G1356,0)</f>
        <v>0</v>
      </c>
    </row>
    <row r="1360" customFormat="false" ht="15" hidden="false" customHeight="false" outlineLevel="0" collapsed="false">
      <c r="A1360" s="36" t="n">
        <f aca="false">IF('Raw Orders'!B1357="","",IF(MID('Raw Orders'!B1357,5,1)="-",DATE(VALUE(LEFT('Raw Orders'!B1357,4)),VALUE(MID('Raw Orders'!B1357,6,2)),VALUE(MID('Raw Orders'!B1357,9,2))),DATE(VALUE(MID('Raw Orders'!B1357,7,4)),VALUE(MID('Raw Orders'!B1357,4,2)),VALUE(LEFT('Raw Orders'!B1357,2)))))</f>
        <v>46219</v>
      </c>
      <c r="B1360" s="36" t="n">
        <f aca="false">IF(A1360="","",A1360-WEEKDAY(A1360,3))</f>
        <v>46216</v>
      </c>
      <c r="C1360" s="32" t="n">
        <f aca="false">IF(OR('Raw Orders'!C1357&lt;&gt;"Product",'Raw Orders'!K1357="Cancelled"),0,'Raw Orders'!G1357)</f>
        <v>0</v>
      </c>
      <c r="D1360" s="31" t="n">
        <f aca="false">IF(AND('Raw Orders'!C1357="Product",'Raw Orders'!K1357="Fulfilled",COUNTIFS('Raw Orders'!$A$2:$A1357,'Raw Orders'!A1357,'Raw Orders'!$C$2:$C1357,"Product",'Raw Orders'!$K$2:$K1357,"Fulfilled")=1),1,0)</f>
        <v>0</v>
      </c>
      <c r="E1360" s="31" t="n">
        <f aca="false">IF(AND('Raw Orders'!C1357="Product",'Raw Orders'!K1357="Fulfilled"),'Raw Orders'!E1357,0)</f>
        <v>0</v>
      </c>
      <c r="F1360" s="32" t="n">
        <f aca="false">IF('Raw Orders'!K1357="Refunded",'Raw Orders'!G1357,0)</f>
        <v>0</v>
      </c>
    </row>
    <row r="1361" customFormat="false" ht="15" hidden="false" customHeight="false" outlineLevel="0" collapsed="false">
      <c r="A1361" s="36" t="n">
        <f aca="false">IF('Raw Orders'!B1358="","",IF(MID('Raw Orders'!B1358,5,1)="-",DATE(VALUE(LEFT('Raw Orders'!B1358,4)),VALUE(MID('Raw Orders'!B1358,6,2)),VALUE(MID('Raw Orders'!B1358,9,2))),DATE(VALUE(MID('Raw Orders'!B1358,7,4)),VALUE(MID('Raw Orders'!B1358,4,2)),VALUE(LEFT('Raw Orders'!B1358,2)))))</f>
        <v>46219</v>
      </c>
      <c r="B1361" s="36" t="n">
        <f aca="false">IF(A1361="","",A1361-WEEKDAY(A1361,3))</f>
        <v>46216</v>
      </c>
      <c r="C1361" s="32" t="n">
        <f aca="false">IF(OR('Raw Orders'!C1358&lt;&gt;"Product",'Raw Orders'!K1358="Cancelled"),0,'Raw Orders'!G1358)</f>
        <v>0</v>
      </c>
      <c r="D1361" s="31" t="n">
        <f aca="false">IF(AND('Raw Orders'!C1358="Product",'Raw Orders'!K1358="Fulfilled",COUNTIFS('Raw Orders'!$A$2:$A1358,'Raw Orders'!A1358,'Raw Orders'!$C$2:$C1358,"Product",'Raw Orders'!$K$2:$K1358,"Fulfilled")=1),1,0)</f>
        <v>0</v>
      </c>
      <c r="E1361" s="31" t="n">
        <f aca="false">IF(AND('Raw Orders'!C1358="Product",'Raw Orders'!K1358="Fulfilled"),'Raw Orders'!E1358,0)</f>
        <v>0</v>
      </c>
      <c r="F1361" s="32" t="n">
        <f aca="false">IF('Raw Orders'!K1358="Refunded",'Raw Orders'!G1358,0)</f>
        <v>0</v>
      </c>
    </row>
    <row r="1362" customFormat="false" ht="15" hidden="false" customHeight="false" outlineLevel="0" collapsed="false">
      <c r="A1362" s="36" t="n">
        <f aca="false">IF('Raw Orders'!B1359="","",IF(MID('Raw Orders'!B1359,5,1)="-",DATE(VALUE(LEFT('Raw Orders'!B1359,4)),VALUE(MID('Raw Orders'!B1359,6,2)),VALUE(MID('Raw Orders'!B1359,9,2))),DATE(VALUE(MID('Raw Orders'!B1359,7,4)),VALUE(MID('Raw Orders'!B1359,4,2)),VALUE(LEFT('Raw Orders'!B1359,2)))))</f>
        <v>46219</v>
      </c>
      <c r="B1362" s="36" t="n">
        <f aca="false">IF(A1362="","",A1362-WEEKDAY(A1362,3))</f>
        <v>46216</v>
      </c>
      <c r="C1362" s="32" t="n">
        <f aca="false">IF(OR('Raw Orders'!C1359&lt;&gt;"Product",'Raw Orders'!K1359="Cancelled"),0,'Raw Orders'!G1359)</f>
        <v>89</v>
      </c>
      <c r="D1362" s="31" t="n">
        <f aca="false">IF(AND('Raw Orders'!C1359="Product",'Raw Orders'!K1359="Fulfilled",COUNTIFS('Raw Orders'!$A$2:$A1359,'Raw Orders'!A1359,'Raw Orders'!$C$2:$C1359,"Product",'Raw Orders'!$K$2:$K1359,"Fulfilled")=1),1,0)</f>
        <v>1</v>
      </c>
      <c r="E1362" s="31" t="n">
        <f aca="false">IF(AND('Raw Orders'!C1359="Product",'Raw Orders'!K1359="Fulfilled"),'Raw Orders'!E1359,0)</f>
        <v>1</v>
      </c>
      <c r="F1362" s="32" t="n">
        <f aca="false">IF('Raw Orders'!K1359="Refunded",'Raw Orders'!G1359,0)</f>
        <v>0</v>
      </c>
    </row>
    <row r="1363" customFormat="false" ht="15" hidden="false" customHeight="false" outlineLevel="0" collapsed="false">
      <c r="A1363" s="36" t="n">
        <f aca="false">IF('Raw Orders'!B1360="","",IF(MID('Raw Orders'!B1360,5,1)="-",DATE(VALUE(LEFT('Raw Orders'!B1360,4)),VALUE(MID('Raw Orders'!B1360,6,2)),VALUE(MID('Raw Orders'!B1360,9,2))),DATE(VALUE(MID('Raw Orders'!B1360,7,4)),VALUE(MID('Raw Orders'!B1360,4,2)),VALUE(LEFT('Raw Orders'!B1360,2)))))</f>
        <v>46219</v>
      </c>
      <c r="B1363" s="36" t="n">
        <f aca="false">IF(A1363="","",A1363-WEEKDAY(A1363,3))</f>
        <v>46216</v>
      </c>
      <c r="C1363" s="32" t="n">
        <f aca="false">IF(OR('Raw Orders'!C1360&lt;&gt;"Product",'Raw Orders'!K1360="Cancelled"),0,'Raw Orders'!G1360)</f>
        <v>52</v>
      </c>
      <c r="D1363" s="31" t="n">
        <f aca="false">IF(AND('Raw Orders'!C1360="Product",'Raw Orders'!K1360="Fulfilled",COUNTIFS('Raw Orders'!$A$2:$A1360,'Raw Orders'!A1360,'Raw Orders'!$C$2:$C1360,"Product",'Raw Orders'!$K$2:$K1360,"Fulfilled")=1),1,0)</f>
        <v>1</v>
      </c>
      <c r="E1363" s="31" t="n">
        <f aca="false">IF(AND('Raw Orders'!C1360="Product",'Raw Orders'!K1360="Fulfilled"),'Raw Orders'!E1360,0)</f>
        <v>2</v>
      </c>
      <c r="F1363" s="32" t="n">
        <f aca="false">IF('Raw Orders'!K1360="Refunded",'Raw Orders'!G1360,0)</f>
        <v>0</v>
      </c>
    </row>
    <row r="1364" customFormat="false" ht="15" hidden="false" customHeight="false" outlineLevel="0" collapsed="false">
      <c r="A1364" s="36" t="n">
        <f aca="false">IF('Raw Orders'!B1361="","",IF(MID('Raw Orders'!B1361,5,1)="-",DATE(VALUE(LEFT('Raw Orders'!B1361,4)),VALUE(MID('Raw Orders'!B1361,6,2)),VALUE(MID('Raw Orders'!B1361,9,2))),DATE(VALUE(MID('Raw Orders'!B1361,7,4)),VALUE(MID('Raw Orders'!B1361,4,2)),VALUE(LEFT('Raw Orders'!B1361,2)))))</f>
        <v>46219</v>
      </c>
      <c r="B1364" s="36" t="n">
        <f aca="false">IF(A1364="","",A1364-WEEKDAY(A1364,3))</f>
        <v>46216</v>
      </c>
      <c r="C1364" s="32" t="n">
        <f aca="false">IF(OR('Raw Orders'!C1361&lt;&gt;"Product",'Raw Orders'!K1361="Cancelled"),0,'Raw Orders'!G1361)</f>
        <v>0</v>
      </c>
      <c r="D1364" s="31" t="n">
        <f aca="false">IF(AND('Raw Orders'!C1361="Product",'Raw Orders'!K1361="Fulfilled",COUNTIFS('Raw Orders'!$A$2:$A1361,'Raw Orders'!A1361,'Raw Orders'!$C$2:$C1361,"Product",'Raw Orders'!$K$2:$K1361,"Fulfilled")=1),1,0)</f>
        <v>0</v>
      </c>
      <c r="E1364" s="31" t="n">
        <f aca="false">IF(AND('Raw Orders'!C1361="Product",'Raw Orders'!K1361="Fulfilled"),'Raw Orders'!E1361,0)</f>
        <v>0</v>
      </c>
      <c r="F1364" s="32" t="n">
        <f aca="false">IF('Raw Orders'!K1361="Refunded",'Raw Orders'!G1361,0)</f>
        <v>0</v>
      </c>
    </row>
    <row r="1365" customFormat="false" ht="15" hidden="false" customHeight="false" outlineLevel="0" collapsed="false">
      <c r="A1365" s="36" t="n">
        <f aca="false">IF('Raw Orders'!B1362="","",IF(MID('Raw Orders'!B1362,5,1)="-",DATE(VALUE(LEFT('Raw Orders'!B1362,4)),VALUE(MID('Raw Orders'!B1362,6,2)),VALUE(MID('Raw Orders'!B1362,9,2))),DATE(VALUE(MID('Raw Orders'!B1362,7,4)),VALUE(MID('Raw Orders'!B1362,4,2)),VALUE(LEFT('Raw Orders'!B1362,2)))))</f>
        <v>46219</v>
      </c>
      <c r="B1365" s="36" t="n">
        <f aca="false">IF(A1365="","",A1365-WEEKDAY(A1365,3))</f>
        <v>46216</v>
      </c>
      <c r="C1365" s="32" t="n">
        <f aca="false">IF(OR('Raw Orders'!C1362&lt;&gt;"Product",'Raw Orders'!K1362="Cancelled"),0,'Raw Orders'!G1362)</f>
        <v>0</v>
      </c>
      <c r="D1365" s="31" t="n">
        <f aca="false">IF(AND('Raw Orders'!C1362="Product",'Raw Orders'!K1362="Fulfilled",COUNTIFS('Raw Orders'!$A$2:$A1362,'Raw Orders'!A1362,'Raw Orders'!$C$2:$C1362,"Product",'Raw Orders'!$K$2:$K1362,"Fulfilled")=1),1,0)</f>
        <v>0</v>
      </c>
      <c r="E1365" s="31" t="n">
        <f aca="false">IF(AND('Raw Orders'!C1362="Product",'Raw Orders'!K1362="Fulfilled"),'Raw Orders'!E1362,0)</f>
        <v>0</v>
      </c>
      <c r="F1365" s="32" t="n">
        <f aca="false">IF('Raw Orders'!K1362="Refunded",'Raw Orders'!G1362,0)</f>
        <v>0</v>
      </c>
    </row>
    <row r="1366" customFormat="false" ht="15" hidden="false" customHeight="false" outlineLevel="0" collapsed="false">
      <c r="A1366" s="36" t="n">
        <f aca="false">IF('Raw Orders'!B1363="","",IF(MID('Raw Orders'!B1363,5,1)="-",DATE(VALUE(LEFT('Raw Orders'!B1363,4)),VALUE(MID('Raw Orders'!B1363,6,2)),VALUE(MID('Raw Orders'!B1363,9,2))),DATE(VALUE(MID('Raw Orders'!B1363,7,4)),VALUE(MID('Raw Orders'!B1363,4,2)),VALUE(LEFT('Raw Orders'!B1363,2)))))</f>
        <v>46219</v>
      </c>
      <c r="B1366" s="36" t="n">
        <f aca="false">IF(A1366="","",A1366-WEEKDAY(A1366,3))</f>
        <v>46216</v>
      </c>
      <c r="C1366" s="32" t="n">
        <f aca="false">IF(OR('Raw Orders'!C1363&lt;&gt;"Product",'Raw Orders'!K1363="Cancelled"),0,'Raw Orders'!G1363)</f>
        <v>35</v>
      </c>
      <c r="D1366" s="31" t="n">
        <f aca="false">IF(AND('Raw Orders'!C1363="Product",'Raw Orders'!K1363="Fulfilled",COUNTIFS('Raw Orders'!$A$2:$A1363,'Raw Orders'!A1363,'Raw Orders'!$C$2:$C1363,"Product",'Raw Orders'!$K$2:$K1363,"Fulfilled")=1),1,0)</f>
        <v>1</v>
      </c>
      <c r="E1366" s="31" t="n">
        <f aca="false">IF(AND('Raw Orders'!C1363="Product",'Raw Orders'!K1363="Fulfilled"),'Raw Orders'!E1363,0)</f>
        <v>1</v>
      </c>
      <c r="F1366" s="32" t="n">
        <f aca="false">IF('Raw Orders'!K1363="Refunded",'Raw Orders'!G1363,0)</f>
        <v>0</v>
      </c>
    </row>
    <row r="1367" customFormat="false" ht="15" hidden="false" customHeight="false" outlineLevel="0" collapsed="false">
      <c r="A1367" s="36" t="n">
        <f aca="false">IF('Raw Orders'!B1364="","",IF(MID('Raw Orders'!B1364,5,1)="-",DATE(VALUE(LEFT('Raw Orders'!B1364,4)),VALUE(MID('Raw Orders'!B1364,6,2)),VALUE(MID('Raw Orders'!B1364,9,2))),DATE(VALUE(MID('Raw Orders'!B1364,7,4)),VALUE(MID('Raw Orders'!B1364,4,2)),VALUE(LEFT('Raw Orders'!B1364,2)))))</f>
        <v>46219</v>
      </c>
      <c r="B1367" s="36" t="n">
        <f aca="false">IF(A1367="","",A1367-WEEKDAY(A1367,3))</f>
        <v>46216</v>
      </c>
      <c r="C1367" s="32" t="n">
        <f aca="false">IF(OR('Raw Orders'!C1364&lt;&gt;"Product",'Raw Orders'!K1364="Cancelled"),0,'Raw Orders'!G1364)</f>
        <v>0</v>
      </c>
      <c r="D1367" s="31" t="n">
        <f aca="false">IF(AND('Raw Orders'!C1364="Product",'Raw Orders'!K1364="Fulfilled",COUNTIFS('Raw Orders'!$A$2:$A1364,'Raw Orders'!A1364,'Raw Orders'!$C$2:$C1364,"Product",'Raw Orders'!$K$2:$K1364,"Fulfilled")=1),1,0)</f>
        <v>0</v>
      </c>
      <c r="E1367" s="31" t="n">
        <f aca="false">IF(AND('Raw Orders'!C1364="Product",'Raw Orders'!K1364="Fulfilled"),'Raw Orders'!E1364,0)</f>
        <v>0</v>
      </c>
      <c r="F1367" s="32" t="n">
        <f aca="false">IF('Raw Orders'!K1364="Refunded",'Raw Orders'!G1364,0)</f>
        <v>0</v>
      </c>
    </row>
    <row r="1368" customFormat="false" ht="15" hidden="false" customHeight="false" outlineLevel="0" collapsed="false">
      <c r="A1368" s="36" t="n">
        <f aca="false">IF('Raw Orders'!B1365="","",IF(MID('Raw Orders'!B1365,5,1)="-",DATE(VALUE(LEFT('Raw Orders'!B1365,4)),VALUE(MID('Raw Orders'!B1365,6,2)),VALUE(MID('Raw Orders'!B1365,9,2))),DATE(VALUE(MID('Raw Orders'!B1365,7,4)),VALUE(MID('Raw Orders'!B1365,4,2)),VALUE(LEFT('Raw Orders'!B1365,2)))))</f>
        <v>46220</v>
      </c>
      <c r="B1368" s="36" t="n">
        <f aca="false">IF(A1368="","",A1368-WEEKDAY(A1368,3))</f>
        <v>46216</v>
      </c>
      <c r="C1368" s="32" t="n">
        <f aca="false">IF(OR('Raw Orders'!C1365&lt;&gt;"Product",'Raw Orders'!K1365="Cancelled"),0,'Raw Orders'!G1365)</f>
        <v>29</v>
      </c>
      <c r="D1368" s="31" t="n">
        <f aca="false">IF(AND('Raw Orders'!C1365="Product",'Raw Orders'!K1365="Fulfilled",COUNTIFS('Raw Orders'!$A$2:$A1365,'Raw Orders'!A1365,'Raw Orders'!$C$2:$C1365,"Product",'Raw Orders'!$K$2:$K1365,"Fulfilled")=1),1,0)</f>
        <v>1</v>
      </c>
      <c r="E1368" s="31" t="n">
        <f aca="false">IF(AND('Raw Orders'!C1365="Product",'Raw Orders'!K1365="Fulfilled"),'Raw Orders'!E1365,0)</f>
        <v>1</v>
      </c>
      <c r="F1368" s="32" t="n">
        <f aca="false">IF('Raw Orders'!K1365="Refunded",'Raw Orders'!G1365,0)</f>
        <v>0</v>
      </c>
    </row>
    <row r="1369" customFormat="false" ht="15" hidden="false" customHeight="false" outlineLevel="0" collapsed="false">
      <c r="A1369" s="36" t="n">
        <f aca="false">IF('Raw Orders'!B1366="","",IF(MID('Raw Orders'!B1366,5,1)="-",DATE(VALUE(LEFT('Raw Orders'!B1366,4)),VALUE(MID('Raw Orders'!B1366,6,2)),VALUE(MID('Raw Orders'!B1366,9,2))),DATE(VALUE(MID('Raw Orders'!B1366,7,4)),VALUE(MID('Raw Orders'!B1366,4,2)),VALUE(LEFT('Raw Orders'!B1366,2)))))</f>
        <v>46220</v>
      </c>
      <c r="B1369" s="36" t="n">
        <f aca="false">IF(A1369="","",A1369-WEEKDAY(A1369,3))</f>
        <v>46216</v>
      </c>
      <c r="C1369" s="32" t="n">
        <f aca="false">IF(OR('Raw Orders'!C1366&lt;&gt;"Product",'Raw Orders'!K1366="Cancelled"),0,'Raw Orders'!G1366)</f>
        <v>0</v>
      </c>
      <c r="D1369" s="31" t="n">
        <f aca="false">IF(AND('Raw Orders'!C1366="Product",'Raw Orders'!K1366="Fulfilled",COUNTIFS('Raw Orders'!$A$2:$A1366,'Raw Orders'!A1366,'Raw Orders'!$C$2:$C1366,"Product",'Raw Orders'!$K$2:$K1366,"Fulfilled")=1),1,0)</f>
        <v>0</v>
      </c>
      <c r="E1369" s="31" t="n">
        <f aca="false">IF(AND('Raw Orders'!C1366="Product",'Raw Orders'!K1366="Fulfilled"),'Raw Orders'!E1366,0)</f>
        <v>0</v>
      </c>
      <c r="F1369" s="32" t="n">
        <f aca="false">IF('Raw Orders'!K1366="Refunded",'Raw Orders'!G1366,0)</f>
        <v>0</v>
      </c>
    </row>
    <row r="1370" customFormat="false" ht="15" hidden="false" customHeight="false" outlineLevel="0" collapsed="false">
      <c r="A1370" s="36" t="n">
        <f aca="false">IF('Raw Orders'!B1367="","",IF(MID('Raw Orders'!B1367,5,1)="-",DATE(VALUE(LEFT('Raw Orders'!B1367,4)),VALUE(MID('Raw Orders'!B1367,6,2)),VALUE(MID('Raw Orders'!B1367,9,2))),DATE(VALUE(MID('Raw Orders'!B1367,7,4)),VALUE(MID('Raw Orders'!B1367,4,2)),VALUE(LEFT('Raw Orders'!B1367,2)))))</f>
        <v>46220</v>
      </c>
      <c r="B1370" s="36" t="n">
        <f aca="false">IF(A1370="","",A1370-WEEKDAY(A1370,3))</f>
        <v>46216</v>
      </c>
      <c r="C1370" s="32" t="n">
        <f aca="false">IF(OR('Raw Orders'!C1367&lt;&gt;"Product",'Raw Orders'!K1367="Cancelled"),0,'Raw Orders'!G1367)</f>
        <v>70</v>
      </c>
      <c r="D1370" s="31" t="n">
        <f aca="false">IF(AND('Raw Orders'!C1367="Product",'Raw Orders'!K1367="Fulfilled",COUNTIFS('Raw Orders'!$A$2:$A1367,'Raw Orders'!A1367,'Raw Orders'!$C$2:$C1367,"Product",'Raw Orders'!$K$2:$K1367,"Fulfilled")=1),1,0)</f>
        <v>1</v>
      </c>
      <c r="E1370" s="31" t="n">
        <f aca="false">IF(AND('Raw Orders'!C1367="Product",'Raw Orders'!K1367="Fulfilled"),'Raw Orders'!E1367,0)</f>
        <v>2</v>
      </c>
      <c r="F1370" s="32" t="n">
        <f aca="false">IF('Raw Orders'!K1367="Refunded",'Raw Orders'!G1367,0)</f>
        <v>0</v>
      </c>
    </row>
    <row r="1371" customFormat="false" ht="15" hidden="false" customHeight="false" outlineLevel="0" collapsed="false">
      <c r="A1371" s="36" t="n">
        <f aca="false">IF('Raw Orders'!B1368="","",IF(MID('Raw Orders'!B1368,5,1)="-",DATE(VALUE(LEFT('Raw Orders'!B1368,4)),VALUE(MID('Raw Orders'!B1368,6,2)),VALUE(MID('Raw Orders'!B1368,9,2))),DATE(VALUE(MID('Raw Orders'!B1368,7,4)),VALUE(MID('Raw Orders'!B1368,4,2)),VALUE(LEFT('Raw Orders'!B1368,2)))))</f>
        <v>46220</v>
      </c>
      <c r="B1371" s="36" t="n">
        <f aca="false">IF(A1371="","",A1371-WEEKDAY(A1371,3))</f>
        <v>46216</v>
      </c>
      <c r="C1371" s="32" t="n">
        <f aca="false">IF(OR('Raw Orders'!C1368&lt;&gt;"Product",'Raw Orders'!K1368="Cancelled"),0,'Raw Orders'!G1368)</f>
        <v>89</v>
      </c>
      <c r="D1371" s="31" t="n">
        <f aca="false">IF(AND('Raw Orders'!C1368="Product",'Raw Orders'!K1368="Fulfilled",COUNTIFS('Raw Orders'!$A$2:$A1368,'Raw Orders'!A1368,'Raw Orders'!$C$2:$C1368,"Product",'Raw Orders'!$K$2:$K1368,"Fulfilled")=1),1,0)</f>
        <v>0</v>
      </c>
      <c r="E1371" s="31" t="n">
        <f aca="false">IF(AND('Raw Orders'!C1368="Product",'Raw Orders'!K1368="Fulfilled"),'Raw Orders'!E1368,0)</f>
        <v>1</v>
      </c>
      <c r="F1371" s="32" t="n">
        <f aca="false">IF('Raw Orders'!K1368="Refunded",'Raw Orders'!G1368,0)</f>
        <v>0</v>
      </c>
    </row>
    <row r="1372" customFormat="false" ht="15" hidden="false" customHeight="false" outlineLevel="0" collapsed="false">
      <c r="A1372" s="36" t="n">
        <f aca="false">IF('Raw Orders'!B1369="","",IF(MID('Raw Orders'!B1369,5,1)="-",DATE(VALUE(LEFT('Raw Orders'!B1369,4)),VALUE(MID('Raw Orders'!B1369,6,2)),VALUE(MID('Raw Orders'!B1369,9,2))),DATE(VALUE(MID('Raw Orders'!B1369,7,4)),VALUE(MID('Raw Orders'!B1369,4,2)),VALUE(LEFT('Raw Orders'!B1369,2)))))</f>
        <v>46220</v>
      </c>
      <c r="B1372" s="36" t="n">
        <f aca="false">IF(A1372="","",A1372-WEEKDAY(A1372,3))</f>
        <v>46216</v>
      </c>
      <c r="C1372" s="32" t="n">
        <f aca="false">IF(OR('Raw Orders'!C1369&lt;&gt;"Product",'Raw Orders'!K1369="Cancelled"),0,'Raw Orders'!G1369)</f>
        <v>11.9</v>
      </c>
      <c r="D1372" s="31" t="n">
        <f aca="false">IF(AND('Raw Orders'!C1369="Product",'Raw Orders'!K1369="Fulfilled",COUNTIFS('Raw Orders'!$A$2:$A1369,'Raw Orders'!A1369,'Raw Orders'!$C$2:$C1369,"Product",'Raw Orders'!$K$2:$K1369,"Fulfilled")=1),1,0)</f>
        <v>1</v>
      </c>
      <c r="E1372" s="31" t="n">
        <f aca="false">IF(AND('Raw Orders'!C1369="Product",'Raw Orders'!K1369="Fulfilled"),'Raw Orders'!E1369,0)</f>
        <v>1</v>
      </c>
      <c r="F1372" s="32" t="n">
        <f aca="false">IF('Raw Orders'!K1369="Refunded",'Raw Orders'!G1369,0)</f>
        <v>0</v>
      </c>
    </row>
    <row r="1373" customFormat="false" ht="15" hidden="false" customHeight="false" outlineLevel="0" collapsed="false">
      <c r="A1373" s="36" t="n">
        <f aca="false">IF('Raw Orders'!B1370="","",IF(MID('Raw Orders'!B1370,5,1)="-",DATE(VALUE(LEFT('Raw Orders'!B1370,4)),VALUE(MID('Raw Orders'!B1370,6,2)),VALUE(MID('Raw Orders'!B1370,9,2))),DATE(VALUE(MID('Raw Orders'!B1370,7,4)),VALUE(MID('Raw Orders'!B1370,4,2)),VALUE(LEFT('Raw Orders'!B1370,2)))))</f>
        <v>46220</v>
      </c>
      <c r="B1373" s="36" t="n">
        <f aca="false">IF(A1373="","",A1373-WEEKDAY(A1373,3))</f>
        <v>46216</v>
      </c>
      <c r="C1373" s="32" t="n">
        <f aca="false">IF(OR('Raw Orders'!C1370&lt;&gt;"Product",'Raw Orders'!K1370="Cancelled"),0,'Raw Orders'!G1370)</f>
        <v>78</v>
      </c>
      <c r="D1373" s="31" t="n">
        <f aca="false">IF(AND('Raw Orders'!C1370="Product",'Raw Orders'!K1370="Fulfilled",COUNTIFS('Raw Orders'!$A$2:$A1370,'Raw Orders'!A1370,'Raw Orders'!$C$2:$C1370,"Product",'Raw Orders'!$K$2:$K1370,"Fulfilled")=1),1,0)</f>
        <v>0</v>
      </c>
      <c r="E1373" s="31" t="n">
        <f aca="false">IF(AND('Raw Orders'!C1370="Product",'Raw Orders'!K1370="Fulfilled"),'Raw Orders'!E1370,0)</f>
        <v>2</v>
      </c>
      <c r="F1373" s="32" t="n">
        <f aca="false">IF('Raw Orders'!K1370="Refunded",'Raw Orders'!G1370,0)</f>
        <v>0</v>
      </c>
    </row>
    <row r="1374" customFormat="false" ht="15" hidden="false" customHeight="false" outlineLevel="0" collapsed="false">
      <c r="A1374" s="36" t="n">
        <f aca="false">IF('Raw Orders'!B1371="","",IF(MID('Raw Orders'!B1371,5,1)="-",DATE(VALUE(LEFT('Raw Orders'!B1371,4)),VALUE(MID('Raw Orders'!B1371,6,2)),VALUE(MID('Raw Orders'!B1371,9,2))),DATE(VALUE(MID('Raw Orders'!B1371,7,4)),VALUE(MID('Raw Orders'!B1371,4,2)),VALUE(LEFT('Raw Orders'!B1371,2)))))</f>
        <v>46220</v>
      </c>
      <c r="B1374" s="36" t="n">
        <f aca="false">IF(A1374="","",A1374-WEEKDAY(A1374,3))</f>
        <v>46216</v>
      </c>
      <c r="C1374" s="32" t="n">
        <f aca="false">IF(OR('Raw Orders'!C1371&lt;&gt;"Product",'Raw Orders'!K1371="Cancelled"),0,'Raw Orders'!G1371)</f>
        <v>70</v>
      </c>
      <c r="D1374" s="31" t="n">
        <f aca="false">IF(AND('Raw Orders'!C1371="Product",'Raw Orders'!K1371="Fulfilled",COUNTIFS('Raw Orders'!$A$2:$A1371,'Raw Orders'!A1371,'Raw Orders'!$C$2:$C1371,"Product",'Raw Orders'!$K$2:$K1371,"Fulfilled")=1),1,0)</f>
        <v>1</v>
      </c>
      <c r="E1374" s="31" t="n">
        <f aca="false">IF(AND('Raw Orders'!C1371="Product",'Raw Orders'!K1371="Fulfilled"),'Raw Orders'!E1371,0)</f>
        <v>2</v>
      </c>
      <c r="F1374" s="32" t="n">
        <f aca="false">IF('Raw Orders'!K1371="Refunded",'Raw Orders'!G1371,0)</f>
        <v>0</v>
      </c>
    </row>
    <row r="1375" customFormat="false" ht="15" hidden="false" customHeight="false" outlineLevel="0" collapsed="false">
      <c r="A1375" s="36" t="n">
        <f aca="false">IF('Raw Orders'!B1372="","",IF(MID('Raw Orders'!B1372,5,1)="-",DATE(VALUE(LEFT('Raw Orders'!B1372,4)),VALUE(MID('Raw Orders'!B1372,6,2)),VALUE(MID('Raw Orders'!B1372,9,2))),DATE(VALUE(MID('Raw Orders'!B1372,7,4)),VALUE(MID('Raw Orders'!B1372,4,2)),VALUE(LEFT('Raw Orders'!B1372,2)))))</f>
        <v>46220</v>
      </c>
      <c r="B1375" s="36" t="n">
        <f aca="false">IF(A1375="","",A1375-WEEKDAY(A1375,3))</f>
        <v>46216</v>
      </c>
      <c r="C1375" s="32" t="n">
        <f aca="false">IF(OR('Raw Orders'!C1372&lt;&gt;"Product",'Raw Orders'!K1372="Cancelled"),0,'Raw Orders'!G1372)</f>
        <v>44</v>
      </c>
      <c r="D1375" s="31" t="n">
        <f aca="false">IF(AND('Raw Orders'!C1372="Product",'Raw Orders'!K1372="Fulfilled",COUNTIFS('Raw Orders'!$A$2:$A1372,'Raw Orders'!A1372,'Raw Orders'!$C$2:$C1372,"Product",'Raw Orders'!$K$2:$K1372,"Fulfilled")=1),1,0)</f>
        <v>0</v>
      </c>
      <c r="E1375" s="31" t="n">
        <f aca="false">IF(AND('Raw Orders'!C1372="Product",'Raw Orders'!K1372="Fulfilled"),'Raw Orders'!E1372,0)</f>
        <v>2</v>
      </c>
      <c r="F1375" s="32" t="n">
        <f aca="false">IF('Raw Orders'!K1372="Refunded",'Raw Orders'!G1372,0)</f>
        <v>0</v>
      </c>
    </row>
    <row r="1376" customFormat="false" ht="15" hidden="false" customHeight="false" outlineLevel="0" collapsed="false">
      <c r="A1376" s="36" t="n">
        <f aca="false">IF('Raw Orders'!B1373="","",IF(MID('Raw Orders'!B1373,5,1)="-",DATE(VALUE(LEFT('Raw Orders'!B1373,4)),VALUE(MID('Raw Orders'!B1373,6,2)),VALUE(MID('Raw Orders'!B1373,9,2))),DATE(VALUE(MID('Raw Orders'!B1373,7,4)),VALUE(MID('Raw Orders'!B1373,4,2)),VALUE(LEFT('Raw Orders'!B1373,2)))))</f>
        <v>46220</v>
      </c>
      <c r="B1376" s="36" t="n">
        <f aca="false">IF(A1376="","",A1376-WEEKDAY(A1376,3))</f>
        <v>46216</v>
      </c>
      <c r="C1376" s="32" t="n">
        <f aca="false">IF(OR('Raw Orders'!C1373&lt;&gt;"Product",'Raw Orders'!K1373="Cancelled"),0,'Raw Orders'!G1373)</f>
        <v>0</v>
      </c>
      <c r="D1376" s="31" t="n">
        <f aca="false">IF(AND('Raw Orders'!C1373="Product",'Raw Orders'!K1373="Fulfilled",COUNTIFS('Raw Orders'!$A$2:$A1373,'Raw Orders'!A1373,'Raw Orders'!$C$2:$C1373,"Product",'Raw Orders'!$K$2:$K1373,"Fulfilled")=1),1,0)</f>
        <v>0</v>
      </c>
      <c r="E1376" s="31" t="n">
        <f aca="false">IF(AND('Raw Orders'!C1373="Product",'Raw Orders'!K1373="Fulfilled"),'Raw Orders'!E1373,0)</f>
        <v>0</v>
      </c>
      <c r="F1376" s="32" t="n">
        <f aca="false">IF('Raw Orders'!K1373="Refunded",'Raw Orders'!G1373,0)</f>
        <v>0</v>
      </c>
    </row>
    <row r="1377" customFormat="false" ht="15" hidden="false" customHeight="false" outlineLevel="0" collapsed="false">
      <c r="A1377" s="36" t="n">
        <f aca="false">IF('Raw Orders'!B1374="","",IF(MID('Raw Orders'!B1374,5,1)="-",DATE(VALUE(LEFT('Raw Orders'!B1374,4)),VALUE(MID('Raw Orders'!B1374,6,2)),VALUE(MID('Raw Orders'!B1374,9,2))),DATE(VALUE(MID('Raw Orders'!B1374,7,4)),VALUE(MID('Raw Orders'!B1374,4,2)),VALUE(LEFT('Raw Orders'!B1374,2)))))</f>
        <v>46220</v>
      </c>
      <c r="B1377" s="36" t="n">
        <f aca="false">IF(A1377="","",A1377-WEEKDAY(A1377,3))</f>
        <v>46216</v>
      </c>
      <c r="C1377" s="32" t="n">
        <f aca="false">IF(OR('Raw Orders'!C1374&lt;&gt;"Product",'Raw Orders'!K1374="Cancelled"),0,'Raw Orders'!G1374)</f>
        <v>0</v>
      </c>
      <c r="D1377" s="31" t="n">
        <f aca="false">IF(AND('Raw Orders'!C1374="Product",'Raw Orders'!K1374="Fulfilled",COUNTIFS('Raw Orders'!$A$2:$A1374,'Raw Orders'!A1374,'Raw Orders'!$C$2:$C1374,"Product",'Raw Orders'!$K$2:$K1374,"Fulfilled")=1),1,0)</f>
        <v>0</v>
      </c>
      <c r="E1377" s="31" t="n">
        <f aca="false">IF(AND('Raw Orders'!C1374="Product",'Raw Orders'!K1374="Fulfilled"),'Raw Orders'!E1374,0)</f>
        <v>0</v>
      </c>
      <c r="F1377" s="32" t="n">
        <f aca="false">IF('Raw Orders'!K1374="Refunded",'Raw Orders'!G1374,0)</f>
        <v>0</v>
      </c>
    </row>
    <row r="1378" customFormat="false" ht="15" hidden="false" customHeight="false" outlineLevel="0" collapsed="false">
      <c r="A1378" s="36" t="n">
        <f aca="false">IF('Raw Orders'!B1375="","",IF(MID('Raw Orders'!B1375,5,1)="-",DATE(VALUE(LEFT('Raw Orders'!B1375,4)),VALUE(MID('Raw Orders'!B1375,6,2)),VALUE(MID('Raw Orders'!B1375,9,2))),DATE(VALUE(MID('Raw Orders'!B1375,7,4)),VALUE(MID('Raw Orders'!B1375,4,2)),VALUE(LEFT('Raw Orders'!B1375,2)))))</f>
        <v>46220</v>
      </c>
      <c r="B1378" s="36" t="n">
        <f aca="false">IF(A1378="","",A1378-WEEKDAY(A1378,3))</f>
        <v>46216</v>
      </c>
      <c r="C1378" s="32" t="n">
        <f aca="false">IF(OR('Raw Orders'!C1375&lt;&gt;"Product",'Raw Orders'!K1375="Cancelled"),0,'Raw Orders'!G1375)</f>
        <v>0</v>
      </c>
      <c r="D1378" s="31" t="n">
        <f aca="false">IF(AND('Raw Orders'!C1375="Product",'Raw Orders'!K1375="Fulfilled",COUNTIFS('Raw Orders'!$A$2:$A1375,'Raw Orders'!A1375,'Raw Orders'!$C$2:$C1375,"Product",'Raw Orders'!$K$2:$K1375,"Fulfilled")=1),1,0)</f>
        <v>0</v>
      </c>
      <c r="E1378" s="31" t="n">
        <f aca="false">IF(AND('Raw Orders'!C1375="Product",'Raw Orders'!K1375="Fulfilled"),'Raw Orders'!E1375,0)</f>
        <v>0</v>
      </c>
      <c r="F1378" s="32" t="n">
        <f aca="false">IF('Raw Orders'!K1375="Refunded",'Raw Orders'!G1375,0)</f>
        <v>0</v>
      </c>
    </row>
    <row r="1379" customFormat="false" ht="15" hidden="false" customHeight="false" outlineLevel="0" collapsed="false">
      <c r="A1379" s="36" t="n">
        <f aca="false">IF('Raw Orders'!B1376="","",IF(MID('Raw Orders'!B1376,5,1)="-",DATE(VALUE(LEFT('Raw Orders'!B1376,4)),VALUE(MID('Raw Orders'!B1376,6,2)),VALUE(MID('Raw Orders'!B1376,9,2))),DATE(VALUE(MID('Raw Orders'!B1376,7,4)),VALUE(MID('Raw Orders'!B1376,4,2)),VALUE(LEFT('Raw Orders'!B1376,2)))))</f>
        <v>46220</v>
      </c>
      <c r="B1379" s="36" t="n">
        <f aca="false">IF(A1379="","",A1379-WEEKDAY(A1379,3))</f>
        <v>46216</v>
      </c>
      <c r="C1379" s="32" t="n">
        <f aca="false">IF(OR('Raw Orders'!C1376&lt;&gt;"Product",'Raw Orders'!K1376="Cancelled"),0,'Raw Orders'!G1376)</f>
        <v>22</v>
      </c>
      <c r="D1379" s="31" t="n">
        <f aca="false">IF(AND('Raw Orders'!C1376="Product",'Raw Orders'!K1376="Fulfilled",COUNTIFS('Raw Orders'!$A$2:$A1376,'Raw Orders'!A1376,'Raw Orders'!$C$2:$C1376,"Product",'Raw Orders'!$K$2:$K1376,"Fulfilled")=1),1,0)</f>
        <v>1</v>
      </c>
      <c r="E1379" s="31" t="n">
        <f aca="false">IF(AND('Raw Orders'!C1376="Product",'Raw Orders'!K1376="Fulfilled"),'Raw Orders'!E1376,0)</f>
        <v>1</v>
      </c>
      <c r="F1379" s="32" t="n">
        <f aca="false">IF('Raw Orders'!K1376="Refunded",'Raw Orders'!G1376,0)</f>
        <v>0</v>
      </c>
    </row>
    <row r="1380" customFormat="false" ht="15" hidden="false" customHeight="false" outlineLevel="0" collapsed="false">
      <c r="A1380" s="36" t="n">
        <f aca="false">IF('Raw Orders'!B1377="","",IF(MID('Raw Orders'!B1377,5,1)="-",DATE(VALUE(LEFT('Raw Orders'!B1377,4)),VALUE(MID('Raw Orders'!B1377,6,2)),VALUE(MID('Raw Orders'!B1377,9,2))),DATE(VALUE(MID('Raw Orders'!B1377,7,4)),VALUE(MID('Raw Orders'!B1377,4,2)),VALUE(LEFT('Raw Orders'!B1377,2)))))</f>
        <v>46220</v>
      </c>
      <c r="B1380" s="36" t="n">
        <f aca="false">IF(A1380="","",A1380-WEEKDAY(A1380,3))</f>
        <v>46216</v>
      </c>
      <c r="C1380" s="32" t="n">
        <f aca="false">IF(OR('Raw Orders'!C1377&lt;&gt;"Product",'Raw Orders'!K1377="Cancelled"),0,'Raw Orders'!G1377)</f>
        <v>0</v>
      </c>
      <c r="D1380" s="31" t="n">
        <f aca="false">IF(AND('Raw Orders'!C1377="Product",'Raw Orders'!K1377="Fulfilled",COUNTIFS('Raw Orders'!$A$2:$A1377,'Raw Orders'!A1377,'Raw Orders'!$C$2:$C1377,"Product",'Raw Orders'!$K$2:$K1377,"Fulfilled")=1),1,0)</f>
        <v>0</v>
      </c>
      <c r="E1380" s="31" t="n">
        <f aca="false">IF(AND('Raw Orders'!C1377="Product",'Raw Orders'!K1377="Fulfilled"),'Raw Orders'!E1377,0)</f>
        <v>0</v>
      </c>
      <c r="F1380" s="32" t="n">
        <f aca="false">IF('Raw Orders'!K1377="Refunded",'Raw Orders'!G1377,0)</f>
        <v>0</v>
      </c>
    </row>
    <row r="1381" customFormat="false" ht="15" hidden="false" customHeight="false" outlineLevel="0" collapsed="false">
      <c r="A1381" s="36" t="n">
        <f aca="false">IF('Raw Orders'!B1378="","",IF(MID('Raw Orders'!B1378,5,1)="-",DATE(VALUE(LEFT('Raw Orders'!B1378,4)),VALUE(MID('Raw Orders'!B1378,6,2)),VALUE(MID('Raw Orders'!B1378,9,2))),DATE(VALUE(MID('Raw Orders'!B1378,7,4)),VALUE(MID('Raw Orders'!B1378,4,2)),VALUE(LEFT('Raw Orders'!B1378,2)))))</f>
        <v>46220</v>
      </c>
      <c r="B1381" s="36" t="n">
        <f aca="false">IF(A1381="","",A1381-WEEKDAY(A1381,3))</f>
        <v>46216</v>
      </c>
      <c r="C1381" s="32" t="n">
        <f aca="false">IF(OR('Raw Orders'!C1378&lt;&gt;"Product",'Raw Orders'!K1378="Cancelled"),0,'Raw Orders'!G1378)</f>
        <v>150</v>
      </c>
      <c r="D1381" s="31" t="n">
        <f aca="false">IF(AND('Raw Orders'!C1378="Product",'Raw Orders'!K1378="Fulfilled",COUNTIFS('Raw Orders'!$A$2:$A1378,'Raw Orders'!A1378,'Raw Orders'!$C$2:$C1378,"Product",'Raw Orders'!$K$2:$K1378,"Fulfilled")=1),1,0)</f>
        <v>1</v>
      </c>
      <c r="E1381" s="31" t="n">
        <f aca="false">IF(AND('Raw Orders'!C1378="Product",'Raw Orders'!K1378="Fulfilled"),'Raw Orders'!E1378,0)</f>
        <v>2</v>
      </c>
      <c r="F1381" s="32" t="n">
        <f aca="false">IF('Raw Orders'!K1378="Refunded",'Raw Orders'!G1378,0)</f>
        <v>0</v>
      </c>
    </row>
    <row r="1382" customFormat="false" ht="15" hidden="false" customHeight="false" outlineLevel="0" collapsed="false">
      <c r="A1382" s="36" t="n">
        <f aca="false">IF('Raw Orders'!B1379="","",IF(MID('Raw Orders'!B1379,5,1)="-",DATE(VALUE(LEFT('Raw Orders'!B1379,4)),VALUE(MID('Raw Orders'!B1379,6,2)),VALUE(MID('Raw Orders'!B1379,9,2))),DATE(VALUE(MID('Raw Orders'!B1379,7,4)),VALUE(MID('Raw Orders'!B1379,4,2)),VALUE(LEFT('Raw Orders'!B1379,2)))))</f>
        <v>46220</v>
      </c>
      <c r="B1382" s="36" t="n">
        <f aca="false">IF(A1382="","",A1382-WEEKDAY(A1382,3))</f>
        <v>46216</v>
      </c>
      <c r="C1382" s="32" t="n">
        <f aca="false">IF(OR('Raw Orders'!C1379&lt;&gt;"Product",'Raw Orders'!K1379="Cancelled"),0,'Raw Orders'!G1379)</f>
        <v>0</v>
      </c>
      <c r="D1382" s="31" t="n">
        <f aca="false">IF(AND('Raw Orders'!C1379="Product",'Raw Orders'!K1379="Fulfilled",COUNTIFS('Raw Orders'!$A$2:$A1379,'Raw Orders'!A1379,'Raw Orders'!$C$2:$C1379,"Product",'Raw Orders'!$K$2:$K1379,"Fulfilled")=1),1,0)</f>
        <v>0</v>
      </c>
      <c r="E1382" s="31" t="n">
        <f aca="false">IF(AND('Raw Orders'!C1379="Product",'Raw Orders'!K1379="Fulfilled"),'Raw Orders'!E1379,0)</f>
        <v>0</v>
      </c>
      <c r="F1382" s="32" t="n">
        <f aca="false">IF('Raw Orders'!K1379="Refunded",'Raw Orders'!G1379,0)</f>
        <v>0</v>
      </c>
    </row>
    <row r="1383" customFormat="false" ht="15" hidden="false" customHeight="false" outlineLevel="0" collapsed="false">
      <c r="A1383" s="36" t="n">
        <f aca="false">IF('Raw Orders'!B1380="","",IF(MID('Raw Orders'!B1380,5,1)="-",DATE(VALUE(LEFT('Raw Orders'!B1380,4)),VALUE(MID('Raw Orders'!B1380,6,2)),VALUE(MID('Raw Orders'!B1380,9,2))),DATE(VALUE(MID('Raw Orders'!B1380,7,4)),VALUE(MID('Raw Orders'!B1380,4,2)),VALUE(LEFT('Raw Orders'!B1380,2)))))</f>
        <v>46220</v>
      </c>
      <c r="B1383" s="36" t="n">
        <f aca="false">IF(A1383="","",A1383-WEEKDAY(A1383,3))</f>
        <v>46216</v>
      </c>
      <c r="C1383" s="32" t="n">
        <f aca="false">IF(OR('Raw Orders'!C1380&lt;&gt;"Product",'Raw Orders'!K1380="Cancelled"),0,'Raw Orders'!G1380)</f>
        <v>89</v>
      </c>
      <c r="D1383" s="31" t="n">
        <f aca="false">IF(AND('Raw Orders'!C1380="Product",'Raw Orders'!K1380="Fulfilled",COUNTIFS('Raw Orders'!$A$2:$A1380,'Raw Orders'!A1380,'Raw Orders'!$C$2:$C1380,"Product",'Raw Orders'!$K$2:$K1380,"Fulfilled")=1),1,0)</f>
        <v>1</v>
      </c>
      <c r="E1383" s="31" t="n">
        <f aca="false">IF(AND('Raw Orders'!C1380="Product",'Raw Orders'!K1380="Fulfilled"),'Raw Orders'!E1380,0)</f>
        <v>1</v>
      </c>
      <c r="F1383" s="32" t="n">
        <f aca="false">IF('Raw Orders'!K1380="Refunded",'Raw Orders'!G1380,0)</f>
        <v>0</v>
      </c>
    </row>
    <row r="1384" customFormat="false" ht="15" hidden="false" customHeight="false" outlineLevel="0" collapsed="false">
      <c r="A1384" s="36" t="n">
        <f aca="false">IF('Raw Orders'!B1381="","",IF(MID('Raw Orders'!B1381,5,1)="-",DATE(VALUE(LEFT('Raw Orders'!B1381,4)),VALUE(MID('Raw Orders'!B1381,6,2)),VALUE(MID('Raw Orders'!B1381,9,2))),DATE(VALUE(MID('Raw Orders'!B1381,7,4)),VALUE(MID('Raw Orders'!B1381,4,2)),VALUE(LEFT('Raw Orders'!B1381,2)))))</f>
        <v>46220</v>
      </c>
      <c r="B1384" s="36" t="n">
        <f aca="false">IF(A1384="","",A1384-WEEKDAY(A1384,3))</f>
        <v>46216</v>
      </c>
      <c r="C1384" s="32" t="n">
        <f aca="false">IF(OR('Raw Orders'!C1381&lt;&gt;"Product",'Raw Orders'!K1381="Cancelled"),0,'Raw Orders'!G1381)</f>
        <v>35</v>
      </c>
      <c r="D1384" s="31" t="n">
        <f aca="false">IF(AND('Raw Orders'!C1381="Product",'Raw Orders'!K1381="Fulfilled",COUNTIFS('Raw Orders'!$A$2:$A1381,'Raw Orders'!A1381,'Raw Orders'!$C$2:$C1381,"Product",'Raw Orders'!$K$2:$K1381,"Fulfilled")=1),1,0)</f>
        <v>0</v>
      </c>
      <c r="E1384" s="31" t="n">
        <f aca="false">IF(AND('Raw Orders'!C1381="Product",'Raw Orders'!K1381="Fulfilled"),'Raw Orders'!E1381,0)</f>
        <v>1</v>
      </c>
      <c r="F1384" s="32" t="n">
        <f aca="false">IF('Raw Orders'!K1381="Refunded",'Raw Orders'!G1381,0)</f>
        <v>0</v>
      </c>
    </row>
    <row r="1385" customFormat="false" ht="15" hidden="false" customHeight="false" outlineLevel="0" collapsed="false">
      <c r="A1385" s="36" t="n">
        <f aca="false">IF('Raw Orders'!B1382="","",IF(MID('Raw Orders'!B1382,5,1)="-",DATE(VALUE(LEFT('Raw Orders'!B1382,4)),VALUE(MID('Raw Orders'!B1382,6,2)),VALUE(MID('Raw Orders'!B1382,9,2))),DATE(VALUE(MID('Raw Orders'!B1382,7,4)),VALUE(MID('Raw Orders'!B1382,4,2)),VALUE(LEFT('Raw Orders'!B1382,2)))))</f>
        <v>46221</v>
      </c>
      <c r="B1385" s="36" t="n">
        <f aca="false">IF(A1385="","",A1385-WEEKDAY(A1385,3))</f>
        <v>46216</v>
      </c>
      <c r="C1385" s="32" t="n">
        <f aca="false">IF(OR('Raw Orders'!C1382&lt;&gt;"Product",'Raw Orders'!K1382="Cancelled"),0,'Raw Orders'!G1382)</f>
        <v>135</v>
      </c>
      <c r="D1385" s="31" t="n">
        <f aca="false">IF(AND('Raw Orders'!C1382="Product",'Raw Orders'!K1382="Fulfilled",COUNTIFS('Raw Orders'!$A$2:$A1382,'Raw Orders'!A1382,'Raw Orders'!$C$2:$C1382,"Product",'Raw Orders'!$K$2:$K1382,"Fulfilled")=1),1,0)</f>
        <v>1</v>
      </c>
      <c r="E1385" s="31" t="n">
        <f aca="false">IF(AND('Raw Orders'!C1382="Product",'Raw Orders'!K1382="Fulfilled"),'Raw Orders'!E1382,0)</f>
        <v>2</v>
      </c>
      <c r="F1385" s="32" t="n">
        <f aca="false">IF('Raw Orders'!K1382="Refunded",'Raw Orders'!G1382,0)</f>
        <v>0</v>
      </c>
    </row>
    <row r="1386" customFormat="false" ht="15" hidden="false" customHeight="false" outlineLevel="0" collapsed="false">
      <c r="A1386" s="36" t="n">
        <f aca="false">IF('Raw Orders'!B1383="","",IF(MID('Raw Orders'!B1383,5,1)="-",DATE(VALUE(LEFT('Raw Orders'!B1383,4)),VALUE(MID('Raw Orders'!B1383,6,2)),VALUE(MID('Raw Orders'!B1383,9,2))),DATE(VALUE(MID('Raw Orders'!B1383,7,4)),VALUE(MID('Raw Orders'!B1383,4,2)),VALUE(LEFT('Raw Orders'!B1383,2)))))</f>
        <v>46221</v>
      </c>
      <c r="B1386" s="36" t="n">
        <f aca="false">IF(A1386="","",A1386-WEEKDAY(A1386,3))</f>
        <v>46216</v>
      </c>
      <c r="C1386" s="32" t="n">
        <f aca="false">IF(OR('Raw Orders'!C1383&lt;&gt;"Product",'Raw Orders'!K1383="Cancelled"),0,'Raw Orders'!G1383)</f>
        <v>0</v>
      </c>
      <c r="D1386" s="31" t="n">
        <f aca="false">IF(AND('Raw Orders'!C1383="Product",'Raw Orders'!K1383="Fulfilled",COUNTIFS('Raw Orders'!$A$2:$A1383,'Raw Orders'!A1383,'Raw Orders'!$C$2:$C1383,"Product",'Raw Orders'!$K$2:$K1383,"Fulfilled")=1),1,0)</f>
        <v>0</v>
      </c>
      <c r="E1386" s="31" t="n">
        <f aca="false">IF(AND('Raw Orders'!C1383="Product",'Raw Orders'!K1383="Fulfilled"),'Raw Orders'!E1383,0)</f>
        <v>0</v>
      </c>
      <c r="F1386" s="32" t="n">
        <f aca="false">IF('Raw Orders'!K1383="Refunded",'Raw Orders'!G1383,0)</f>
        <v>0</v>
      </c>
    </row>
    <row r="1387" customFormat="false" ht="15" hidden="false" customHeight="false" outlineLevel="0" collapsed="false">
      <c r="A1387" s="36" t="n">
        <f aca="false">IF('Raw Orders'!B1384="","",IF(MID('Raw Orders'!B1384,5,1)="-",DATE(VALUE(LEFT('Raw Orders'!B1384,4)),VALUE(MID('Raw Orders'!B1384,6,2)),VALUE(MID('Raw Orders'!B1384,9,2))),DATE(VALUE(MID('Raw Orders'!B1384,7,4)),VALUE(MID('Raw Orders'!B1384,4,2)),VALUE(LEFT('Raw Orders'!B1384,2)))))</f>
        <v>46221</v>
      </c>
      <c r="B1387" s="36" t="n">
        <f aca="false">IF(A1387="","",A1387-WEEKDAY(A1387,3))</f>
        <v>46216</v>
      </c>
      <c r="C1387" s="32" t="n">
        <f aca="false">IF(OR('Raw Orders'!C1384&lt;&gt;"Product",'Raw Orders'!K1384="Cancelled"),0,'Raw Orders'!G1384)</f>
        <v>0</v>
      </c>
      <c r="D1387" s="31" t="n">
        <f aca="false">IF(AND('Raw Orders'!C1384="Product",'Raw Orders'!K1384="Fulfilled",COUNTIFS('Raw Orders'!$A$2:$A1384,'Raw Orders'!A1384,'Raw Orders'!$C$2:$C1384,"Product",'Raw Orders'!$K$2:$K1384,"Fulfilled")=1),1,0)</f>
        <v>0</v>
      </c>
      <c r="E1387" s="31" t="n">
        <f aca="false">IF(AND('Raw Orders'!C1384="Product",'Raw Orders'!K1384="Fulfilled"),'Raw Orders'!E1384,0)</f>
        <v>0</v>
      </c>
      <c r="F1387" s="32" t="n">
        <f aca="false">IF('Raw Orders'!K1384="Refunded",'Raw Orders'!G1384,0)</f>
        <v>0</v>
      </c>
    </row>
    <row r="1388" customFormat="false" ht="15" hidden="false" customHeight="false" outlineLevel="0" collapsed="false">
      <c r="A1388" s="36" t="n">
        <f aca="false">IF('Raw Orders'!B1385="","",IF(MID('Raw Orders'!B1385,5,1)="-",DATE(VALUE(LEFT('Raw Orders'!B1385,4)),VALUE(MID('Raw Orders'!B1385,6,2)),VALUE(MID('Raw Orders'!B1385,9,2))),DATE(VALUE(MID('Raw Orders'!B1385,7,4)),VALUE(MID('Raw Orders'!B1385,4,2)),VALUE(LEFT('Raw Orders'!B1385,2)))))</f>
        <v>46221</v>
      </c>
      <c r="B1388" s="36" t="n">
        <f aca="false">IF(A1388="","",A1388-WEEKDAY(A1388,3))</f>
        <v>46216</v>
      </c>
      <c r="C1388" s="32" t="n">
        <f aca="false">IF(OR('Raw Orders'!C1385&lt;&gt;"Product",'Raw Orders'!K1385="Cancelled"),0,'Raw Orders'!G1385)</f>
        <v>0</v>
      </c>
      <c r="D1388" s="31" t="n">
        <f aca="false">IF(AND('Raw Orders'!C1385="Product",'Raw Orders'!K1385="Fulfilled",COUNTIFS('Raw Orders'!$A$2:$A1385,'Raw Orders'!A1385,'Raw Orders'!$C$2:$C1385,"Product",'Raw Orders'!$K$2:$K1385,"Fulfilled")=1),1,0)</f>
        <v>0</v>
      </c>
      <c r="E1388" s="31" t="n">
        <f aca="false">IF(AND('Raw Orders'!C1385="Product",'Raw Orders'!K1385="Fulfilled"),'Raw Orders'!E1385,0)</f>
        <v>0</v>
      </c>
      <c r="F1388" s="32" t="n">
        <f aca="false">IF('Raw Orders'!K1385="Refunded",'Raw Orders'!G1385,0)</f>
        <v>0</v>
      </c>
    </row>
    <row r="1389" customFormat="false" ht="15" hidden="false" customHeight="false" outlineLevel="0" collapsed="false">
      <c r="A1389" s="36" t="n">
        <f aca="false">IF('Raw Orders'!B1386="","",IF(MID('Raw Orders'!B1386,5,1)="-",DATE(VALUE(LEFT('Raw Orders'!B1386,4)),VALUE(MID('Raw Orders'!B1386,6,2)),VALUE(MID('Raw Orders'!B1386,9,2))),DATE(VALUE(MID('Raw Orders'!B1386,7,4)),VALUE(MID('Raw Orders'!B1386,4,2)),VALUE(LEFT('Raw Orders'!B1386,2)))))</f>
        <v>46221</v>
      </c>
      <c r="B1389" s="36" t="n">
        <f aca="false">IF(A1389="","",A1389-WEEKDAY(A1389,3))</f>
        <v>46216</v>
      </c>
      <c r="C1389" s="32" t="n">
        <f aca="false">IF(OR('Raw Orders'!C1386&lt;&gt;"Product",'Raw Orders'!K1386="Cancelled"),0,'Raw Orders'!G1386)</f>
        <v>0</v>
      </c>
      <c r="D1389" s="31" t="n">
        <f aca="false">IF(AND('Raw Orders'!C1386="Product",'Raw Orders'!K1386="Fulfilled",COUNTIFS('Raw Orders'!$A$2:$A1386,'Raw Orders'!A1386,'Raw Orders'!$C$2:$C1386,"Product",'Raw Orders'!$K$2:$K1386,"Fulfilled")=1),1,0)</f>
        <v>0</v>
      </c>
      <c r="E1389" s="31" t="n">
        <f aca="false">IF(AND('Raw Orders'!C1386="Product",'Raw Orders'!K1386="Fulfilled"),'Raw Orders'!E1386,0)</f>
        <v>0</v>
      </c>
      <c r="F1389" s="32" t="n">
        <f aca="false">IF('Raw Orders'!K1386="Refunded",'Raw Orders'!G1386,0)</f>
        <v>0</v>
      </c>
    </row>
    <row r="1390" customFormat="false" ht="15" hidden="false" customHeight="false" outlineLevel="0" collapsed="false">
      <c r="A1390" s="36" t="n">
        <f aca="false">IF('Raw Orders'!B1387="","",IF(MID('Raw Orders'!B1387,5,1)="-",DATE(VALUE(LEFT('Raw Orders'!B1387,4)),VALUE(MID('Raw Orders'!B1387,6,2)),VALUE(MID('Raw Orders'!B1387,9,2))),DATE(VALUE(MID('Raw Orders'!B1387,7,4)),VALUE(MID('Raw Orders'!B1387,4,2)),VALUE(LEFT('Raw Orders'!B1387,2)))))</f>
        <v>46221</v>
      </c>
      <c r="B1390" s="36" t="n">
        <f aca="false">IF(A1390="","",A1390-WEEKDAY(A1390,3))</f>
        <v>46216</v>
      </c>
      <c r="C1390" s="32" t="n">
        <f aca="false">IF(OR('Raw Orders'!C1387&lt;&gt;"Product",'Raw Orders'!K1387="Cancelled"),0,'Raw Orders'!G1387)</f>
        <v>89</v>
      </c>
      <c r="D1390" s="31" t="n">
        <f aca="false">IF(AND('Raw Orders'!C1387="Product",'Raw Orders'!K1387="Fulfilled",COUNTIFS('Raw Orders'!$A$2:$A1387,'Raw Orders'!A1387,'Raw Orders'!$C$2:$C1387,"Product",'Raw Orders'!$K$2:$K1387,"Fulfilled")=1),1,0)</f>
        <v>1</v>
      </c>
      <c r="E1390" s="31" t="n">
        <f aca="false">IF(AND('Raw Orders'!C1387="Product",'Raw Orders'!K1387="Fulfilled"),'Raw Orders'!E1387,0)</f>
        <v>1</v>
      </c>
      <c r="F1390" s="32" t="n">
        <f aca="false">IF('Raw Orders'!K1387="Refunded",'Raw Orders'!G1387,0)</f>
        <v>0</v>
      </c>
    </row>
    <row r="1391" customFormat="false" ht="15" hidden="false" customHeight="false" outlineLevel="0" collapsed="false">
      <c r="A1391" s="36" t="n">
        <f aca="false">IF('Raw Orders'!B1388="","",IF(MID('Raw Orders'!B1388,5,1)="-",DATE(VALUE(LEFT('Raw Orders'!B1388,4)),VALUE(MID('Raw Orders'!B1388,6,2)),VALUE(MID('Raw Orders'!B1388,9,2))),DATE(VALUE(MID('Raw Orders'!B1388,7,4)),VALUE(MID('Raw Orders'!B1388,4,2)),VALUE(LEFT('Raw Orders'!B1388,2)))))</f>
        <v>46221</v>
      </c>
      <c r="B1391" s="36" t="n">
        <f aca="false">IF(A1391="","",A1391-WEEKDAY(A1391,3))</f>
        <v>46216</v>
      </c>
      <c r="C1391" s="32" t="n">
        <f aca="false">IF(OR('Raw Orders'!C1388&lt;&gt;"Product",'Raw Orders'!K1388="Cancelled"),0,'Raw Orders'!G1388)</f>
        <v>0</v>
      </c>
      <c r="D1391" s="31" t="n">
        <f aca="false">IF(AND('Raw Orders'!C1388="Product",'Raw Orders'!K1388="Fulfilled",COUNTIFS('Raw Orders'!$A$2:$A1388,'Raw Orders'!A1388,'Raw Orders'!$C$2:$C1388,"Product",'Raw Orders'!$K$2:$K1388,"Fulfilled")=1),1,0)</f>
        <v>0</v>
      </c>
      <c r="E1391" s="31" t="n">
        <f aca="false">IF(AND('Raw Orders'!C1388="Product",'Raw Orders'!K1388="Fulfilled"),'Raw Orders'!E1388,0)</f>
        <v>0</v>
      </c>
      <c r="F1391" s="32" t="n">
        <f aca="false">IF('Raw Orders'!K1388="Refunded",'Raw Orders'!G1388,0)</f>
        <v>0</v>
      </c>
    </row>
    <row r="1392" customFormat="false" ht="15" hidden="false" customHeight="false" outlineLevel="0" collapsed="false">
      <c r="A1392" s="36" t="n">
        <f aca="false">IF('Raw Orders'!B1389="","",IF(MID('Raw Orders'!B1389,5,1)="-",DATE(VALUE(LEFT('Raw Orders'!B1389,4)),VALUE(MID('Raw Orders'!B1389,6,2)),VALUE(MID('Raw Orders'!B1389,9,2))),DATE(VALUE(MID('Raw Orders'!B1389,7,4)),VALUE(MID('Raw Orders'!B1389,4,2)),VALUE(LEFT('Raw Orders'!B1389,2)))))</f>
        <v>46221</v>
      </c>
      <c r="B1392" s="36" t="n">
        <f aca="false">IF(A1392="","",A1392-WEEKDAY(A1392,3))</f>
        <v>46216</v>
      </c>
      <c r="C1392" s="32" t="n">
        <f aca="false">IF(OR('Raw Orders'!C1389&lt;&gt;"Product",'Raw Orders'!K1389="Cancelled"),0,'Raw Orders'!G1389)</f>
        <v>45</v>
      </c>
      <c r="D1392" s="31" t="n">
        <f aca="false">IF(AND('Raw Orders'!C1389="Product",'Raw Orders'!K1389="Fulfilled",COUNTIFS('Raw Orders'!$A$2:$A1389,'Raw Orders'!A1389,'Raw Orders'!$C$2:$C1389,"Product",'Raw Orders'!$K$2:$K1389,"Fulfilled")=1),1,0)</f>
        <v>1</v>
      </c>
      <c r="E1392" s="31" t="n">
        <f aca="false">IF(AND('Raw Orders'!C1389="Product",'Raw Orders'!K1389="Fulfilled"),'Raw Orders'!E1389,0)</f>
        <v>1</v>
      </c>
      <c r="F1392" s="32" t="n">
        <f aca="false">IF('Raw Orders'!K1389="Refunded",'Raw Orders'!G1389,0)</f>
        <v>0</v>
      </c>
    </row>
    <row r="1393" customFormat="false" ht="15" hidden="false" customHeight="false" outlineLevel="0" collapsed="false">
      <c r="A1393" s="36" t="n">
        <f aca="false">IF('Raw Orders'!B1390="","",IF(MID('Raw Orders'!B1390,5,1)="-",DATE(VALUE(LEFT('Raw Orders'!B1390,4)),VALUE(MID('Raw Orders'!B1390,6,2)),VALUE(MID('Raw Orders'!B1390,9,2))),DATE(VALUE(MID('Raw Orders'!B1390,7,4)),VALUE(MID('Raw Orders'!B1390,4,2)),VALUE(LEFT('Raw Orders'!B1390,2)))))</f>
        <v>46221</v>
      </c>
      <c r="B1393" s="36" t="n">
        <f aca="false">IF(A1393="","",A1393-WEEKDAY(A1393,3))</f>
        <v>46216</v>
      </c>
      <c r="C1393" s="32" t="n">
        <f aca="false">IF(OR('Raw Orders'!C1390&lt;&gt;"Product",'Raw Orders'!K1390="Cancelled"),0,'Raw Orders'!G1390)</f>
        <v>0</v>
      </c>
      <c r="D1393" s="31" t="n">
        <f aca="false">IF(AND('Raw Orders'!C1390="Product",'Raw Orders'!K1390="Fulfilled",COUNTIFS('Raw Orders'!$A$2:$A1390,'Raw Orders'!A1390,'Raw Orders'!$C$2:$C1390,"Product",'Raw Orders'!$K$2:$K1390,"Fulfilled")=1),1,0)</f>
        <v>0</v>
      </c>
      <c r="E1393" s="31" t="n">
        <f aca="false">IF(AND('Raw Orders'!C1390="Product",'Raw Orders'!K1390="Fulfilled"),'Raw Orders'!E1390,0)</f>
        <v>0</v>
      </c>
      <c r="F1393" s="32" t="n">
        <f aca="false">IF('Raw Orders'!K1390="Refunded",'Raw Orders'!G1390,0)</f>
        <v>0</v>
      </c>
    </row>
    <row r="1394" customFormat="false" ht="15" hidden="false" customHeight="false" outlineLevel="0" collapsed="false">
      <c r="A1394" s="36" t="n">
        <f aca="false">IF('Raw Orders'!B1391="","",IF(MID('Raw Orders'!B1391,5,1)="-",DATE(VALUE(LEFT('Raw Orders'!B1391,4)),VALUE(MID('Raw Orders'!B1391,6,2)),VALUE(MID('Raw Orders'!B1391,9,2))),DATE(VALUE(MID('Raw Orders'!B1391,7,4)),VALUE(MID('Raw Orders'!B1391,4,2)),VALUE(LEFT('Raw Orders'!B1391,2)))))</f>
        <v>46221</v>
      </c>
      <c r="B1394" s="36" t="n">
        <f aca="false">IF(A1394="","",A1394-WEEKDAY(A1394,3))</f>
        <v>46216</v>
      </c>
      <c r="C1394" s="32" t="n">
        <f aca="false">IF(OR('Raw Orders'!C1391&lt;&gt;"Product",'Raw Orders'!K1391="Cancelled"),0,'Raw Orders'!G1391)</f>
        <v>29</v>
      </c>
      <c r="D1394" s="31" t="n">
        <f aca="false">IF(AND('Raw Orders'!C1391="Product",'Raw Orders'!K1391="Fulfilled",COUNTIFS('Raw Orders'!$A$2:$A1391,'Raw Orders'!A1391,'Raw Orders'!$C$2:$C1391,"Product",'Raw Orders'!$K$2:$K1391,"Fulfilled")=1),1,0)</f>
        <v>0</v>
      </c>
      <c r="E1394" s="31" t="n">
        <f aca="false">IF(AND('Raw Orders'!C1391="Product",'Raw Orders'!K1391="Fulfilled"),'Raw Orders'!E1391,0)</f>
        <v>1</v>
      </c>
      <c r="F1394" s="32" t="n">
        <f aca="false">IF('Raw Orders'!K1391="Refunded",'Raw Orders'!G1391,0)</f>
        <v>0</v>
      </c>
    </row>
    <row r="1395" customFormat="false" ht="15" hidden="false" customHeight="false" outlineLevel="0" collapsed="false">
      <c r="A1395" s="36" t="n">
        <f aca="false">IF('Raw Orders'!B1392="","",IF(MID('Raw Orders'!B1392,5,1)="-",DATE(VALUE(LEFT('Raw Orders'!B1392,4)),VALUE(MID('Raw Orders'!B1392,6,2)),VALUE(MID('Raw Orders'!B1392,9,2))),DATE(VALUE(MID('Raw Orders'!B1392,7,4)),VALUE(MID('Raw Orders'!B1392,4,2)),VALUE(LEFT('Raw Orders'!B1392,2)))))</f>
        <v>46221</v>
      </c>
      <c r="B1395" s="36" t="n">
        <f aca="false">IF(A1395="","",A1395-WEEKDAY(A1395,3))</f>
        <v>46216</v>
      </c>
      <c r="C1395" s="32" t="n">
        <f aca="false">IF(OR('Raw Orders'!C1392&lt;&gt;"Product",'Raw Orders'!K1392="Cancelled"),0,'Raw Orders'!G1392)</f>
        <v>0</v>
      </c>
      <c r="D1395" s="31" t="n">
        <f aca="false">IF(AND('Raw Orders'!C1392="Product",'Raw Orders'!K1392="Fulfilled",COUNTIFS('Raw Orders'!$A$2:$A1392,'Raw Orders'!A1392,'Raw Orders'!$C$2:$C1392,"Product",'Raw Orders'!$K$2:$K1392,"Fulfilled")=1),1,0)</f>
        <v>0</v>
      </c>
      <c r="E1395" s="31" t="n">
        <f aca="false">IF(AND('Raw Orders'!C1392="Product",'Raw Orders'!K1392="Fulfilled"),'Raw Orders'!E1392,0)</f>
        <v>0</v>
      </c>
      <c r="F1395" s="32" t="n">
        <f aca="false">IF('Raw Orders'!K1392="Refunded",'Raw Orders'!G1392,0)</f>
        <v>0</v>
      </c>
    </row>
    <row r="1396" customFormat="false" ht="15" hidden="false" customHeight="false" outlineLevel="0" collapsed="false">
      <c r="A1396" s="36" t="n">
        <f aca="false">IF('Raw Orders'!B1393="","",IF(MID('Raw Orders'!B1393,5,1)="-",DATE(VALUE(LEFT('Raw Orders'!B1393,4)),VALUE(MID('Raw Orders'!B1393,6,2)),VALUE(MID('Raw Orders'!B1393,9,2))),DATE(VALUE(MID('Raw Orders'!B1393,7,4)),VALUE(MID('Raw Orders'!B1393,4,2)),VALUE(LEFT('Raw Orders'!B1393,2)))))</f>
        <v>46221</v>
      </c>
      <c r="B1396" s="36" t="n">
        <f aca="false">IF(A1396="","",A1396-WEEKDAY(A1396,3))</f>
        <v>46216</v>
      </c>
      <c r="C1396" s="32" t="n">
        <f aca="false">IF(OR('Raw Orders'!C1393&lt;&gt;"Product",'Raw Orders'!K1393="Cancelled"),0,'Raw Orders'!G1393)</f>
        <v>23.4</v>
      </c>
      <c r="D1396" s="31" t="n">
        <f aca="false">IF(AND('Raw Orders'!C1393="Product",'Raw Orders'!K1393="Fulfilled",COUNTIFS('Raw Orders'!$A$2:$A1393,'Raw Orders'!A1393,'Raw Orders'!$C$2:$C1393,"Product",'Raw Orders'!$K$2:$K1393,"Fulfilled")=1),1,0)</f>
        <v>1</v>
      </c>
      <c r="E1396" s="31" t="n">
        <f aca="false">IF(AND('Raw Orders'!C1393="Product",'Raw Orders'!K1393="Fulfilled"),'Raw Orders'!E1393,0)</f>
        <v>1</v>
      </c>
      <c r="F1396" s="32" t="n">
        <f aca="false">IF('Raw Orders'!K1393="Refunded",'Raw Orders'!G1393,0)</f>
        <v>0</v>
      </c>
    </row>
    <row r="1397" customFormat="false" ht="15" hidden="false" customHeight="false" outlineLevel="0" collapsed="false">
      <c r="A1397" s="36" t="n">
        <f aca="false">IF('Raw Orders'!B1394="","",IF(MID('Raw Orders'!B1394,5,1)="-",DATE(VALUE(LEFT('Raw Orders'!B1394,4)),VALUE(MID('Raw Orders'!B1394,6,2)),VALUE(MID('Raw Orders'!B1394,9,2))),DATE(VALUE(MID('Raw Orders'!B1394,7,4)),VALUE(MID('Raw Orders'!B1394,4,2)),VALUE(LEFT('Raw Orders'!B1394,2)))))</f>
        <v>46221</v>
      </c>
      <c r="B1397" s="36" t="n">
        <f aca="false">IF(A1397="","",A1397-WEEKDAY(A1397,3))</f>
        <v>46216</v>
      </c>
      <c r="C1397" s="32" t="n">
        <f aca="false">IF(OR('Raw Orders'!C1394&lt;&gt;"Product",'Raw Orders'!K1394="Cancelled"),0,'Raw Orders'!G1394)</f>
        <v>0</v>
      </c>
      <c r="D1397" s="31" t="n">
        <f aca="false">IF(AND('Raw Orders'!C1394="Product",'Raw Orders'!K1394="Fulfilled",COUNTIFS('Raw Orders'!$A$2:$A1394,'Raw Orders'!A1394,'Raw Orders'!$C$2:$C1394,"Product",'Raw Orders'!$K$2:$K1394,"Fulfilled")=1),1,0)</f>
        <v>0</v>
      </c>
      <c r="E1397" s="31" t="n">
        <f aca="false">IF(AND('Raw Orders'!C1394="Product",'Raw Orders'!K1394="Fulfilled"),'Raw Orders'!E1394,0)</f>
        <v>0</v>
      </c>
      <c r="F1397" s="32" t="n">
        <f aca="false">IF('Raw Orders'!K1394="Refunded",'Raw Orders'!G1394,0)</f>
        <v>0</v>
      </c>
    </row>
    <row r="1398" customFormat="false" ht="15" hidden="false" customHeight="false" outlineLevel="0" collapsed="false">
      <c r="A1398" s="36" t="n">
        <f aca="false">IF('Raw Orders'!B1395="","",IF(MID('Raw Orders'!B1395,5,1)="-",DATE(VALUE(LEFT('Raw Orders'!B1395,4)),VALUE(MID('Raw Orders'!B1395,6,2)),VALUE(MID('Raw Orders'!B1395,9,2))),DATE(VALUE(MID('Raw Orders'!B1395,7,4)),VALUE(MID('Raw Orders'!B1395,4,2)),VALUE(LEFT('Raw Orders'!B1395,2)))))</f>
        <v>46221</v>
      </c>
      <c r="B1398" s="36" t="n">
        <f aca="false">IF(A1398="","",A1398-WEEKDAY(A1398,3))</f>
        <v>46216</v>
      </c>
      <c r="C1398" s="32" t="n">
        <f aca="false">IF(OR('Raw Orders'!C1395&lt;&gt;"Product",'Raw Orders'!K1395="Cancelled"),0,'Raw Orders'!G1395)</f>
        <v>29</v>
      </c>
      <c r="D1398" s="31" t="n">
        <f aca="false">IF(AND('Raw Orders'!C1395="Product",'Raw Orders'!K1395="Fulfilled",COUNTIFS('Raw Orders'!$A$2:$A1395,'Raw Orders'!A1395,'Raw Orders'!$C$2:$C1395,"Product",'Raw Orders'!$K$2:$K1395,"Fulfilled")=1),1,0)</f>
        <v>1</v>
      </c>
      <c r="E1398" s="31" t="n">
        <f aca="false">IF(AND('Raw Orders'!C1395="Product",'Raw Orders'!K1395="Fulfilled"),'Raw Orders'!E1395,0)</f>
        <v>1</v>
      </c>
      <c r="F1398" s="32" t="n">
        <f aca="false">IF('Raw Orders'!K1395="Refunded",'Raw Orders'!G1395,0)</f>
        <v>0</v>
      </c>
    </row>
    <row r="1399" customFormat="false" ht="15" hidden="false" customHeight="false" outlineLevel="0" collapsed="false">
      <c r="A1399" s="36" t="n">
        <f aca="false">IF('Raw Orders'!B1396="","",IF(MID('Raw Orders'!B1396,5,1)="-",DATE(VALUE(LEFT('Raw Orders'!B1396,4)),VALUE(MID('Raw Orders'!B1396,6,2)),VALUE(MID('Raw Orders'!B1396,9,2))),DATE(VALUE(MID('Raw Orders'!B1396,7,4)),VALUE(MID('Raw Orders'!B1396,4,2)),VALUE(LEFT('Raw Orders'!B1396,2)))))</f>
        <v>46221</v>
      </c>
      <c r="B1399" s="36" t="n">
        <f aca="false">IF(A1399="","",A1399-WEEKDAY(A1399,3))</f>
        <v>46216</v>
      </c>
      <c r="C1399" s="32" t="n">
        <f aca="false">IF(OR('Raw Orders'!C1396&lt;&gt;"Product",'Raw Orders'!K1396="Cancelled"),0,'Raw Orders'!G1396)</f>
        <v>0</v>
      </c>
      <c r="D1399" s="31" t="n">
        <f aca="false">IF(AND('Raw Orders'!C1396="Product",'Raw Orders'!K1396="Fulfilled",COUNTIFS('Raw Orders'!$A$2:$A1396,'Raw Orders'!A1396,'Raw Orders'!$C$2:$C1396,"Product",'Raw Orders'!$K$2:$K1396,"Fulfilled")=1),1,0)</f>
        <v>0</v>
      </c>
      <c r="E1399" s="31" t="n">
        <f aca="false">IF(AND('Raw Orders'!C1396="Product",'Raw Orders'!K1396="Fulfilled"),'Raw Orders'!E1396,0)</f>
        <v>0</v>
      </c>
      <c r="F1399" s="32" t="n">
        <f aca="false">IF('Raw Orders'!K1396="Refunded",'Raw Orders'!G1396,0)</f>
        <v>0</v>
      </c>
    </row>
    <row r="1400" customFormat="false" ht="15" hidden="false" customHeight="false" outlineLevel="0" collapsed="false">
      <c r="A1400" s="36" t="n">
        <f aca="false">IF('Raw Orders'!B1397="","",IF(MID('Raw Orders'!B1397,5,1)="-",DATE(VALUE(LEFT('Raw Orders'!B1397,4)),VALUE(MID('Raw Orders'!B1397,6,2)),VALUE(MID('Raw Orders'!B1397,9,2))),DATE(VALUE(MID('Raw Orders'!B1397,7,4)),VALUE(MID('Raw Orders'!B1397,4,2)),VALUE(LEFT('Raw Orders'!B1397,2)))))</f>
        <v>46221</v>
      </c>
      <c r="B1400" s="36" t="n">
        <f aca="false">IF(A1400="","",A1400-WEEKDAY(A1400,3))</f>
        <v>46216</v>
      </c>
      <c r="C1400" s="32" t="n">
        <f aca="false">IF(OR('Raw Orders'!C1397&lt;&gt;"Product",'Raw Orders'!K1397="Cancelled"),0,'Raw Orders'!G1397)</f>
        <v>0</v>
      </c>
      <c r="D1400" s="31" t="n">
        <f aca="false">IF(AND('Raw Orders'!C1397="Product",'Raw Orders'!K1397="Fulfilled",COUNTIFS('Raw Orders'!$A$2:$A1397,'Raw Orders'!A1397,'Raw Orders'!$C$2:$C1397,"Product",'Raw Orders'!$K$2:$K1397,"Fulfilled")=1),1,0)</f>
        <v>0</v>
      </c>
      <c r="E1400" s="31" t="n">
        <f aca="false">IF(AND('Raw Orders'!C1397="Product",'Raw Orders'!K1397="Fulfilled"),'Raw Orders'!E1397,0)</f>
        <v>0</v>
      </c>
      <c r="F1400" s="32" t="n">
        <f aca="false">IF('Raw Orders'!K1397="Refunded",'Raw Orders'!G1397,0)</f>
        <v>0</v>
      </c>
    </row>
    <row r="1401" customFormat="false" ht="15" hidden="false" customHeight="false" outlineLevel="0" collapsed="false">
      <c r="A1401" s="36" t="n">
        <f aca="false">IF('Raw Orders'!B1398="","",IF(MID('Raw Orders'!B1398,5,1)="-",DATE(VALUE(LEFT('Raw Orders'!B1398,4)),VALUE(MID('Raw Orders'!B1398,6,2)),VALUE(MID('Raw Orders'!B1398,9,2))),DATE(VALUE(MID('Raw Orders'!B1398,7,4)),VALUE(MID('Raw Orders'!B1398,4,2)),VALUE(LEFT('Raw Orders'!B1398,2)))))</f>
        <v>46221</v>
      </c>
      <c r="B1401" s="36" t="n">
        <f aca="false">IF(A1401="","",A1401-WEEKDAY(A1401,3))</f>
        <v>46216</v>
      </c>
      <c r="C1401" s="32" t="n">
        <f aca="false">IF(OR('Raw Orders'!C1398&lt;&gt;"Product",'Raw Orders'!K1398="Cancelled"),0,'Raw Orders'!G1398)</f>
        <v>39</v>
      </c>
      <c r="D1401" s="31" t="n">
        <f aca="false">IF(AND('Raw Orders'!C1398="Product",'Raw Orders'!K1398="Fulfilled",COUNTIFS('Raw Orders'!$A$2:$A1398,'Raw Orders'!A1398,'Raw Orders'!$C$2:$C1398,"Product",'Raw Orders'!$K$2:$K1398,"Fulfilled")=1),1,0)</f>
        <v>0</v>
      </c>
      <c r="E1401" s="31" t="n">
        <f aca="false">IF(AND('Raw Orders'!C1398="Product",'Raw Orders'!K1398="Fulfilled"),'Raw Orders'!E1398,0)</f>
        <v>1</v>
      </c>
      <c r="F1401" s="32" t="n">
        <f aca="false">IF('Raw Orders'!K1398="Refunded",'Raw Orders'!G1398,0)</f>
        <v>0</v>
      </c>
    </row>
    <row r="1402" customFormat="false" ht="15" hidden="false" customHeight="false" outlineLevel="0" collapsed="false">
      <c r="A1402" s="36" t="n">
        <f aca="false">IF('Raw Orders'!B1399="","",IF(MID('Raw Orders'!B1399,5,1)="-",DATE(VALUE(LEFT('Raw Orders'!B1399,4)),VALUE(MID('Raw Orders'!B1399,6,2)),VALUE(MID('Raw Orders'!B1399,9,2))),DATE(VALUE(MID('Raw Orders'!B1399,7,4)),VALUE(MID('Raw Orders'!B1399,4,2)),VALUE(LEFT('Raw Orders'!B1399,2)))))</f>
        <v>46221</v>
      </c>
      <c r="B1402" s="36" t="n">
        <f aca="false">IF(A1402="","",A1402-WEEKDAY(A1402,3))</f>
        <v>46216</v>
      </c>
      <c r="C1402" s="32" t="n">
        <f aca="false">IF(OR('Raw Orders'!C1399&lt;&gt;"Product",'Raw Orders'!K1399="Cancelled"),0,'Raw Orders'!G1399)</f>
        <v>178</v>
      </c>
      <c r="D1402" s="31" t="n">
        <f aca="false">IF(AND('Raw Orders'!C1399="Product",'Raw Orders'!K1399="Fulfilled",COUNTIFS('Raw Orders'!$A$2:$A1399,'Raw Orders'!A1399,'Raw Orders'!$C$2:$C1399,"Product",'Raw Orders'!$K$2:$K1399,"Fulfilled")=1),1,0)</f>
        <v>1</v>
      </c>
      <c r="E1402" s="31" t="n">
        <f aca="false">IF(AND('Raw Orders'!C1399="Product",'Raw Orders'!K1399="Fulfilled"),'Raw Orders'!E1399,0)</f>
        <v>2</v>
      </c>
      <c r="F1402" s="32" t="n">
        <f aca="false">IF('Raw Orders'!K1399="Refunded",'Raw Orders'!G1399,0)</f>
        <v>0</v>
      </c>
    </row>
    <row r="1403" customFormat="false" ht="15" hidden="false" customHeight="false" outlineLevel="0" collapsed="false">
      <c r="A1403" s="36" t="n">
        <f aca="false">IF('Raw Orders'!B1400="","",IF(MID('Raw Orders'!B1400,5,1)="-",DATE(VALUE(LEFT('Raw Orders'!B1400,4)),VALUE(MID('Raw Orders'!B1400,6,2)),VALUE(MID('Raw Orders'!B1400,9,2))),DATE(VALUE(MID('Raw Orders'!B1400,7,4)),VALUE(MID('Raw Orders'!B1400,4,2)),VALUE(LEFT('Raw Orders'!B1400,2)))))</f>
        <v>46221</v>
      </c>
      <c r="B1403" s="36" t="n">
        <f aca="false">IF(A1403="","",A1403-WEEKDAY(A1403,3))</f>
        <v>46216</v>
      </c>
      <c r="C1403" s="32" t="n">
        <f aca="false">IF(OR('Raw Orders'!C1400&lt;&gt;"Product",'Raw Orders'!K1400="Cancelled"),0,'Raw Orders'!G1400)</f>
        <v>178</v>
      </c>
      <c r="D1403" s="31" t="n">
        <f aca="false">IF(AND('Raw Orders'!C1400="Product",'Raw Orders'!K1400="Fulfilled",COUNTIFS('Raw Orders'!$A$2:$A1400,'Raw Orders'!A1400,'Raw Orders'!$C$2:$C1400,"Product",'Raw Orders'!$K$2:$K1400,"Fulfilled")=1),1,0)</f>
        <v>0</v>
      </c>
      <c r="E1403" s="31" t="n">
        <f aca="false">IF(AND('Raw Orders'!C1400="Product",'Raw Orders'!K1400="Fulfilled"),'Raw Orders'!E1400,0)</f>
        <v>2</v>
      </c>
      <c r="F1403" s="32" t="n">
        <f aca="false">IF('Raw Orders'!K1400="Refunded",'Raw Orders'!G1400,0)</f>
        <v>0</v>
      </c>
    </row>
    <row r="1404" customFormat="false" ht="15" hidden="false" customHeight="false" outlineLevel="0" collapsed="false">
      <c r="A1404" s="36" t="n">
        <f aca="false">IF('Raw Orders'!B1401="","",IF(MID('Raw Orders'!B1401,5,1)="-",DATE(VALUE(LEFT('Raw Orders'!B1401,4)),VALUE(MID('Raw Orders'!B1401,6,2)),VALUE(MID('Raw Orders'!B1401,9,2))),DATE(VALUE(MID('Raw Orders'!B1401,7,4)),VALUE(MID('Raw Orders'!B1401,4,2)),VALUE(LEFT('Raw Orders'!B1401,2)))))</f>
        <v>46221</v>
      </c>
      <c r="B1404" s="36" t="n">
        <f aca="false">IF(A1404="","",A1404-WEEKDAY(A1404,3))</f>
        <v>46216</v>
      </c>
      <c r="C1404" s="32" t="n">
        <f aca="false">IF(OR('Raw Orders'!C1401&lt;&gt;"Product",'Raw Orders'!K1401="Cancelled"),0,'Raw Orders'!G1401)</f>
        <v>45</v>
      </c>
      <c r="D1404" s="31" t="n">
        <f aca="false">IF(AND('Raw Orders'!C1401="Product",'Raw Orders'!K1401="Fulfilled",COUNTIFS('Raw Orders'!$A$2:$A1401,'Raw Orders'!A1401,'Raw Orders'!$C$2:$C1401,"Product",'Raw Orders'!$K$2:$K1401,"Fulfilled")=1),1,0)</f>
        <v>0</v>
      </c>
      <c r="E1404" s="31" t="n">
        <f aca="false">IF(AND('Raw Orders'!C1401="Product",'Raw Orders'!K1401="Fulfilled"),'Raw Orders'!E1401,0)</f>
        <v>1</v>
      </c>
      <c r="F1404" s="32" t="n">
        <f aca="false">IF('Raw Orders'!K1401="Refunded",'Raw Orders'!G1401,0)</f>
        <v>0</v>
      </c>
    </row>
    <row r="1405" customFormat="false" ht="15" hidden="false" customHeight="false" outlineLevel="0" collapsed="false">
      <c r="A1405" s="36" t="n">
        <f aca="false">IF('Raw Orders'!B1402="","",IF(MID('Raw Orders'!B1402,5,1)="-",DATE(VALUE(LEFT('Raw Orders'!B1402,4)),VALUE(MID('Raw Orders'!B1402,6,2)),VALUE(MID('Raw Orders'!B1402,9,2))),DATE(VALUE(MID('Raw Orders'!B1402,7,4)),VALUE(MID('Raw Orders'!B1402,4,2)),VALUE(LEFT('Raw Orders'!B1402,2)))))</f>
        <v>46221</v>
      </c>
      <c r="B1405" s="36" t="n">
        <f aca="false">IF(A1405="","",A1405-WEEKDAY(A1405,3))</f>
        <v>46216</v>
      </c>
      <c r="C1405" s="32" t="n">
        <f aca="false">IF(OR('Raw Orders'!C1402&lt;&gt;"Product",'Raw Orders'!K1402="Cancelled"),0,'Raw Orders'!G1402)</f>
        <v>0</v>
      </c>
      <c r="D1405" s="31" t="n">
        <f aca="false">IF(AND('Raw Orders'!C1402="Product",'Raw Orders'!K1402="Fulfilled",COUNTIFS('Raw Orders'!$A$2:$A1402,'Raw Orders'!A1402,'Raw Orders'!$C$2:$C1402,"Product",'Raw Orders'!$K$2:$K1402,"Fulfilled")=1),1,0)</f>
        <v>0</v>
      </c>
      <c r="E1405" s="31" t="n">
        <f aca="false">IF(AND('Raw Orders'!C1402="Product",'Raw Orders'!K1402="Fulfilled"),'Raw Orders'!E1402,0)</f>
        <v>0</v>
      </c>
      <c r="F1405" s="32" t="n">
        <f aca="false">IF('Raw Orders'!K1402="Refunded",'Raw Orders'!G1402,0)</f>
        <v>0</v>
      </c>
    </row>
    <row r="1406" customFormat="false" ht="15" hidden="false" customHeight="false" outlineLevel="0" collapsed="false">
      <c r="A1406" s="36" t="n">
        <f aca="false">IF('Raw Orders'!B1403="","",IF(MID('Raw Orders'!B1403,5,1)="-",DATE(VALUE(LEFT('Raw Orders'!B1403,4)),VALUE(MID('Raw Orders'!B1403,6,2)),VALUE(MID('Raw Orders'!B1403,9,2))),DATE(VALUE(MID('Raw Orders'!B1403,7,4)),VALUE(MID('Raw Orders'!B1403,4,2)),VALUE(LEFT('Raw Orders'!B1403,2)))))</f>
        <v>46221</v>
      </c>
      <c r="B1406" s="36" t="n">
        <f aca="false">IF(A1406="","",A1406-WEEKDAY(A1406,3))</f>
        <v>46216</v>
      </c>
      <c r="C1406" s="32" t="n">
        <f aca="false">IF(OR('Raw Orders'!C1403&lt;&gt;"Product",'Raw Orders'!K1403="Cancelled"),0,'Raw Orders'!G1403)</f>
        <v>69</v>
      </c>
      <c r="D1406" s="31" t="n">
        <f aca="false">IF(AND('Raw Orders'!C1403="Product",'Raw Orders'!K1403="Fulfilled",COUNTIFS('Raw Orders'!$A$2:$A1403,'Raw Orders'!A1403,'Raw Orders'!$C$2:$C1403,"Product",'Raw Orders'!$K$2:$K1403,"Fulfilled")=1),1,0)</f>
        <v>0</v>
      </c>
      <c r="E1406" s="31" t="n">
        <f aca="false">IF(AND('Raw Orders'!C1403="Product",'Raw Orders'!K1403="Fulfilled"),'Raw Orders'!E1403,0)</f>
        <v>1</v>
      </c>
      <c r="F1406" s="32" t="n">
        <f aca="false">IF('Raw Orders'!K1403="Refunded",'Raw Orders'!G1403,0)</f>
        <v>0</v>
      </c>
    </row>
    <row r="1407" customFormat="false" ht="15" hidden="false" customHeight="false" outlineLevel="0" collapsed="false">
      <c r="A1407" s="36" t="n">
        <f aca="false">IF('Raw Orders'!B1404="","",IF(MID('Raw Orders'!B1404,5,1)="-",DATE(VALUE(LEFT('Raw Orders'!B1404,4)),VALUE(MID('Raw Orders'!B1404,6,2)),VALUE(MID('Raw Orders'!B1404,9,2))),DATE(VALUE(MID('Raw Orders'!B1404,7,4)),VALUE(MID('Raw Orders'!B1404,4,2)),VALUE(LEFT('Raw Orders'!B1404,2)))))</f>
        <v>46221</v>
      </c>
      <c r="B1407" s="36" t="n">
        <f aca="false">IF(A1407="","",A1407-WEEKDAY(A1407,3))</f>
        <v>46216</v>
      </c>
      <c r="C1407" s="32" t="n">
        <f aca="false">IF(OR('Raw Orders'!C1404&lt;&gt;"Product",'Raw Orders'!K1404="Cancelled"),0,'Raw Orders'!G1404)</f>
        <v>69</v>
      </c>
      <c r="D1407" s="31" t="n">
        <f aca="false">IF(AND('Raw Orders'!C1404="Product",'Raw Orders'!K1404="Fulfilled",COUNTIFS('Raw Orders'!$A$2:$A1404,'Raw Orders'!A1404,'Raw Orders'!$C$2:$C1404,"Product",'Raw Orders'!$K$2:$K1404,"Fulfilled")=1),1,0)</f>
        <v>0</v>
      </c>
      <c r="E1407" s="31" t="n">
        <f aca="false">IF(AND('Raw Orders'!C1404="Product",'Raw Orders'!K1404="Fulfilled"),'Raw Orders'!E1404,0)</f>
        <v>1</v>
      </c>
      <c r="F1407" s="32" t="n">
        <f aca="false">IF('Raw Orders'!K1404="Refunded",'Raw Orders'!G1404,0)</f>
        <v>0</v>
      </c>
    </row>
    <row r="1408" customFormat="false" ht="15" hidden="false" customHeight="false" outlineLevel="0" collapsed="false">
      <c r="A1408" s="36" t="n">
        <f aca="false">IF('Raw Orders'!B1405="","",IF(MID('Raw Orders'!B1405,5,1)="-",DATE(VALUE(LEFT('Raw Orders'!B1405,4)),VALUE(MID('Raw Orders'!B1405,6,2)),VALUE(MID('Raw Orders'!B1405,9,2))),DATE(VALUE(MID('Raw Orders'!B1405,7,4)),VALUE(MID('Raw Orders'!B1405,4,2)),VALUE(LEFT('Raw Orders'!B1405,2)))))</f>
        <v>46222</v>
      </c>
      <c r="B1408" s="36" t="n">
        <f aca="false">IF(A1408="","",A1408-WEEKDAY(A1408,3))</f>
        <v>46216</v>
      </c>
      <c r="C1408" s="32" t="n">
        <f aca="false">IF(OR('Raw Orders'!C1405&lt;&gt;"Product",'Raw Orders'!K1405="Cancelled"),0,'Raw Orders'!G1405)</f>
        <v>69</v>
      </c>
      <c r="D1408" s="31" t="n">
        <f aca="false">IF(AND('Raw Orders'!C1405="Product",'Raw Orders'!K1405="Fulfilled",COUNTIFS('Raw Orders'!$A$2:$A1405,'Raw Orders'!A1405,'Raw Orders'!$C$2:$C1405,"Product",'Raw Orders'!$K$2:$K1405,"Fulfilled")=1),1,0)</f>
        <v>1</v>
      </c>
      <c r="E1408" s="31" t="n">
        <f aca="false">IF(AND('Raw Orders'!C1405="Product",'Raw Orders'!K1405="Fulfilled"),'Raw Orders'!E1405,0)</f>
        <v>1</v>
      </c>
      <c r="F1408" s="32" t="n">
        <f aca="false">IF('Raw Orders'!K1405="Refunded",'Raw Orders'!G1405,0)</f>
        <v>0</v>
      </c>
    </row>
    <row r="1409" customFormat="false" ht="15" hidden="false" customHeight="false" outlineLevel="0" collapsed="false">
      <c r="A1409" s="36" t="n">
        <f aca="false">IF('Raw Orders'!B1406="","",IF(MID('Raw Orders'!B1406,5,1)="-",DATE(VALUE(LEFT('Raw Orders'!B1406,4)),VALUE(MID('Raw Orders'!B1406,6,2)),VALUE(MID('Raw Orders'!B1406,9,2))),DATE(VALUE(MID('Raw Orders'!B1406,7,4)),VALUE(MID('Raw Orders'!B1406,4,2)),VALUE(LEFT('Raw Orders'!B1406,2)))))</f>
        <v>46222</v>
      </c>
      <c r="B1409" s="36" t="n">
        <f aca="false">IF(A1409="","",A1409-WEEKDAY(A1409,3))</f>
        <v>46216</v>
      </c>
      <c r="C1409" s="32" t="n">
        <f aca="false">IF(OR('Raw Orders'!C1406&lt;&gt;"Product",'Raw Orders'!K1406="Cancelled"),0,'Raw Orders'!G1406)</f>
        <v>39</v>
      </c>
      <c r="D1409" s="31" t="n">
        <f aca="false">IF(AND('Raw Orders'!C1406="Product",'Raw Orders'!K1406="Fulfilled",COUNTIFS('Raw Orders'!$A$2:$A1406,'Raw Orders'!A1406,'Raw Orders'!$C$2:$C1406,"Product",'Raw Orders'!$K$2:$K1406,"Fulfilled")=1),1,0)</f>
        <v>0</v>
      </c>
      <c r="E1409" s="31" t="n">
        <f aca="false">IF(AND('Raw Orders'!C1406="Product",'Raw Orders'!K1406="Fulfilled"),'Raw Orders'!E1406,0)</f>
        <v>1</v>
      </c>
      <c r="F1409" s="32" t="n">
        <f aca="false">IF('Raw Orders'!K1406="Refunded",'Raw Orders'!G1406,0)</f>
        <v>0</v>
      </c>
    </row>
    <row r="1410" customFormat="false" ht="15" hidden="false" customHeight="false" outlineLevel="0" collapsed="false">
      <c r="A1410" s="36" t="n">
        <f aca="false">IF('Raw Orders'!B1407="","",IF(MID('Raw Orders'!B1407,5,1)="-",DATE(VALUE(LEFT('Raw Orders'!B1407,4)),VALUE(MID('Raw Orders'!B1407,6,2)),VALUE(MID('Raw Orders'!B1407,9,2))),DATE(VALUE(MID('Raw Orders'!B1407,7,4)),VALUE(MID('Raw Orders'!B1407,4,2)),VALUE(LEFT('Raw Orders'!B1407,2)))))</f>
        <v>46222</v>
      </c>
      <c r="B1410" s="36" t="n">
        <f aca="false">IF(A1410="","",A1410-WEEKDAY(A1410,3))</f>
        <v>46216</v>
      </c>
      <c r="C1410" s="32" t="n">
        <f aca="false">IF(OR('Raw Orders'!C1407&lt;&gt;"Product",'Raw Orders'!K1407="Cancelled"),0,'Raw Orders'!G1407)</f>
        <v>0</v>
      </c>
      <c r="D1410" s="31" t="n">
        <f aca="false">IF(AND('Raw Orders'!C1407="Product",'Raw Orders'!K1407="Fulfilled",COUNTIFS('Raw Orders'!$A$2:$A1407,'Raw Orders'!A1407,'Raw Orders'!$C$2:$C1407,"Product",'Raw Orders'!$K$2:$K1407,"Fulfilled")=1),1,0)</f>
        <v>0</v>
      </c>
      <c r="E1410" s="31" t="n">
        <f aca="false">IF(AND('Raw Orders'!C1407="Product",'Raw Orders'!K1407="Fulfilled"),'Raw Orders'!E1407,0)</f>
        <v>0</v>
      </c>
      <c r="F1410" s="32" t="n">
        <f aca="false">IF('Raw Orders'!K1407="Refunded",'Raw Orders'!G1407,0)</f>
        <v>0</v>
      </c>
    </row>
    <row r="1411" customFormat="false" ht="15" hidden="false" customHeight="false" outlineLevel="0" collapsed="false">
      <c r="A1411" s="36" t="n">
        <f aca="false">IF('Raw Orders'!B1408="","",IF(MID('Raw Orders'!B1408,5,1)="-",DATE(VALUE(LEFT('Raw Orders'!B1408,4)),VALUE(MID('Raw Orders'!B1408,6,2)),VALUE(MID('Raw Orders'!B1408,9,2))),DATE(VALUE(MID('Raw Orders'!B1408,7,4)),VALUE(MID('Raw Orders'!B1408,4,2)),VALUE(LEFT('Raw Orders'!B1408,2)))))</f>
        <v>46222</v>
      </c>
      <c r="B1411" s="36" t="n">
        <f aca="false">IF(A1411="","",A1411-WEEKDAY(A1411,3))</f>
        <v>46216</v>
      </c>
      <c r="C1411" s="32" t="n">
        <f aca="false">IF(OR('Raw Orders'!C1408&lt;&gt;"Product",'Raw Orders'!K1408="Cancelled"),0,'Raw Orders'!G1408)</f>
        <v>0</v>
      </c>
      <c r="D1411" s="31" t="n">
        <f aca="false">IF(AND('Raw Orders'!C1408="Product",'Raw Orders'!K1408="Fulfilled",COUNTIFS('Raw Orders'!$A$2:$A1408,'Raw Orders'!A1408,'Raw Orders'!$C$2:$C1408,"Product",'Raw Orders'!$K$2:$K1408,"Fulfilled")=1),1,0)</f>
        <v>0</v>
      </c>
      <c r="E1411" s="31" t="n">
        <f aca="false">IF(AND('Raw Orders'!C1408="Product",'Raw Orders'!K1408="Fulfilled"),'Raw Orders'!E1408,0)</f>
        <v>0</v>
      </c>
      <c r="F1411" s="32" t="n">
        <f aca="false">IF('Raw Orders'!K1408="Refunded",'Raw Orders'!G1408,0)</f>
        <v>0</v>
      </c>
    </row>
    <row r="1412" customFormat="false" ht="15" hidden="false" customHeight="false" outlineLevel="0" collapsed="false">
      <c r="A1412" s="36" t="n">
        <f aca="false">IF('Raw Orders'!B1409="","",IF(MID('Raw Orders'!B1409,5,1)="-",DATE(VALUE(LEFT('Raw Orders'!B1409,4)),VALUE(MID('Raw Orders'!B1409,6,2)),VALUE(MID('Raw Orders'!B1409,9,2))),DATE(VALUE(MID('Raw Orders'!B1409,7,4)),VALUE(MID('Raw Orders'!B1409,4,2)),VALUE(LEFT('Raw Orders'!B1409,2)))))</f>
        <v>46222</v>
      </c>
      <c r="B1412" s="36" t="n">
        <f aca="false">IF(A1412="","",A1412-WEEKDAY(A1412,3))</f>
        <v>46216</v>
      </c>
      <c r="C1412" s="32" t="n">
        <f aca="false">IF(OR('Raw Orders'!C1409&lt;&gt;"Product",'Raw Orders'!K1409="Cancelled"),0,'Raw Orders'!G1409)</f>
        <v>35</v>
      </c>
      <c r="D1412" s="31" t="n">
        <f aca="false">IF(AND('Raw Orders'!C1409="Product",'Raw Orders'!K1409="Fulfilled",COUNTIFS('Raw Orders'!$A$2:$A1409,'Raw Orders'!A1409,'Raw Orders'!$C$2:$C1409,"Product",'Raw Orders'!$K$2:$K1409,"Fulfilled")=1),1,0)</f>
        <v>1</v>
      </c>
      <c r="E1412" s="31" t="n">
        <f aca="false">IF(AND('Raw Orders'!C1409="Product",'Raw Orders'!K1409="Fulfilled"),'Raw Orders'!E1409,0)</f>
        <v>1</v>
      </c>
      <c r="F1412" s="32" t="n">
        <f aca="false">IF('Raw Orders'!K1409="Refunded",'Raw Orders'!G1409,0)</f>
        <v>0</v>
      </c>
    </row>
    <row r="1413" customFormat="false" ht="15" hidden="false" customHeight="false" outlineLevel="0" collapsed="false">
      <c r="A1413" s="36" t="n">
        <f aca="false">IF('Raw Orders'!B1410="","",IF(MID('Raw Orders'!B1410,5,1)="-",DATE(VALUE(LEFT('Raw Orders'!B1410,4)),VALUE(MID('Raw Orders'!B1410,6,2)),VALUE(MID('Raw Orders'!B1410,9,2))),DATE(VALUE(MID('Raw Orders'!B1410,7,4)),VALUE(MID('Raw Orders'!B1410,4,2)),VALUE(LEFT('Raw Orders'!B1410,2)))))</f>
        <v>46222</v>
      </c>
      <c r="B1413" s="36" t="n">
        <f aca="false">IF(A1413="","",A1413-WEEKDAY(A1413,3))</f>
        <v>46216</v>
      </c>
      <c r="C1413" s="32" t="n">
        <f aca="false">IF(OR('Raw Orders'!C1410&lt;&gt;"Product",'Raw Orders'!K1410="Cancelled"),0,'Raw Orders'!G1410)</f>
        <v>-14</v>
      </c>
      <c r="D1413" s="31" t="n">
        <f aca="false">IF(AND('Raw Orders'!C1410="Product",'Raw Orders'!K1410="Fulfilled",COUNTIFS('Raw Orders'!$A$2:$A1410,'Raw Orders'!A1410,'Raw Orders'!$C$2:$C1410,"Product",'Raw Orders'!$K$2:$K1410,"Fulfilled")=1),1,0)</f>
        <v>0</v>
      </c>
      <c r="E1413" s="31" t="n">
        <f aca="false">IF(AND('Raw Orders'!C1410="Product",'Raw Orders'!K1410="Fulfilled"),'Raw Orders'!E1410,0)</f>
        <v>0</v>
      </c>
      <c r="F1413" s="32" t="n">
        <f aca="false">IF('Raw Orders'!K1410="Refunded",'Raw Orders'!G1410,0)</f>
        <v>-14</v>
      </c>
    </row>
    <row r="1414" customFormat="false" ht="15" hidden="false" customHeight="false" outlineLevel="0" collapsed="false">
      <c r="A1414" s="36" t="n">
        <f aca="false">IF('Raw Orders'!B1411="","",IF(MID('Raw Orders'!B1411,5,1)="-",DATE(VALUE(LEFT('Raw Orders'!B1411,4)),VALUE(MID('Raw Orders'!B1411,6,2)),VALUE(MID('Raw Orders'!B1411,9,2))),DATE(VALUE(MID('Raw Orders'!B1411,7,4)),VALUE(MID('Raw Orders'!B1411,4,2)),VALUE(LEFT('Raw Orders'!B1411,2)))))</f>
        <v>46222</v>
      </c>
      <c r="B1414" s="36" t="n">
        <f aca="false">IF(A1414="","",A1414-WEEKDAY(A1414,3))</f>
        <v>46216</v>
      </c>
      <c r="C1414" s="32" t="n">
        <f aca="false">IF(OR('Raw Orders'!C1411&lt;&gt;"Product",'Raw Orders'!K1411="Cancelled"),0,'Raw Orders'!G1411)</f>
        <v>58</v>
      </c>
      <c r="D1414" s="31" t="n">
        <f aca="false">IF(AND('Raw Orders'!C1411="Product",'Raw Orders'!K1411="Fulfilled",COUNTIFS('Raw Orders'!$A$2:$A1411,'Raw Orders'!A1411,'Raw Orders'!$C$2:$C1411,"Product",'Raw Orders'!$K$2:$K1411,"Fulfilled")=1),1,0)</f>
        <v>1</v>
      </c>
      <c r="E1414" s="31" t="n">
        <f aca="false">IF(AND('Raw Orders'!C1411="Product",'Raw Orders'!K1411="Fulfilled"),'Raw Orders'!E1411,0)</f>
        <v>2</v>
      </c>
      <c r="F1414" s="32" t="n">
        <f aca="false">IF('Raw Orders'!K1411="Refunded",'Raw Orders'!G1411,0)</f>
        <v>0</v>
      </c>
    </row>
    <row r="1415" customFormat="false" ht="15" hidden="false" customHeight="false" outlineLevel="0" collapsed="false">
      <c r="A1415" s="36" t="n">
        <f aca="false">IF('Raw Orders'!B1412="","",IF(MID('Raw Orders'!B1412,5,1)="-",DATE(VALUE(LEFT('Raw Orders'!B1412,4)),VALUE(MID('Raw Orders'!B1412,6,2)),VALUE(MID('Raw Orders'!B1412,9,2))),DATE(VALUE(MID('Raw Orders'!B1412,7,4)),VALUE(MID('Raw Orders'!B1412,4,2)),VALUE(LEFT('Raw Orders'!B1412,2)))))</f>
        <v>46222</v>
      </c>
      <c r="B1415" s="36" t="n">
        <f aca="false">IF(A1415="","",A1415-WEEKDAY(A1415,3))</f>
        <v>46216</v>
      </c>
      <c r="C1415" s="32" t="n">
        <f aca="false">IF(OR('Raw Orders'!C1412&lt;&gt;"Product",'Raw Orders'!K1412="Cancelled"),0,'Raw Orders'!G1412)</f>
        <v>14</v>
      </c>
      <c r="D1415" s="31" t="n">
        <f aca="false">IF(AND('Raw Orders'!C1412="Product",'Raw Orders'!K1412="Fulfilled",COUNTIFS('Raw Orders'!$A$2:$A1412,'Raw Orders'!A1412,'Raw Orders'!$C$2:$C1412,"Product",'Raw Orders'!$K$2:$K1412,"Fulfilled")=1),1,0)</f>
        <v>0</v>
      </c>
      <c r="E1415" s="31" t="n">
        <f aca="false">IF(AND('Raw Orders'!C1412="Product",'Raw Orders'!K1412="Fulfilled"),'Raw Orders'!E1412,0)</f>
        <v>1</v>
      </c>
      <c r="F1415" s="32" t="n">
        <f aca="false">IF('Raw Orders'!K1412="Refunded",'Raw Orders'!G1412,0)</f>
        <v>0</v>
      </c>
    </row>
    <row r="1416" customFormat="false" ht="15" hidden="false" customHeight="false" outlineLevel="0" collapsed="false">
      <c r="A1416" s="36" t="n">
        <f aca="false">IF('Raw Orders'!B1413="","",IF(MID('Raw Orders'!B1413,5,1)="-",DATE(VALUE(LEFT('Raw Orders'!B1413,4)),VALUE(MID('Raw Orders'!B1413,6,2)),VALUE(MID('Raw Orders'!B1413,9,2))),DATE(VALUE(MID('Raw Orders'!B1413,7,4)),VALUE(MID('Raw Orders'!B1413,4,2)),VALUE(LEFT('Raw Orders'!B1413,2)))))</f>
        <v>46222</v>
      </c>
      <c r="B1416" s="36" t="n">
        <f aca="false">IF(A1416="","",A1416-WEEKDAY(A1416,3))</f>
        <v>46216</v>
      </c>
      <c r="C1416" s="32" t="n">
        <f aca="false">IF(OR('Raw Orders'!C1413&lt;&gt;"Product",'Raw Orders'!K1413="Cancelled"),0,'Raw Orders'!G1413)</f>
        <v>150</v>
      </c>
      <c r="D1416" s="31" t="n">
        <f aca="false">IF(AND('Raw Orders'!C1413="Product",'Raw Orders'!K1413="Fulfilled",COUNTIFS('Raw Orders'!$A$2:$A1413,'Raw Orders'!A1413,'Raw Orders'!$C$2:$C1413,"Product",'Raw Orders'!$K$2:$K1413,"Fulfilled")=1),1,0)</f>
        <v>0</v>
      </c>
      <c r="E1416" s="31" t="n">
        <f aca="false">IF(AND('Raw Orders'!C1413="Product",'Raw Orders'!K1413="Fulfilled"),'Raw Orders'!E1413,0)</f>
        <v>2</v>
      </c>
      <c r="F1416" s="32" t="n">
        <f aca="false">IF('Raw Orders'!K1413="Refunded",'Raw Orders'!G1413,0)</f>
        <v>0</v>
      </c>
    </row>
    <row r="1417" customFormat="false" ht="15" hidden="false" customHeight="false" outlineLevel="0" collapsed="false">
      <c r="A1417" s="36" t="n">
        <f aca="false">IF('Raw Orders'!B1414="","",IF(MID('Raw Orders'!B1414,5,1)="-",DATE(VALUE(LEFT('Raw Orders'!B1414,4)),VALUE(MID('Raw Orders'!B1414,6,2)),VALUE(MID('Raw Orders'!B1414,9,2))),DATE(VALUE(MID('Raw Orders'!B1414,7,4)),VALUE(MID('Raw Orders'!B1414,4,2)),VALUE(LEFT('Raw Orders'!B1414,2)))))</f>
        <v>46223</v>
      </c>
      <c r="B1417" s="36" t="n">
        <f aca="false">IF(A1417="","",A1417-WEEKDAY(A1417,3))</f>
        <v>46223</v>
      </c>
      <c r="C1417" s="32" t="n">
        <f aca="false">IF(OR('Raw Orders'!C1414&lt;&gt;"Product",'Raw Orders'!K1414="Cancelled"),0,'Raw Orders'!G1414)</f>
        <v>39</v>
      </c>
      <c r="D1417" s="31" t="n">
        <f aca="false">IF(AND('Raw Orders'!C1414="Product",'Raw Orders'!K1414="Fulfilled",COUNTIFS('Raw Orders'!$A$2:$A1414,'Raw Orders'!A1414,'Raw Orders'!$C$2:$C1414,"Product",'Raw Orders'!$K$2:$K1414,"Fulfilled")=1),1,0)</f>
        <v>1</v>
      </c>
      <c r="E1417" s="31" t="n">
        <f aca="false">IF(AND('Raw Orders'!C1414="Product",'Raw Orders'!K1414="Fulfilled"),'Raw Orders'!E1414,0)</f>
        <v>1</v>
      </c>
      <c r="F1417" s="32" t="n">
        <f aca="false">IF('Raw Orders'!K1414="Refunded",'Raw Orders'!G1414,0)</f>
        <v>0</v>
      </c>
    </row>
    <row r="1418" customFormat="false" ht="15" hidden="false" customHeight="false" outlineLevel="0" collapsed="false">
      <c r="A1418" s="36" t="n">
        <f aca="false">IF('Raw Orders'!B1415="","",IF(MID('Raw Orders'!B1415,5,1)="-",DATE(VALUE(LEFT('Raw Orders'!B1415,4)),VALUE(MID('Raw Orders'!B1415,6,2)),VALUE(MID('Raw Orders'!B1415,9,2))),DATE(VALUE(MID('Raw Orders'!B1415,7,4)),VALUE(MID('Raw Orders'!B1415,4,2)),VALUE(LEFT('Raw Orders'!B1415,2)))))</f>
        <v>46223</v>
      </c>
      <c r="B1418" s="36" t="n">
        <f aca="false">IF(A1418="","",A1418-WEEKDAY(A1418,3))</f>
        <v>46223</v>
      </c>
      <c r="C1418" s="32" t="n">
        <f aca="false">IF(OR('Raw Orders'!C1415&lt;&gt;"Product",'Raw Orders'!K1415="Cancelled"),0,'Raw Orders'!G1415)</f>
        <v>45</v>
      </c>
      <c r="D1418" s="31" t="n">
        <f aca="false">IF(AND('Raw Orders'!C1415="Product",'Raw Orders'!K1415="Fulfilled",COUNTIFS('Raw Orders'!$A$2:$A1415,'Raw Orders'!A1415,'Raw Orders'!$C$2:$C1415,"Product",'Raw Orders'!$K$2:$K1415,"Fulfilled")=1),1,0)</f>
        <v>1</v>
      </c>
      <c r="E1418" s="31" t="n">
        <f aca="false">IF(AND('Raw Orders'!C1415="Product",'Raw Orders'!K1415="Fulfilled"),'Raw Orders'!E1415,0)</f>
        <v>1</v>
      </c>
      <c r="F1418" s="32" t="n">
        <f aca="false">IF('Raw Orders'!K1415="Refunded",'Raw Orders'!G1415,0)</f>
        <v>0</v>
      </c>
    </row>
    <row r="1419" customFormat="false" ht="15" hidden="false" customHeight="false" outlineLevel="0" collapsed="false">
      <c r="A1419" s="36" t="n">
        <f aca="false">IF('Raw Orders'!B1416="","",IF(MID('Raw Orders'!B1416,5,1)="-",DATE(VALUE(LEFT('Raw Orders'!B1416,4)),VALUE(MID('Raw Orders'!B1416,6,2)),VALUE(MID('Raw Orders'!B1416,9,2))),DATE(VALUE(MID('Raw Orders'!B1416,7,4)),VALUE(MID('Raw Orders'!B1416,4,2)),VALUE(LEFT('Raw Orders'!B1416,2)))))</f>
        <v>46223</v>
      </c>
      <c r="B1419" s="36" t="n">
        <f aca="false">IF(A1419="","",A1419-WEEKDAY(A1419,3))</f>
        <v>46223</v>
      </c>
      <c r="C1419" s="32" t="n">
        <f aca="false">IF(OR('Raw Orders'!C1416&lt;&gt;"Product",'Raw Orders'!K1416="Cancelled"),0,'Raw Orders'!G1416)</f>
        <v>22</v>
      </c>
      <c r="D1419" s="31" t="n">
        <f aca="false">IF(AND('Raw Orders'!C1416="Product",'Raw Orders'!K1416="Fulfilled",COUNTIFS('Raw Orders'!$A$2:$A1416,'Raw Orders'!A1416,'Raw Orders'!$C$2:$C1416,"Product",'Raw Orders'!$K$2:$K1416,"Fulfilled")=1),1,0)</f>
        <v>1</v>
      </c>
      <c r="E1419" s="31" t="n">
        <f aca="false">IF(AND('Raw Orders'!C1416="Product",'Raw Orders'!K1416="Fulfilled"),'Raw Orders'!E1416,0)</f>
        <v>1</v>
      </c>
      <c r="F1419" s="32" t="n">
        <f aca="false">IF('Raw Orders'!K1416="Refunded",'Raw Orders'!G1416,0)</f>
        <v>0</v>
      </c>
    </row>
    <row r="1420" customFormat="false" ht="15" hidden="false" customHeight="false" outlineLevel="0" collapsed="false">
      <c r="A1420" s="36" t="n">
        <f aca="false">IF('Raw Orders'!B1417="","",IF(MID('Raw Orders'!B1417,5,1)="-",DATE(VALUE(LEFT('Raw Orders'!B1417,4)),VALUE(MID('Raw Orders'!B1417,6,2)),VALUE(MID('Raw Orders'!B1417,9,2))),DATE(VALUE(MID('Raw Orders'!B1417,7,4)),VALUE(MID('Raw Orders'!B1417,4,2)),VALUE(LEFT('Raw Orders'!B1417,2)))))</f>
        <v>46223</v>
      </c>
      <c r="B1420" s="36" t="n">
        <f aca="false">IF(A1420="","",A1420-WEEKDAY(A1420,3))</f>
        <v>46223</v>
      </c>
      <c r="C1420" s="32" t="n">
        <f aca="false">IF(OR('Raw Orders'!C1417&lt;&gt;"Product",'Raw Orders'!K1417="Cancelled"),0,'Raw Orders'!G1417)</f>
        <v>0</v>
      </c>
      <c r="D1420" s="31" t="n">
        <f aca="false">IF(AND('Raw Orders'!C1417="Product",'Raw Orders'!K1417="Fulfilled",COUNTIFS('Raw Orders'!$A$2:$A1417,'Raw Orders'!A1417,'Raw Orders'!$C$2:$C1417,"Product",'Raw Orders'!$K$2:$K1417,"Fulfilled")=1),1,0)</f>
        <v>0</v>
      </c>
      <c r="E1420" s="31" t="n">
        <f aca="false">IF(AND('Raw Orders'!C1417="Product",'Raw Orders'!K1417="Fulfilled"),'Raw Orders'!E1417,0)</f>
        <v>0</v>
      </c>
      <c r="F1420" s="32" t="n">
        <f aca="false">IF('Raw Orders'!K1417="Refunded",'Raw Orders'!G1417,0)</f>
        <v>0</v>
      </c>
    </row>
    <row r="1421" customFormat="false" ht="15" hidden="false" customHeight="false" outlineLevel="0" collapsed="false">
      <c r="A1421" s="36" t="n">
        <f aca="false">IF('Raw Orders'!B1418="","",IF(MID('Raw Orders'!B1418,5,1)="-",DATE(VALUE(LEFT('Raw Orders'!B1418,4)),VALUE(MID('Raw Orders'!B1418,6,2)),VALUE(MID('Raw Orders'!B1418,9,2))),DATE(VALUE(MID('Raw Orders'!B1418,7,4)),VALUE(MID('Raw Orders'!B1418,4,2)),VALUE(LEFT('Raw Orders'!B1418,2)))))</f>
        <v>46223</v>
      </c>
      <c r="B1421" s="36" t="n">
        <f aca="false">IF(A1421="","",A1421-WEEKDAY(A1421,3))</f>
        <v>46223</v>
      </c>
      <c r="C1421" s="32" t="n">
        <f aca="false">IF(OR('Raw Orders'!C1418&lt;&gt;"Product",'Raw Orders'!K1418="Cancelled"),0,'Raw Orders'!G1418)</f>
        <v>39</v>
      </c>
      <c r="D1421" s="31" t="n">
        <f aca="false">IF(AND('Raw Orders'!C1418="Product",'Raw Orders'!K1418="Fulfilled",COUNTIFS('Raw Orders'!$A$2:$A1418,'Raw Orders'!A1418,'Raw Orders'!$C$2:$C1418,"Product",'Raw Orders'!$K$2:$K1418,"Fulfilled")=1),1,0)</f>
        <v>1</v>
      </c>
      <c r="E1421" s="31" t="n">
        <f aca="false">IF(AND('Raw Orders'!C1418="Product",'Raw Orders'!K1418="Fulfilled"),'Raw Orders'!E1418,0)</f>
        <v>1</v>
      </c>
      <c r="F1421" s="32" t="n">
        <f aca="false">IF('Raw Orders'!K1418="Refunded",'Raw Orders'!G1418,0)</f>
        <v>0</v>
      </c>
    </row>
    <row r="1422" customFormat="false" ht="15" hidden="false" customHeight="false" outlineLevel="0" collapsed="false">
      <c r="A1422" s="36" t="n">
        <f aca="false">IF('Raw Orders'!B1419="","",IF(MID('Raw Orders'!B1419,5,1)="-",DATE(VALUE(LEFT('Raw Orders'!B1419,4)),VALUE(MID('Raw Orders'!B1419,6,2)),VALUE(MID('Raw Orders'!B1419,9,2))),DATE(VALUE(MID('Raw Orders'!B1419,7,4)),VALUE(MID('Raw Orders'!B1419,4,2)),VALUE(LEFT('Raw Orders'!B1419,2)))))</f>
        <v>46223</v>
      </c>
      <c r="B1422" s="36" t="n">
        <f aca="false">IF(A1422="","",A1422-WEEKDAY(A1422,3))</f>
        <v>46223</v>
      </c>
      <c r="C1422" s="32" t="n">
        <f aca="false">IF(OR('Raw Orders'!C1419&lt;&gt;"Product",'Raw Orders'!K1419="Cancelled"),0,'Raw Orders'!G1419)</f>
        <v>0</v>
      </c>
      <c r="D1422" s="31" t="n">
        <f aca="false">IF(AND('Raw Orders'!C1419="Product",'Raw Orders'!K1419="Fulfilled",COUNTIFS('Raw Orders'!$A$2:$A1419,'Raw Orders'!A1419,'Raw Orders'!$C$2:$C1419,"Product",'Raw Orders'!$K$2:$K1419,"Fulfilled")=1),1,0)</f>
        <v>0</v>
      </c>
      <c r="E1422" s="31" t="n">
        <f aca="false">IF(AND('Raw Orders'!C1419="Product",'Raw Orders'!K1419="Fulfilled"),'Raw Orders'!E1419,0)</f>
        <v>0</v>
      </c>
      <c r="F1422" s="32" t="n">
        <f aca="false">IF('Raw Orders'!K1419="Refunded",'Raw Orders'!G1419,0)</f>
        <v>0</v>
      </c>
    </row>
    <row r="1423" customFormat="false" ht="15" hidden="false" customHeight="false" outlineLevel="0" collapsed="false">
      <c r="A1423" s="36" t="n">
        <f aca="false">IF('Raw Orders'!B1420="","",IF(MID('Raw Orders'!B1420,5,1)="-",DATE(VALUE(LEFT('Raw Orders'!B1420,4)),VALUE(MID('Raw Orders'!B1420,6,2)),VALUE(MID('Raw Orders'!B1420,9,2))),DATE(VALUE(MID('Raw Orders'!B1420,7,4)),VALUE(MID('Raw Orders'!B1420,4,2)),VALUE(LEFT('Raw Orders'!B1420,2)))))</f>
        <v>46223</v>
      </c>
      <c r="B1423" s="36" t="n">
        <f aca="false">IF(A1423="","",A1423-WEEKDAY(A1423,3))</f>
        <v>46223</v>
      </c>
      <c r="C1423" s="32" t="n">
        <f aca="false">IF(OR('Raw Orders'!C1420&lt;&gt;"Product",'Raw Orders'!K1420="Cancelled"),0,'Raw Orders'!G1420)</f>
        <v>89</v>
      </c>
      <c r="D1423" s="31" t="n">
        <f aca="false">IF(AND('Raw Orders'!C1420="Product",'Raw Orders'!K1420="Fulfilled",COUNTIFS('Raw Orders'!$A$2:$A1420,'Raw Orders'!A1420,'Raw Orders'!$C$2:$C1420,"Product",'Raw Orders'!$K$2:$K1420,"Fulfilled")=1),1,0)</f>
        <v>0</v>
      </c>
      <c r="E1423" s="31" t="n">
        <f aca="false">IF(AND('Raw Orders'!C1420="Product",'Raw Orders'!K1420="Fulfilled"),'Raw Orders'!E1420,0)</f>
        <v>1</v>
      </c>
      <c r="F1423" s="32" t="n">
        <f aca="false">IF('Raw Orders'!K1420="Refunded",'Raw Orders'!G1420,0)</f>
        <v>0</v>
      </c>
    </row>
    <row r="1424" customFormat="false" ht="15" hidden="false" customHeight="false" outlineLevel="0" collapsed="false">
      <c r="A1424" s="36" t="n">
        <f aca="false">IF('Raw Orders'!B1421="","",IF(MID('Raw Orders'!B1421,5,1)="-",DATE(VALUE(LEFT('Raw Orders'!B1421,4)),VALUE(MID('Raw Orders'!B1421,6,2)),VALUE(MID('Raw Orders'!B1421,9,2))),DATE(VALUE(MID('Raw Orders'!B1421,7,4)),VALUE(MID('Raw Orders'!B1421,4,2)),VALUE(LEFT('Raw Orders'!B1421,2)))))</f>
        <v>46223</v>
      </c>
      <c r="B1424" s="36" t="n">
        <f aca="false">IF(A1424="","",A1424-WEEKDAY(A1424,3))</f>
        <v>46223</v>
      </c>
      <c r="C1424" s="32" t="n">
        <f aca="false">IF(OR('Raw Orders'!C1421&lt;&gt;"Product",'Raw Orders'!K1421="Cancelled"),0,'Raw Orders'!G1421)</f>
        <v>89</v>
      </c>
      <c r="D1424" s="31" t="n">
        <f aca="false">IF(AND('Raw Orders'!C1421="Product",'Raw Orders'!K1421="Fulfilled",COUNTIFS('Raw Orders'!$A$2:$A1421,'Raw Orders'!A1421,'Raw Orders'!$C$2:$C1421,"Product",'Raw Orders'!$K$2:$K1421,"Fulfilled")=1),1,0)</f>
        <v>1</v>
      </c>
      <c r="E1424" s="31" t="n">
        <f aca="false">IF(AND('Raw Orders'!C1421="Product",'Raw Orders'!K1421="Fulfilled"),'Raw Orders'!E1421,0)</f>
        <v>1</v>
      </c>
      <c r="F1424" s="32" t="n">
        <f aca="false">IF('Raw Orders'!K1421="Refunded",'Raw Orders'!G1421,0)</f>
        <v>0</v>
      </c>
    </row>
    <row r="1425" customFormat="false" ht="15" hidden="false" customHeight="false" outlineLevel="0" collapsed="false">
      <c r="A1425" s="36" t="n">
        <f aca="false">IF('Raw Orders'!B1422="","",IF(MID('Raw Orders'!B1422,5,1)="-",DATE(VALUE(LEFT('Raw Orders'!B1422,4)),VALUE(MID('Raw Orders'!B1422,6,2)),VALUE(MID('Raw Orders'!B1422,9,2))),DATE(VALUE(MID('Raw Orders'!B1422,7,4)),VALUE(MID('Raw Orders'!B1422,4,2)),VALUE(LEFT('Raw Orders'!B1422,2)))))</f>
        <v>46223</v>
      </c>
      <c r="B1425" s="36" t="n">
        <f aca="false">IF(A1425="","",A1425-WEEKDAY(A1425,3))</f>
        <v>46223</v>
      </c>
      <c r="C1425" s="32" t="n">
        <f aca="false">IF(OR('Raw Orders'!C1422&lt;&gt;"Product",'Raw Orders'!K1422="Cancelled"),0,'Raw Orders'!G1422)</f>
        <v>0</v>
      </c>
      <c r="D1425" s="31" t="n">
        <f aca="false">IF(AND('Raw Orders'!C1422="Product",'Raw Orders'!K1422="Fulfilled",COUNTIFS('Raw Orders'!$A$2:$A1422,'Raw Orders'!A1422,'Raw Orders'!$C$2:$C1422,"Product",'Raw Orders'!$K$2:$K1422,"Fulfilled")=1),1,0)</f>
        <v>0</v>
      </c>
      <c r="E1425" s="31" t="n">
        <f aca="false">IF(AND('Raw Orders'!C1422="Product",'Raw Orders'!K1422="Fulfilled"),'Raw Orders'!E1422,0)</f>
        <v>0</v>
      </c>
      <c r="F1425" s="32" t="n">
        <f aca="false">IF('Raw Orders'!K1422="Refunded",'Raw Orders'!G1422,0)</f>
        <v>0</v>
      </c>
    </row>
    <row r="1426" customFormat="false" ht="15" hidden="false" customHeight="false" outlineLevel="0" collapsed="false">
      <c r="A1426" s="36" t="n">
        <f aca="false">IF('Raw Orders'!B1423="","",IF(MID('Raw Orders'!B1423,5,1)="-",DATE(VALUE(LEFT('Raw Orders'!B1423,4)),VALUE(MID('Raw Orders'!B1423,6,2)),VALUE(MID('Raw Orders'!B1423,9,2))),DATE(VALUE(MID('Raw Orders'!B1423,7,4)),VALUE(MID('Raw Orders'!B1423,4,2)),VALUE(LEFT('Raw Orders'!B1423,2)))))</f>
        <v>46223</v>
      </c>
      <c r="B1426" s="36" t="n">
        <f aca="false">IF(A1426="","",A1426-WEEKDAY(A1426,3))</f>
        <v>46223</v>
      </c>
      <c r="C1426" s="32" t="n">
        <f aca="false">IF(OR('Raw Orders'!C1423&lt;&gt;"Product",'Raw Orders'!K1423="Cancelled"),0,'Raw Orders'!G1423)</f>
        <v>64</v>
      </c>
      <c r="D1426" s="31" t="n">
        <f aca="false">IF(AND('Raw Orders'!C1423="Product",'Raw Orders'!K1423="Fulfilled",COUNTIFS('Raw Orders'!$A$2:$A1423,'Raw Orders'!A1423,'Raw Orders'!$C$2:$C1423,"Product",'Raw Orders'!$K$2:$K1423,"Fulfilled")=1),1,0)</f>
        <v>0</v>
      </c>
      <c r="E1426" s="31" t="n">
        <f aca="false">IF(AND('Raw Orders'!C1423="Product",'Raw Orders'!K1423="Fulfilled"),'Raw Orders'!E1423,0)</f>
        <v>2</v>
      </c>
      <c r="F1426" s="32" t="n">
        <f aca="false">IF('Raw Orders'!K1423="Refunded",'Raw Orders'!G1423,0)</f>
        <v>0</v>
      </c>
    </row>
    <row r="1427" customFormat="false" ht="15" hidden="false" customHeight="false" outlineLevel="0" collapsed="false">
      <c r="A1427" s="36" t="n">
        <f aca="false">IF('Raw Orders'!B1424="","",IF(MID('Raw Orders'!B1424,5,1)="-",DATE(VALUE(LEFT('Raw Orders'!B1424,4)),VALUE(MID('Raw Orders'!B1424,6,2)),VALUE(MID('Raw Orders'!B1424,9,2))),DATE(VALUE(MID('Raw Orders'!B1424,7,4)),VALUE(MID('Raw Orders'!B1424,4,2)),VALUE(LEFT('Raw Orders'!B1424,2)))))</f>
        <v>46223</v>
      </c>
      <c r="B1427" s="36" t="n">
        <f aca="false">IF(A1427="","",A1427-WEEKDAY(A1427,3))</f>
        <v>46223</v>
      </c>
      <c r="C1427" s="32" t="n">
        <f aca="false">IF(OR('Raw Orders'!C1424&lt;&gt;"Product",'Raw Orders'!K1424="Cancelled"),0,'Raw Orders'!G1424)</f>
        <v>-89</v>
      </c>
      <c r="D1427" s="31" t="n">
        <f aca="false">IF(AND('Raw Orders'!C1424="Product",'Raw Orders'!K1424="Fulfilled",COUNTIFS('Raw Orders'!$A$2:$A1424,'Raw Orders'!A1424,'Raw Orders'!$C$2:$C1424,"Product",'Raw Orders'!$K$2:$K1424,"Fulfilled")=1),1,0)</f>
        <v>0</v>
      </c>
      <c r="E1427" s="31" t="n">
        <f aca="false">IF(AND('Raw Orders'!C1424="Product",'Raw Orders'!K1424="Fulfilled"),'Raw Orders'!E1424,0)</f>
        <v>0</v>
      </c>
      <c r="F1427" s="32" t="n">
        <f aca="false">IF('Raw Orders'!K1424="Refunded",'Raw Orders'!G1424,0)</f>
        <v>-89</v>
      </c>
    </row>
    <row r="1428" customFormat="false" ht="15" hidden="false" customHeight="false" outlineLevel="0" collapsed="false">
      <c r="A1428" s="36" t="n">
        <f aca="false">IF('Raw Orders'!B1425="","",IF(MID('Raw Orders'!B1425,5,1)="-",DATE(VALUE(LEFT('Raw Orders'!B1425,4)),VALUE(MID('Raw Orders'!B1425,6,2)),VALUE(MID('Raw Orders'!B1425,9,2))),DATE(VALUE(MID('Raw Orders'!B1425,7,4)),VALUE(MID('Raw Orders'!B1425,4,2)),VALUE(LEFT('Raw Orders'!B1425,2)))))</f>
        <v>46223</v>
      </c>
      <c r="B1428" s="36" t="n">
        <f aca="false">IF(A1428="","",A1428-WEEKDAY(A1428,3))</f>
        <v>46223</v>
      </c>
      <c r="C1428" s="32" t="n">
        <f aca="false">IF(OR('Raw Orders'!C1425&lt;&gt;"Product",'Raw Orders'!K1425="Cancelled"),0,'Raw Orders'!G1425)</f>
        <v>0</v>
      </c>
      <c r="D1428" s="31" t="n">
        <f aca="false">IF(AND('Raw Orders'!C1425="Product",'Raw Orders'!K1425="Fulfilled",COUNTIFS('Raw Orders'!$A$2:$A1425,'Raw Orders'!A1425,'Raw Orders'!$C$2:$C1425,"Product",'Raw Orders'!$K$2:$K1425,"Fulfilled")=1),1,0)</f>
        <v>0</v>
      </c>
      <c r="E1428" s="31" t="n">
        <f aca="false">IF(AND('Raw Orders'!C1425="Product",'Raw Orders'!K1425="Fulfilled"),'Raw Orders'!E1425,0)</f>
        <v>0</v>
      </c>
      <c r="F1428" s="32" t="n">
        <f aca="false">IF('Raw Orders'!K1425="Refunded",'Raw Orders'!G1425,0)</f>
        <v>0</v>
      </c>
    </row>
    <row r="1429" customFormat="false" ht="15" hidden="false" customHeight="false" outlineLevel="0" collapsed="false">
      <c r="A1429" s="36" t="n">
        <f aca="false">IF('Raw Orders'!B1426="","",IF(MID('Raw Orders'!B1426,5,1)="-",DATE(VALUE(LEFT('Raw Orders'!B1426,4)),VALUE(MID('Raw Orders'!B1426,6,2)),VALUE(MID('Raw Orders'!B1426,9,2))),DATE(VALUE(MID('Raw Orders'!B1426,7,4)),VALUE(MID('Raw Orders'!B1426,4,2)),VALUE(LEFT('Raw Orders'!B1426,2)))))</f>
        <v>46223</v>
      </c>
      <c r="B1429" s="36" t="n">
        <f aca="false">IF(A1429="","",A1429-WEEKDAY(A1429,3))</f>
        <v>46223</v>
      </c>
      <c r="C1429" s="32" t="n">
        <f aca="false">IF(OR('Raw Orders'!C1426&lt;&gt;"Product",'Raw Orders'!K1426="Cancelled"),0,'Raw Orders'!G1426)</f>
        <v>0</v>
      </c>
      <c r="D1429" s="31" t="n">
        <f aca="false">IF(AND('Raw Orders'!C1426="Product",'Raw Orders'!K1426="Fulfilled",COUNTIFS('Raw Orders'!$A$2:$A1426,'Raw Orders'!A1426,'Raw Orders'!$C$2:$C1426,"Product",'Raw Orders'!$K$2:$K1426,"Fulfilled")=1),1,0)</f>
        <v>0</v>
      </c>
      <c r="E1429" s="31" t="n">
        <f aca="false">IF(AND('Raw Orders'!C1426="Product",'Raw Orders'!K1426="Fulfilled"),'Raw Orders'!E1426,0)</f>
        <v>0</v>
      </c>
      <c r="F1429" s="32" t="n">
        <f aca="false">IF('Raw Orders'!K1426="Refunded",'Raw Orders'!G1426,0)</f>
        <v>0</v>
      </c>
    </row>
    <row r="1430" customFormat="false" ht="15" hidden="false" customHeight="false" outlineLevel="0" collapsed="false">
      <c r="A1430" s="36" t="n">
        <f aca="false">IF('Raw Orders'!B1427="","",IF(MID('Raw Orders'!B1427,5,1)="-",DATE(VALUE(LEFT('Raw Orders'!B1427,4)),VALUE(MID('Raw Orders'!B1427,6,2)),VALUE(MID('Raw Orders'!B1427,9,2))),DATE(VALUE(MID('Raw Orders'!B1427,7,4)),VALUE(MID('Raw Orders'!B1427,4,2)),VALUE(LEFT('Raw Orders'!B1427,2)))))</f>
        <v>46223</v>
      </c>
      <c r="B1430" s="36" t="n">
        <f aca="false">IF(A1430="","",A1430-WEEKDAY(A1430,3))</f>
        <v>46223</v>
      </c>
      <c r="C1430" s="32" t="n">
        <f aca="false">IF(OR('Raw Orders'!C1427&lt;&gt;"Product",'Raw Orders'!K1427="Cancelled"),0,'Raw Orders'!G1427)</f>
        <v>32</v>
      </c>
      <c r="D1430" s="31" t="n">
        <f aca="false">IF(AND('Raw Orders'!C1427="Product",'Raw Orders'!K1427="Fulfilled",COUNTIFS('Raw Orders'!$A$2:$A1427,'Raw Orders'!A1427,'Raw Orders'!$C$2:$C1427,"Product",'Raw Orders'!$K$2:$K1427,"Fulfilled")=1),1,0)</f>
        <v>1</v>
      </c>
      <c r="E1430" s="31" t="n">
        <f aca="false">IF(AND('Raw Orders'!C1427="Product",'Raw Orders'!K1427="Fulfilled"),'Raw Orders'!E1427,0)</f>
        <v>1</v>
      </c>
      <c r="F1430" s="32" t="n">
        <f aca="false">IF('Raw Orders'!K1427="Refunded",'Raw Orders'!G1427,0)</f>
        <v>0</v>
      </c>
    </row>
    <row r="1431" customFormat="false" ht="15" hidden="false" customHeight="false" outlineLevel="0" collapsed="false">
      <c r="A1431" s="36" t="n">
        <f aca="false">IF('Raw Orders'!B1428="","",IF(MID('Raw Orders'!B1428,5,1)="-",DATE(VALUE(LEFT('Raw Orders'!B1428,4)),VALUE(MID('Raw Orders'!B1428,6,2)),VALUE(MID('Raw Orders'!B1428,9,2))),DATE(VALUE(MID('Raw Orders'!B1428,7,4)),VALUE(MID('Raw Orders'!B1428,4,2)),VALUE(LEFT('Raw Orders'!B1428,2)))))</f>
        <v>46224</v>
      </c>
      <c r="B1431" s="36" t="n">
        <f aca="false">IF(A1431="","",A1431-WEEKDAY(A1431,3))</f>
        <v>46223</v>
      </c>
      <c r="C1431" s="32" t="n">
        <f aca="false">IF(OR('Raw Orders'!C1428&lt;&gt;"Product",'Raw Orders'!K1428="Cancelled"),0,'Raw Orders'!G1428)</f>
        <v>14</v>
      </c>
      <c r="D1431" s="31" t="n">
        <f aca="false">IF(AND('Raw Orders'!C1428="Product",'Raw Orders'!K1428="Fulfilled",COUNTIFS('Raw Orders'!$A$2:$A1428,'Raw Orders'!A1428,'Raw Orders'!$C$2:$C1428,"Product",'Raw Orders'!$K$2:$K1428,"Fulfilled")=1),1,0)</f>
        <v>1</v>
      </c>
      <c r="E1431" s="31" t="n">
        <f aca="false">IF(AND('Raw Orders'!C1428="Product",'Raw Orders'!K1428="Fulfilled"),'Raw Orders'!E1428,0)</f>
        <v>1</v>
      </c>
      <c r="F1431" s="32" t="n">
        <f aca="false">IF('Raw Orders'!K1428="Refunded",'Raw Orders'!G1428,0)</f>
        <v>0</v>
      </c>
    </row>
    <row r="1432" customFormat="false" ht="15" hidden="false" customHeight="false" outlineLevel="0" collapsed="false">
      <c r="A1432" s="36" t="n">
        <f aca="false">IF('Raw Orders'!B1429="","",IF(MID('Raw Orders'!B1429,5,1)="-",DATE(VALUE(LEFT('Raw Orders'!B1429,4)),VALUE(MID('Raw Orders'!B1429,6,2)),VALUE(MID('Raw Orders'!B1429,9,2))),DATE(VALUE(MID('Raw Orders'!B1429,7,4)),VALUE(MID('Raw Orders'!B1429,4,2)),VALUE(LEFT('Raw Orders'!B1429,2)))))</f>
        <v>46224</v>
      </c>
      <c r="B1432" s="36" t="n">
        <f aca="false">IF(A1432="","",A1432-WEEKDAY(A1432,3))</f>
        <v>46223</v>
      </c>
      <c r="C1432" s="32" t="n">
        <f aca="false">IF(OR('Raw Orders'!C1429&lt;&gt;"Product",'Raw Orders'!K1429="Cancelled"),0,'Raw Orders'!G1429)</f>
        <v>22</v>
      </c>
      <c r="D1432" s="31" t="n">
        <f aca="false">IF(AND('Raw Orders'!C1429="Product",'Raw Orders'!K1429="Fulfilled",COUNTIFS('Raw Orders'!$A$2:$A1429,'Raw Orders'!A1429,'Raw Orders'!$C$2:$C1429,"Product",'Raw Orders'!$K$2:$K1429,"Fulfilled")=1),1,0)</f>
        <v>0</v>
      </c>
      <c r="E1432" s="31" t="n">
        <f aca="false">IF(AND('Raw Orders'!C1429="Product",'Raw Orders'!K1429="Fulfilled"),'Raw Orders'!E1429,0)</f>
        <v>1</v>
      </c>
      <c r="F1432" s="32" t="n">
        <f aca="false">IF('Raw Orders'!K1429="Refunded",'Raw Orders'!G1429,0)</f>
        <v>0</v>
      </c>
    </row>
    <row r="1433" customFormat="false" ht="15" hidden="false" customHeight="false" outlineLevel="0" collapsed="false">
      <c r="A1433" s="36" t="n">
        <f aca="false">IF('Raw Orders'!B1430="","",IF(MID('Raw Orders'!B1430,5,1)="-",DATE(VALUE(LEFT('Raw Orders'!B1430,4)),VALUE(MID('Raw Orders'!B1430,6,2)),VALUE(MID('Raw Orders'!B1430,9,2))),DATE(VALUE(MID('Raw Orders'!B1430,7,4)),VALUE(MID('Raw Orders'!B1430,4,2)),VALUE(LEFT('Raw Orders'!B1430,2)))))</f>
        <v>46224</v>
      </c>
      <c r="B1433" s="36" t="n">
        <f aca="false">IF(A1433="","",A1433-WEEKDAY(A1433,3))</f>
        <v>46223</v>
      </c>
      <c r="C1433" s="32" t="n">
        <f aca="false">IF(OR('Raw Orders'!C1430&lt;&gt;"Product",'Raw Orders'!K1430="Cancelled"),0,'Raw Orders'!G1430)</f>
        <v>35</v>
      </c>
      <c r="D1433" s="31" t="n">
        <f aca="false">IF(AND('Raw Orders'!C1430="Product",'Raw Orders'!K1430="Fulfilled",COUNTIFS('Raw Orders'!$A$2:$A1430,'Raw Orders'!A1430,'Raw Orders'!$C$2:$C1430,"Product",'Raw Orders'!$K$2:$K1430,"Fulfilled")=1),1,0)</f>
        <v>1</v>
      </c>
      <c r="E1433" s="31" t="n">
        <f aca="false">IF(AND('Raw Orders'!C1430="Product",'Raw Orders'!K1430="Fulfilled"),'Raw Orders'!E1430,0)</f>
        <v>1</v>
      </c>
      <c r="F1433" s="32" t="n">
        <f aca="false">IF('Raw Orders'!K1430="Refunded",'Raw Orders'!G1430,0)</f>
        <v>0</v>
      </c>
    </row>
    <row r="1434" customFormat="false" ht="15" hidden="false" customHeight="false" outlineLevel="0" collapsed="false">
      <c r="A1434" s="36" t="n">
        <f aca="false">IF('Raw Orders'!B1431="","",IF(MID('Raw Orders'!B1431,5,1)="-",DATE(VALUE(LEFT('Raw Orders'!B1431,4)),VALUE(MID('Raw Orders'!B1431,6,2)),VALUE(MID('Raw Orders'!B1431,9,2))),DATE(VALUE(MID('Raw Orders'!B1431,7,4)),VALUE(MID('Raw Orders'!B1431,4,2)),VALUE(LEFT('Raw Orders'!B1431,2)))))</f>
        <v>46224</v>
      </c>
      <c r="B1434" s="36" t="n">
        <f aca="false">IF(A1434="","",A1434-WEEKDAY(A1434,3))</f>
        <v>46223</v>
      </c>
      <c r="C1434" s="32" t="n">
        <f aca="false">IF(OR('Raw Orders'!C1431&lt;&gt;"Product",'Raw Orders'!K1431="Cancelled"),0,'Raw Orders'!G1431)</f>
        <v>0</v>
      </c>
      <c r="D1434" s="31" t="n">
        <f aca="false">IF(AND('Raw Orders'!C1431="Product",'Raw Orders'!K1431="Fulfilled",COUNTIFS('Raw Orders'!$A$2:$A1431,'Raw Orders'!A1431,'Raw Orders'!$C$2:$C1431,"Product",'Raw Orders'!$K$2:$K1431,"Fulfilled")=1),1,0)</f>
        <v>0</v>
      </c>
      <c r="E1434" s="31" t="n">
        <f aca="false">IF(AND('Raw Orders'!C1431="Product",'Raw Orders'!K1431="Fulfilled"),'Raw Orders'!E1431,0)</f>
        <v>0</v>
      </c>
      <c r="F1434" s="32" t="n">
        <f aca="false">IF('Raw Orders'!K1431="Refunded",'Raw Orders'!G1431,0)</f>
        <v>0</v>
      </c>
    </row>
    <row r="1435" customFormat="false" ht="15" hidden="false" customHeight="false" outlineLevel="0" collapsed="false">
      <c r="A1435" s="36" t="n">
        <f aca="false">IF('Raw Orders'!B1432="","",IF(MID('Raw Orders'!B1432,5,1)="-",DATE(VALUE(LEFT('Raw Orders'!B1432,4)),VALUE(MID('Raw Orders'!B1432,6,2)),VALUE(MID('Raw Orders'!B1432,9,2))),DATE(VALUE(MID('Raw Orders'!B1432,7,4)),VALUE(MID('Raw Orders'!B1432,4,2)),VALUE(LEFT('Raw Orders'!B1432,2)))))</f>
        <v>46224</v>
      </c>
      <c r="B1435" s="36" t="n">
        <f aca="false">IF(A1435="","",A1435-WEEKDAY(A1435,3))</f>
        <v>46223</v>
      </c>
      <c r="C1435" s="32" t="n">
        <f aca="false">IF(OR('Raw Orders'!C1432&lt;&gt;"Product",'Raw Orders'!K1432="Cancelled"),0,'Raw Orders'!G1432)</f>
        <v>0</v>
      </c>
      <c r="D1435" s="31" t="n">
        <f aca="false">IF(AND('Raw Orders'!C1432="Product",'Raw Orders'!K1432="Fulfilled",COUNTIFS('Raw Orders'!$A$2:$A1432,'Raw Orders'!A1432,'Raw Orders'!$C$2:$C1432,"Product",'Raw Orders'!$K$2:$K1432,"Fulfilled")=1),1,0)</f>
        <v>0</v>
      </c>
      <c r="E1435" s="31" t="n">
        <f aca="false">IF(AND('Raw Orders'!C1432="Product",'Raw Orders'!K1432="Fulfilled"),'Raw Orders'!E1432,0)</f>
        <v>0</v>
      </c>
      <c r="F1435" s="32" t="n">
        <f aca="false">IF('Raw Orders'!K1432="Refunded",'Raw Orders'!G1432,0)</f>
        <v>0</v>
      </c>
    </row>
    <row r="1436" customFormat="false" ht="15" hidden="false" customHeight="false" outlineLevel="0" collapsed="false">
      <c r="A1436" s="36" t="n">
        <f aca="false">IF('Raw Orders'!B1433="","",IF(MID('Raw Orders'!B1433,5,1)="-",DATE(VALUE(LEFT('Raw Orders'!B1433,4)),VALUE(MID('Raw Orders'!B1433,6,2)),VALUE(MID('Raw Orders'!B1433,9,2))),DATE(VALUE(MID('Raw Orders'!B1433,7,4)),VALUE(MID('Raw Orders'!B1433,4,2)),VALUE(LEFT('Raw Orders'!B1433,2)))))</f>
        <v>46224</v>
      </c>
      <c r="B1436" s="36" t="n">
        <f aca="false">IF(A1436="","",A1436-WEEKDAY(A1436,3))</f>
        <v>46223</v>
      </c>
      <c r="C1436" s="32" t="n">
        <f aca="false">IF(OR('Raw Orders'!C1433&lt;&gt;"Product",'Raw Orders'!K1433="Cancelled"),0,'Raw Orders'!G1433)</f>
        <v>45</v>
      </c>
      <c r="D1436" s="31" t="n">
        <f aca="false">IF(AND('Raw Orders'!C1433="Product",'Raw Orders'!K1433="Fulfilled",COUNTIFS('Raw Orders'!$A$2:$A1433,'Raw Orders'!A1433,'Raw Orders'!$C$2:$C1433,"Product",'Raw Orders'!$K$2:$K1433,"Fulfilled")=1),1,0)</f>
        <v>1</v>
      </c>
      <c r="E1436" s="31" t="n">
        <f aca="false">IF(AND('Raw Orders'!C1433="Product",'Raw Orders'!K1433="Fulfilled"),'Raw Orders'!E1433,0)</f>
        <v>1</v>
      </c>
      <c r="F1436" s="32" t="n">
        <f aca="false">IF('Raw Orders'!K1433="Refunded",'Raw Orders'!G1433,0)</f>
        <v>0</v>
      </c>
    </row>
    <row r="1437" customFormat="false" ht="15" hidden="false" customHeight="false" outlineLevel="0" collapsed="false">
      <c r="A1437" s="36" t="n">
        <f aca="false">IF('Raw Orders'!B1434="","",IF(MID('Raw Orders'!B1434,5,1)="-",DATE(VALUE(LEFT('Raw Orders'!B1434,4)),VALUE(MID('Raw Orders'!B1434,6,2)),VALUE(MID('Raw Orders'!B1434,9,2))),DATE(VALUE(MID('Raw Orders'!B1434,7,4)),VALUE(MID('Raw Orders'!B1434,4,2)),VALUE(LEFT('Raw Orders'!B1434,2)))))</f>
        <v>46224</v>
      </c>
      <c r="B1437" s="36" t="n">
        <f aca="false">IF(A1437="","",A1437-WEEKDAY(A1437,3))</f>
        <v>46223</v>
      </c>
      <c r="C1437" s="32" t="n">
        <f aca="false">IF(OR('Raw Orders'!C1434&lt;&gt;"Product",'Raw Orders'!K1434="Cancelled"),0,'Raw Orders'!G1434)</f>
        <v>0</v>
      </c>
      <c r="D1437" s="31" t="n">
        <f aca="false">IF(AND('Raw Orders'!C1434="Product",'Raw Orders'!K1434="Fulfilled",COUNTIFS('Raw Orders'!$A$2:$A1434,'Raw Orders'!A1434,'Raw Orders'!$C$2:$C1434,"Product",'Raw Orders'!$K$2:$K1434,"Fulfilled")=1),1,0)</f>
        <v>0</v>
      </c>
      <c r="E1437" s="31" t="n">
        <f aca="false">IF(AND('Raw Orders'!C1434="Product",'Raw Orders'!K1434="Fulfilled"),'Raw Orders'!E1434,0)</f>
        <v>0</v>
      </c>
      <c r="F1437" s="32" t="n">
        <f aca="false">IF('Raw Orders'!K1434="Refunded",'Raw Orders'!G1434,0)</f>
        <v>0</v>
      </c>
    </row>
    <row r="1438" customFormat="false" ht="15" hidden="false" customHeight="false" outlineLevel="0" collapsed="false">
      <c r="A1438" s="36" t="n">
        <f aca="false">IF('Raw Orders'!B1435="","",IF(MID('Raw Orders'!B1435,5,1)="-",DATE(VALUE(LEFT('Raw Orders'!B1435,4)),VALUE(MID('Raw Orders'!B1435,6,2)),VALUE(MID('Raw Orders'!B1435,9,2))),DATE(VALUE(MID('Raw Orders'!B1435,7,4)),VALUE(MID('Raw Orders'!B1435,4,2)),VALUE(LEFT('Raw Orders'!B1435,2)))))</f>
        <v>46224</v>
      </c>
      <c r="B1438" s="36" t="n">
        <f aca="false">IF(A1438="","",A1438-WEEKDAY(A1438,3))</f>
        <v>46223</v>
      </c>
      <c r="C1438" s="32" t="n">
        <f aca="false">IF(OR('Raw Orders'!C1435&lt;&gt;"Product",'Raw Orders'!K1435="Cancelled"),0,'Raw Orders'!G1435)</f>
        <v>78</v>
      </c>
      <c r="D1438" s="31" t="n">
        <f aca="false">IF(AND('Raw Orders'!C1435="Product",'Raw Orders'!K1435="Fulfilled",COUNTIFS('Raw Orders'!$A$2:$A1435,'Raw Orders'!A1435,'Raw Orders'!$C$2:$C1435,"Product",'Raw Orders'!$K$2:$K1435,"Fulfilled")=1),1,0)</f>
        <v>1</v>
      </c>
      <c r="E1438" s="31" t="n">
        <f aca="false">IF(AND('Raw Orders'!C1435="Product",'Raw Orders'!K1435="Fulfilled"),'Raw Orders'!E1435,0)</f>
        <v>2</v>
      </c>
      <c r="F1438" s="32" t="n">
        <f aca="false">IF('Raw Orders'!K1435="Refunded",'Raw Orders'!G1435,0)</f>
        <v>0</v>
      </c>
    </row>
    <row r="1439" customFormat="false" ht="15" hidden="false" customHeight="false" outlineLevel="0" collapsed="false">
      <c r="A1439" s="36" t="n">
        <f aca="false">IF('Raw Orders'!B1436="","",IF(MID('Raw Orders'!B1436,5,1)="-",DATE(VALUE(LEFT('Raw Orders'!B1436,4)),VALUE(MID('Raw Orders'!B1436,6,2)),VALUE(MID('Raw Orders'!B1436,9,2))),DATE(VALUE(MID('Raw Orders'!B1436,7,4)),VALUE(MID('Raw Orders'!B1436,4,2)),VALUE(LEFT('Raw Orders'!B1436,2)))))</f>
        <v>46224</v>
      </c>
      <c r="B1439" s="36" t="n">
        <f aca="false">IF(A1439="","",A1439-WEEKDAY(A1439,3))</f>
        <v>46223</v>
      </c>
      <c r="C1439" s="32" t="n">
        <f aca="false">IF(OR('Raw Orders'!C1436&lt;&gt;"Product",'Raw Orders'!K1436="Cancelled"),0,'Raw Orders'!G1436)</f>
        <v>89</v>
      </c>
      <c r="D1439" s="31" t="n">
        <f aca="false">IF(AND('Raw Orders'!C1436="Product",'Raw Orders'!K1436="Fulfilled",COUNTIFS('Raw Orders'!$A$2:$A1436,'Raw Orders'!A1436,'Raw Orders'!$C$2:$C1436,"Product",'Raw Orders'!$K$2:$K1436,"Fulfilled")=1),1,0)</f>
        <v>0</v>
      </c>
      <c r="E1439" s="31" t="n">
        <f aca="false">IF(AND('Raw Orders'!C1436="Product",'Raw Orders'!K1436="Fulfilled"),'Raw Orders'!E1436,0)</f>
        <v>1</v>
      </c>
      <c r="F1439" s="32" t="n">
        <f aca="false">IF('Raw Orders'!K1436="Refunded",'Raw Orders'!G1436,0)</f>
        <v>0</v>
      </c>
    </row>
    <row r="1440" customFormat="false" ht="15" hidden="false" customHeight="false" outlineLevel="0" collapsed="false">
      <c r="A1440" s="36" t="n">
        <f aca="false">IF('Raw Orders'!B1437="","",IF(MID('Raw Orders'!B1437,5,1)="-",DATE(VALUE(LEFT('Raw Orders'!B1437,4)),VALUE(MID('Raw Orders'!B1437,6,2)),VALUE(MID('Raw Orders'!B1437,9,2))),DATE(VALUE(MID('Raw Orders'!B1437,7,4)),VALUE(MID('Raw Orders'!B1437,4,2)),VALUE(LEFT('Raw Orders'!B1437,2)))))</f>
        <v>46224</v>
      </c>
      <c r="B1440" s="36" t="n">
        <f aca="false">IF(A1440="","",A1440-WEEKDAY(A1440,3))</f>
        <v>46223</v>
      </c>
      <c r="C1440" s="32" t="n">
        <f aca="false">IF(OR('Raw Orders'!C1437&lt;&gt;"Product",'Raw Orders'!K1437="Cancelled"),0,'Raw Orders'!G1437)</f>
        <v>45</v>
      </c>
      <c r="D1440" s="31" t="n">
        <f aca="false">IF(AND('Raw Orders'!C1437="Product",'Raw Orders'!K1437="Fulfilled",COUNTIFS('Raw Orders'!$A$2:$A1437,'Raw Orders'!A1437,'Raw Orders'!$C$2:$C1437,"Product",'Raw Orders'!$K$2:$K1437,"Fulfilled")=1),1,0)</f>
        <v>0</v>
      </c>
      <c r="E1440" s="31" t="n">
        <f aca="false">IF(AND('Raw Orders'!C1437="Product",'Raw Orders'!K1437="Fulfilled"),'Raw Orders'!E1437,0)</f>
        <v>1</v>
      </c>
      <c r="F1440" s="32" t="n">
        <f aca="false">IF('Raw Orders'!K1437="Refunded",'Raw Orders'!G1437,0)</f>
        <v>0</v>
      </c>
    </row>
    <row r="1441" customFormat="false" ht="15" hidden="false" customHeight="false" outlineLevel="0" collapsed="false">
      <c r="A1441" s="36" t="n">
        <f aca="false">IF('Raw Orders'!B1438="","",IF(MID('Raw Orders'!B1438,5,1)="-",DATE(VALUE(LEFT('Raw Orders'!B1438,4)),VALUE(MID('Raw Orders'!B1438,6,2)),VALUE(MID('Raw Orders'!B1438,9,2))),DATE(VALUE(MID('Raw Orders'!B1438,7,4)),VALUE(MID('Raw Orders'!B1438,4,2)),VALUE(LEFT('Raw Orders'!B1438,2)))))</f>
        <v>46224</v>
      </c>
      <c r="B1441" s="36" t="n">
        <f aca="false">IF(A1441="","",A1441-WEEKDAY(A1441,3))</f>
        <v>46223</v>
      </c>
      <c r="C1441" s="32" t="n">
        <f aca="false">IF(OR('Raw Orders'!C1438&lt;&gt;"Product",'Raw Orders'!K1438="Cancelled"),0,'Raw Orders'!G1438)</f>
        <v>71.2</v>
      </c>
      <c r="D1441" s="31" t="n">
        <f aca="false">IF(AND('Raw Orders'!C1438="Product",'Raw Orders'!K1438="Fulfilled",COUNTIFS('Raw Orders'!$A$2:$A1438,'Raw Orders'!A1438,'Raw Orders'!$C$2:$C1438,"Product",'Raw Orders'!$K$2:$K1438,"Fulfilled")=1),1,0)</f>
        <v>1</v>
      </c>
      <c r="E1441" s="31" t="n">
        <f aca="false">IF(AND('Raw Orders'!C1438="Product",'Raw Orders'!K1438="Fulfilled"),'Raw Orders'!E1438,0)</f>
        <v>1</v>
      </c>
      <c r="F1441" s="32" t="n">
        <f aca="false">IF('Raw Orders'!K1438="Refunded",'Raw Orders'!G1438,0)</f>
        <v>0</v>
      </c>
    </row>
    <row r="1442" customFormat="false" ht="15" hidden="false" customHeight="false" outlineLevel="0" collapsed="false">
      <c r="A1442" s="36" t="n">
        <f aca="false">IF('Raw Orders'!B1439="","",IF(MID('Raw Orders'!B1439,5,1)="-",DATE(VALUE(LEFT('Raw Orders'!B1439,4)),VALUE(MID('Raw Orders'!B1439,6,2)),VALUE(MID('Raw Orders'!B1439,9,2))),DATE(VALUE(MID('Raw Orders'!B1439,7,4)),VALUE(MID('Raw Orders'!B1439,4,2)),VALUE(LEFT('Raw Orders'!B1439,2)))))</f>
        <v>46224</v>
      </c>
      <c r="B1442" s="36" t="n">
        <f aca="false">IF(A1442="","",A1442-WEEKDAY(A1442,3))</f>
        <v>46223</v>
      </c>
      <c r="C1442" s="32" t="n">
        <f aca="false">IF(OR('Raw Orders'!C1439&lt;&gt;"Product",'Raw Orders'!K1439="Cancelled"),0,'Raw Orders'!G1439)</f>
        <v>39</v>
      </c>
      <c r="D1442" s="31" t="n">
        <f aca="false">IF(AND('Raw Orders'!C1439="Product",'Raw Orders'!K1439="Fulfilled",COUNTIFS('Raw Orders'!$A$2:$A1439,'Raw Orders'!A1439,'Raw Orders'!$C$2:$C1439,"Product",'Raw Orders'!$K$2:$K1439,"Fulfilled")=1),1,0)</f>
        <v>1</v>
      </c>
      <c r="E1442" s="31" t="n">
        <f aca="false">IF(AND('Raw Orders'!C1439="Product",'Raw Orders'!K1439="Fulfilled"),'Raw Orders'!E1439,0)</f>
        <v>1</v>
      </c>
      <c r="F1442" s="32" t="n">
        <f aca="false">IF('Raw Orders'!K1439="Refunded",'Raw Orders'!G1439,0)</f>
        <v>0</v>
      </c>
    </row>
    <row r="1443" customFormat="false" ht="15" hidden="false" customHeight="false" outlineLevel="0" collapsed="false">
      <c r="A1443" s="36" t="n">
        <f aca="false">IF('Raw Orders'!B1440="","",IF(MID('Raw Orders'!B1440,5,1)="-",DATE(VALUE(LEFT('Raw Orders'!B1440,4)),VALUE(MID('Raw Orders'!B1440,6,2)),VALUE(MID('Raw Orders'!B1440,9,2))),DATE(VALUE(MID('Raw Orders'!B1440,7,4)),VALUE(MID('Raw Orders'!B1440,4,2)),VALUE(LEFT('Raw Orders'!B1440,2)))))</f>
        <v>46224</v>
      </c>
      <c r="B1443" s="36" t="n">
        <f aca="false">IF(A1443="","",A1443-WEEKDAY(A1443,3))</f>
        <v>46223</v>
      </c>
      <c r="C1443" s="32" t="n">
        <f aca="false">IF(OR('Raw Orders'!C1440&lt;&gt;"Product",'Raw Orders'!K1440="Cancelled"),0,'Raw Orders'!G1440)</f>
        <v>35</v>
      </c>
      <c r="D1443" s="31" t="n">
        <f aca="false">IF(AND('Raw Orders'!C1440="Product",'Raw Orders'!K1440="Fulfilled",COUNTIFS('Raw Orders'!$A$2:$A1440,'Raw Orders'!A1440,'Raw Orders'!$C$2:$C1440,"Product",'Raw Orders'!$K$2:$K1440,"Fulfilled")=1),1,0)</f>
        <v>0</v>
      </c>
      <c r="E1443" s="31" t="n">
        <f aca="false">IF(AND('Raw Orders'!C1440="Product",'Raw Orders'!K1440="Fulfilled"),'Raw Orders'!E1440,0)</f>
        <v>1</v>
      </c>
      <c r="F1443" s="32" t="n">
        <f aca="false">IF('Raw Orders'!K1440="Refunded",'Raw Orders'!G1440,0)</f>
        <v>0</v>
      </c>
    </row>
    <row r="1444" customFormat="false" ht="15" hidden="false" customHeight="false" outlineLevel="0" collapsed="false">
      <c r="A1444" s="36" t="n">
        <f aca="false">IF('Raw Orders'!B1441="","",IF(MID('Raw Orders'!B1441,5,1)="-",DATE(VALUE(LEFT('Raw Orders'!B1441,4)),VALUE(MID('Raw Orders'!B1441,6,2)),VALUE(MID('Raw Orders'!B1441,9,2))),DATE(VALUE(MID('Raw Orders'!B1441,7,4)),VALUE(MID('Raw Orders'!B1441,4,2)),VALUE(LEFT('Raw Orders'!B1441,2)))))</f>
        <v>46224</v>
      </c>
      <c r="B1444" s="36" t="n">
        <f aca="false">IF(A1444="","",A1444-WEEKDAY(A1444,3))</f>
        <v>46223</v>
      </c>
      <c r="C1444" s="32" t="n">
        <f aca="false">IF(OR('Raw Orders'!C1441&lt;&gt;"Product",'Raw Orders'!K1441="Cancelled"),0,'Raw Orders'!G1441)</f>
        <v>178</v>
      </c>
      <c r="D1444" s="31" t="n">
        <f aca="false">IF(AND('Raw Orders'!C1441="Product",'Raw Orders'!K1441="Fulfilled",COUNTIFS('Raw Orders'!$A$2:$A1441,'Raw Orders'!A1441,'Raw Orders'!$C$2:$C1441,"Product",'Raw Orders'!$K$2:$K1441,"Fulfilled")=1),1,0)</f>
        <v>1</v>
      </c>
      <c r="E1444" s="31" t="n">
        <f aca="false">IF(AND('Raw Orders'!C1441="Product",'Raw Orders'!K1441="Fulfilled"),'Raw Orders'!E1441,0)</f>
        <v>2</v>
      </c>
      <c r="F1444" s="32" t="n">
        <f aca="false">IF('Raw Orders'!K1441="Refunded",'Raw Orders'!G1441,0)</f>
        <v>0</v>
      </c>
    </row>
    <row r="1445" customFormat="false" ht="15" hidden="false" customHeight="false" outlineLevel="0" collapsed="false">
      <c r="A1445" s="36" t="n">
        <f aca="false">IF('Raw Orders'!B1442="","",IF(MID('Raw Orders'!B1442,5,1)="-",DATE(VALUE(LEFT('Raw Orders'!B1442,4)),VALUE(MID('Raw Orders'!B1442,6,2)),VALUE(MID('Raw Orders'!B1442,9,2))),DATE(VALUE(MID('Raw Orders'!B1442,7,4)),VALUE(MID('Raw Orders'!B1442,4,2)),VALUE(LEFT('Raw Orders'!B1442,2)))))</f>
        <v>46224</v>
      </c>
      <c r="B1445" s="36" t="n">
        <f aca="false">IF(A1445="","",A1445-WEEKDAY(A1445,3))</f>
        <v>46223</v>
      </c>
      <c r="C1445" s="32" t="n">
        <f aca="false">IF(OR('Raw Orders'!C1442&lt;&gt;"Product",'Raw Orders'!K1442="Cancelled"),0,'Raw Orders'!G1442)</f>
        <v>0</v>
      </c>
      <c r="D1445" s="31" t="n">
        <f aca="false">IF(AND('Raw Orders'!C1442="Product",'Raw Orders'!K1442="Fulfilled",COUNTIFS('Raw Orders'!$A$2:$A1442,'Raw Orders'!A1442,'Raw Orders'!$C$2:$C1442,"Product",'Raw Orders'!$K$2:$K1442,"Fulfilled")=1),1,0)</f>
        <v>0</v>
      </c>
      <c r="E1445" s="31" t="n">
        <f aca="false">IF(AND('Raw Orders'!C1442="Product",'Raw Orders'!K1442="Fulfilled"),'Raw Orders'!E1442,0)</f>
        <v>0</v>
      </c>
      <c r="F1445" s="32" t="n">
        <f aca="false">IF('Raw Orders'!K1442="Refunded",'Raw Orders'!G1442,0)</f>
        <v>0</v>
      </c>
    </row>
    <row r="1446" customFormat="false" ht="15" hidden="false" customHeight="false" outlineLevel="0" collapsed="false">
      <c r="A1446" s="36" t="n">
        <f aca="false">IF('Raw Orders'!B1443="","",IF(MID('Raw Orders'!B1443,5,1)="-",DATE(VALUE(LEFT('Raw Orders'!B1443,4)),VALUE(MID('Raw Orders'!B1443,6,2)),VALUE(MID('Raw Orders'!B1443,9,2))),DATE(VALUE(MID('Raw Orders'!B1443,7,4)),VALUE(MID('Raw Orders'!B1443,4,2)),VALUE(LEFT('Raw Orders'!B1443,2)))))</f>
        <v>46225</v>
      </c>
      <c r="B1446" s="36" t="n">
        <f aca="false">IF(A1446="","",A1446-WEEKDAY(A1446,3))</f>
        <v>46223</v>
      </c>
      <c r="C1446" s="32" t="n">
        <f aca="false">IF(OR('Raw Orders'!C1443&lt;&gt;"Product",'Raw Orders'!K1443="Cancelled"),0,'Raw Orders'!G1443)</f>
        <v>0</v>
      </c>
      <c r="D1446" s="31" t="n">
        <f aca="false">IF(AND('Raw Orders'!C1443="Product",'Raw Orders'!K1443="Fulfilled",COUNTIFS('Raw Orders'!$A$2:$A1443,'Raw Orders'!A1443,'Raw Orders'!$C$2:$C1443,"Product",'Raw Orders'!$K$2:$K1443,"Fulfilled")=1),1,0)</f>
        <v>0</v>
      </c>
      <c r="E1446" s="31" t="n">
        <f aca="false">IF(AND('Raw Orders'!C1443="Product",'Raw Orders'!K1443="Fulfilled"),'Raw Orders'!E1443,0)</f>
        <v>0</v>
      </c>
      <c r="F1446" s="32" t="n">
        <f aca="false">IF('Raw Orders'!K1443="Refunded",'Raw Orders'!G1443,0)</f>
        <v>0</v>
      </c>
    </row>
    <row r="1447" customFormat="false" ht="15" hidden="false" customHeight="false" outlineLevel="0" collapsed="false">
      <c r="A1447" s="36" t="n">
        <f aca="false">IF('Raw Orders'!B1444="","",IF(MID('Raw Orders'!B1444,5,1)="-",DATE(VALUE(LEFT('Raw Orders'!B1444,4)),VALUE(MID('Raw Orders'!B1444,6,2)),VALUE(MID('Raw Orders'!B1444,9,2))),DATE(VALUE(MID('Raw Orders'!B1444,7,4)),VALUE(MID('Raw Orders'!B1444,4,2)),VALUE(LEFT('Raw Orders'!B1444,2)))))</f>
        <v>46225</v>
      </c>
      <c r="B1447" s="36" t="n">
        <f aca="false">IF(A1447="","",A1447-WEEKDAY(A1447,3))</f>
        <v>46223</v>
      </c>
      <c r="C1447" s="32" t="n">
        <f aca="false">IF(OR('Raw Orders'!C1444&lt;&gt;"Product",'Raw Orders'!K1444="Cancelled"),0,'Raw Orders'!G1444)</f>
        <v>39</v>
      </c>
      <c r="D1447" s="31" t="n">
        <f aca="false">IF(AND('Raw Orders'!C1444="Product",'Raw Orders'!K1444="Fulfilled",COUNTIFS('Raw Orders'!$A$2:$A1444,'Raw Orders'!A1444,'Raw Orders'!$C$2:$C1444,"Product",'Raw Orders'!$K$2:$K1444,"Fulfilled")=1),1,0)</f>
        <v>1</v>
      </c>
      <c r="E1447" s="31" t="n">
        <f aca="false">IF(AND('Raw Orders'!C1444="Product",'Raw Orders'!K1444="Fulfilled"),'Raw Orders'!E1444,0)</f>
        <v>1</v>
      </c>
      <c r="F1447" s="32" t="n">
        <f aca="false">IF('Raw Orders'!K1444="Refunded",'Raw Orders'!G1444,0)</f>
        <v>0</v>
      </c>
    </row>
    <row r="1448" customFormat="false" ht="15" hidden="false" customHeight="false" outlineLevel="0" collapsed="false">
      <c r="A1448" s="36" t="n">
        <f aca="false">IF('Raw Orders'!B1445="","",IF(MID('Raw Orders'!B1445,5,1)="-",DATE(VALUE(LEFT('Raw Orders'!B1445,4)),VALUE(MID('Raw Orders'!B1445,6,2)),VALUE(MID('Raw Orders'!B1445,9,2))),DATE(VALUE(MID('Raw Orders'!B1445,7,4)),VALUE(MID('Raw Orders'!B1445,4,2)),VALUE(LEFT('Raw Orders'!B1445,2)))))</f>
        <v>46225</v>
      </c>
      <c r="B1448" s="36" t="n">
        <f aca="false">IF(A1448="","",A1448-WEEKDAY(A1448,3))</f>
        <v>46223</v>
      </c>
      <c r="C1448" s="32" t="n">
        <f aca="false">IF(OR('Raw Orders'!C1445&lt;&gt;"Product",'Raw Orders'!K1445="Cancelled"),0,'Raw Orders'!G1445)</f>
        <v>0</v>
      </c>
      <c r="D1448" s="31" t="n">
        <f aca="false">IF(AND('Raw Orders'!C1445="Product",'Raw Orders'!K1445="Fulfilled",COUNTIFS('Raw Orders'!$A$2:$A1445,'Raw Orders'!A1445,'Raw Orders'!$C$2:$C1445,"Product",'Raw Orders'!$K$2:$K1445,"Fulfilled")=1),1,0)</f>
        <v>0</v>
      </c>
      <c r="E1448" s="31" t="n">
        <f aca="false">IF(AND('Raw Orders'!C1445="Product",'Raw Orders'!K1445="Fulfilled"),'Raw Orders'!E1445,0)</f>
        <v>0</v>
      </c>
      <c r="F1448" s="32" t="n">
        <f aca="false">IF('Raw Orders'!K1445="Refunded",'Raw Orders'!G1445,0)</f>
        <v>0</v>
      </c>
    </row>
    <row r="1449" customFormat="false" ht="15" hidden="false" customHeight="false" outlineLevel="0" collapsed="false">
      <c r="A1449" s="36" t="n">
        <f aca="false">IF('Raw Orders'!B1446="","",IF(MID('Raw Orders'!B1446,5,1)="-",DATE(VALUE(LEFT('Raw Orders'!B1446,4)),VALUE(MID('Raw Orders'!B1446,6,2)),VALUE(MID('Raw Orders'!B1446,9,2))),DATE(VALUE(MID('Raw Orders'!B1446,7,4)),VALUE(MID('Raw Orders'!B1446,4,2)),VALUE(LEFT('Raw Orders'!B1446,2)))))</f>
        <v>46225</v>
      </c>
      <c r="B1449" s="36" t="n">
        <f aca="false">IF(A1449="","",A1449-WEEKDAY(A1449,3))</f>
        <v>46223</v>
      </c>
      <c r="C1449" s="32" t="n">
        <f aca="false">IF(OR('Raw Orders'!C1446&lt;&gt;"Product",'Raw Orders'!K1446="Cancelled"),0,'Raw Orders'!G1446)</f>
        <v>75</v>
      </c>
      <c r="D1449" s="31" t="n">
        <f aca="false">IF(AND('Raw Orders'!C1446="Product",'Raw Orders'!K1446="Fulfilled",COUNTIFS('Raw Orders'!$A$2:$A1446,'Raw Orders'!A1446,'Raw Orders'!$C$2:$C1446,"Product",'Raw Orders'!$K$2:$K1446,"Fulfilled")=1),1,0)</f>
        <v>1</v>
      </c>
      <c r="E1449" s="31" t="n">
        <f aca="false">IF(AND('Raw Orders'!C1446="Product",'Raw Orders'!K1446="Fulfilled"),'Raw Orders'!E1446,0)</f>
        <v>1</v>
      </c>
      <c r="F1449" s="32" t="n">
        <f aca="false">IF('Raw Orders'!K1446="Refunded",'Raw Orders'!G1446,0)</f>
        <v>0</v>
      </c>
    </row>
    <row r="1450" customFormat="false" ht="15" hidden="false" customHeight="false" outlineLevel="0" collapsed="false">
      <c r="A1450" s="36" t="n">
        <f aca="false">IF('Raw Orders'!B1447="","",IF(MID('Raw Orders'!B1447,5,1)="-",DATE(VALUE(LEFT('Raw Orders'!B1447,4)),VALUE(MID('Raw Orders'!B1447,6,2)),VALUE(MID('Raw Orders'!B1447,9,2))),DATE(VALUE(MID('Raw Orders'!B1447,7,4)),VALUE(MID('Raw Orders'!B1447,4,2)),VALUE(LEFT('Raw Orders'!B1447,2)))))</f>
        <v>46225</v>
      </c>
      <c r="B1450" s="36" t="n">
        <f aca="false">IF(A1450="","",A1450-WEEKDAY(A1450,3))</f>
        <v>46223</v>
      </c>
      <c r="C1450" s="32" t="n">
        <f aca="false">IF(OR('Raw Orders'!C1447&lt;&gt;"Product",'Raw Orders'!K1447="Cancelled"),0,'Raw Orders'!G1447)</f>
        <v>69</v>
      </c>
      <c r="D1450" s="31" t="n">
        <f aca="false">IF(AND('Raw Orders'!C1447="Product",'Raw Orders'!K1447="Fulfilled",COUNTIFS('Raw Orders'!$A$2:$A1447,'Raw Orders'!A1447,'Raw Orders'!$C$2:$C1447,"Product",'Raw Orders'!$K$2:$K1447,"Fulfilled")=1),1,0)</f>
        <v>0</v>
      </c>
      <c r="E1450" s="31" t="n">
        <f aca="false">IF(AND('Raw Orders'!C1447="Product",'Raw Orders'!K1447="Fulfilled"),'Raw Orders'!E1447,0)</f>
        <v>1</v>
      </c>
      <c r="F1450" s="32" t="n">
        <f aca="false">IF('Raw Orders'!K1447="Refunded",'Raw Orders'!G1447,0)</f>
        <v>0</v>
      </c>
    </row>
    <row r="1451" customFormat="false" ht="15" hidden="false" customHeight="false" outlineLevel="0" collapsed="false">
      <c r="A1451" s="36" t="n">
        <f aca="false">IF('Raw Orders'!B1448="","",IF(MID('Raw Orders'!B1448,5,1)="-",DATE(VALUE(LEFT('Raw Orders'!B1448,4)),VALUE(MID('Raw Orders'!B1448,6,2)),VALUE(MID('Raw Orders'!B1448,9,2))),DATE(VALUE(MID('Raw Orders'!B1448,7,4)),VALUE(MID('Raw Orders'!B1448,4,2)),VALUE(LEFT('Raw Orders'!B1448,2)))))</f>
        <v>46225</v>
      </c>
      <c r="B1451" s="36" t="n">
        <f aca="false">IF(A1451="","",A1451-WEEKDAY(A1451,3))</f>
        <v>46223</v>
      </c>
      <c r="C1451" s="32" t="n">
        <f aca="false">IF(OR('Raw Orders'!C1448&lt;&gt;"Product",'Raw Orders'!K1448="Cancelled"),0,'Raw Orders'!G1448)</f>
        <v>75</v>
      </c>
      <c r="D1451" s="31" t="n">
        <f aca="false">IF(AND('Raw Orders'!C1448="Product",'Raw Orders'!K1448="Fulfilled",COUNTIFS('Raw Orders'!$A$2:$A1448,'Raw Orders'!A1448,'Raw Orders'!$C$2:$C1448,"Product",'Raw Orders'!$K$2:$K1448,"Fulfilled")=1),1,0)</f>
        <v>1</v>
      </c>
      <c r="E1451" s="31" t="n">
        <f aca="false">IF(AND('Raw Orders'!C1448="Product",'Raw Orders'!K1448="Fulfilled"),'Raw Orders'!E1448,0)</f>
        <v>1</v>
      </c>
      <c r="F1451" s="32" t="n">
        <f aca="false">IF('Raw Orders'!K1448="Refunded",'Raw Orders'!G1448,0)</f>
        <v>0</v>
      </c>
    </row>
    <row r="1452" customFormat="false" ht="15" hidden="false" customHeight="false" outlineLevel="0" collapsed="false">
      <c r="A1452" s="36" t="n">
        <f aca="false">IF('Raw Orders'!B1449="","",IF(MID('Raw Orders'!B1449,5,1)="-",DATE(VALUE(LEFT('Raw Orders'!B1449,4)),VALUE(MID('Raw Orders'!B1449,6,2)),VALUE(MID('Raw Orders'!B1449,9,2))),DATE(VALUE(MID('Raw Orders'!B1449,7,4)),VALUE(MID('Raw Orders'!B1449,4,2)),VALUE(LEFT('Raw Orders'!B1449,2)))))</f>
        <v>46225</v>
      </c>
      <c r="B1452" s="36" t="n">
        <f aca="false">IF(A1452="","",A1452-WEEKDAY(A1452,3))</f>
        <v>46223</v>
      </c>
      <c r="C1452" s="32" t="n">
        <f aca="false">IF(OR('Raw Orders'!C1449&lt;&gt;"Product",'Raw Orders'!K1449="Cancelled"),0,'Raw Orders'!G1449)</f>
        <v>0</v>
      </c>
      <c r="D1452" s="31" t="n">
        <f aca="false">IF(AND('Raw Orders'!C1449="Product",'Raw Orders'!K1449="Fulfilled",COUNTIFS('Raw Orders'!$A$2:$A1449,'Raw Orders'!A1449,'Raw Orders'!$C$2:$C1449,"Product",'Raw Orders'!$K$2:$K1449,"Fulfilled")=1),1,0)</f>
        <v>0</v>
      </c>
      <c r="E1452" s="31" t="n">
        <f aca="false">IF(AND('Raw Orders'!C1449="Product",'Raw Orders'!K1449="Fulfilled"),'Raw Orders'!E1449,0)</f>
        <v>0</v>
      </c>
      <c r="F1452" s="32" t="n">
        <f aca="false">IF('Raw Orders'!K1449="Refunded",'Raw Orders'!G1449,0)</f>
        <v>0</v>
      </c>
    </row>
    <row r="1453" customFormat="false" ht="15" hidden="false" customHeight="false" outlineLevel="0" collapsed="false">
      <c r="A1453" s="36" t="n">
        <f aca="false">IF('Raw Orders'!B1450="","",IF(MID('Raw Orders'!B1450,5,1)="-",DATE(VALUE(LEFT('Raw Orders'!B1450,4)),VALUE(MID('Raw Orders'!B1450,6,2)),VALUE(MID('Raw Orders'!B1450,9,2))),DATE(VALUE(MID('Raw Orders'!B1450,7,4)),VALUE(MID('Raw Orders'!B1450,4,2)),VALUE(LEFT('Raw Orders'!B1450,2)))))</f>
        <v>46225</v>
      </c>
      <c r="B1453" s="36" t="n">
        <f aca="false">IF(A1453="","",A1453-WEEKDAY(A1453,3))</f>
        <v>46223</v>
      </c>
      <c r="C1453" s="32" t="n">
        <f aca="false">IF(OR('Raw Orders'!C1450&lt;&gt;"Product",'Raw Orders'!K1450="Cancelled"),0,'Raw Orders'!G1450)</f>
        <v>0</v>
      </c>
      <c r="D1453" s="31" t="n">
        <f aca="false">IF(AND('Raw Orders'!C1450="Product",'Raw Orders'!K1450="Fulfilled",COUNTIFS('Raw Orders'!$A$2:$A1450,'Raw Orders'!A1450,'Raw Orders'!$C$2:$C1450,"Product",'Raw Orders'!$K$2:$K1450,"Fulfilled")=1),1,0)</f>
        <v>0</v>
      </c>
      <c r="E1453" s="31" t="n">
        <f aca="false">IF(AND('Raw Orders'!C1450="Product",'Raw Orders'!K1450="Fulfilled"),'Raw Orders'!E1450,0)</f>
        <v>0</v>
      </c>
      <c r="F1453" s="32" t="n">
        <f aca="false">IF('Raw Orders'!K1450="Refunded",'Raw Orders'!G1450,0)</f>
        <v>0</v>
      </c>
    </row>
    <row r="1454" customFormat="false" ht="15" hidden="false" customHeight="false" outlineLevel="0" collapsed="false">
      <c r="A1454" s="36" t="n">
        <f aca="false">IF('Raw Orders'!B1451="","",IF(MID('Raw Orders'!B1451,5,1)="-",DATE(VALUE(LEFT('Raw Orders'!B1451,4)),VALUE(MID('Raw Orders'!B1451,6,2)),VALUE(MID('Raw Orders'!B1451,9,2))),DATE(VALUE(MID('Raw Orders'!B1451,7,4)),VALUE(MID('Raw Orders'!B1451,4,2)),VALUE(LEFT('Raw Orders'!B1451,2)))))</f>
        <v>46225</v>
      </c>
      <c r="B1454" s="36" t="n">
        <f aca="false">IF(A1454="","",A1454-WEEKDAY(A1454,3))</f>
        <v>46223</v>
      </c>
      <c r="C1454" s="32" t="n">
        <f aca="false">IF(OR('Raw Orders'!C1451&lt;&gt;"Product",'Raw Orders'!K1451="Cancelled"),0,'Raw Orders'!G1451)</f>
        <v>22</v>
      </c>
      <c r="D1454" s="31" t="n">
        <f aca="false">IF(AND('Raw Orders'!C1451="Product",'Raw Orders'!K1451="Fulfilled",COUNTIFS('Raw Orders'!$A$2:$A1451,'Raw Orders'!A1451,'Raw Orders'!$C$2:$C1451,"Product",'Raw Orders'!$K$2:$K1451,"Fulfilled")=1),1,0)</f>
        <v>1</v>
      </c>
      <c r="E1454" s="31" t="n">
        <f aca="false">IF(AND('Raw Orders'!C1451="Product",'Raw Orders'!K1451="Fulfilled"),'Raw Orders'!E1451,0)</f>
        <v>1</v>
      </c>
      <c r="F1454" s="32" t="n">
        <f aca="false">IF('Raw Orders'!K1451="Refunded",'Raw Orders'!G1451,0)</f>
        <v>0</v>
      </c>
    </row>
    <row r="1455" customFormat="false" ht="15" hidden="false" customHeight="false" outlineLevel="0" collapsed="false">
      <c r="A1455" s="36" t="n">
        <f aca="false">IF('Raw Orders'!B1452="","",IF(MID('Raw Orders'!B1452,5,1)="-",DATE(VALUE(LEFT('Raw Orders'!B1452,4)),VALUE(MID('Raw Orders'!B1452,6,2)),VALUE(MID('Raw Orders'!B1452,9,2))),DATE(VALUE(MID('Raw Orders'!B1452,7,4)),VALUE(MID('Raw Orders'!B1452,4,2)),VALUE(LEFT('Raw Orders'!B1452,2)))))</f>
        <v>46225</v>
      </c>
      <c r="B1455" s="36" t="n">
        <f aca="false">IF(A1455="","",A1455-WEEKDAY(A1455,3))</f>
        <v>46223</v>
      </c>
      <c r="C1455" s="32" t="n">
        <f aca="false">IF(OR('Raw Orders'!C1452&lt;&gt;"Product",'Raw Orders'!K1452="Cancelled"),0,'Raw Orders'!G1452)</f>
        <v>89</v>
      </c>
      <c r="D1455" s="31" t="n">
        <f aca="false">IF(AND('Raw Orders'!C1452="Product",'Raw Orders'!K1452="Fulfilled",COUNTIFS('Raw Orders'!$A$2:$A1452,'Raw Orders'!A1452,'Raw Orders'!$C$2:$C1452,"Product",'Raw Orders'!$K$2:$K1452,"Fulfilled")=1),1,0)</f>
        <v>1</v>
      </c>
      <c r="E1455" s="31" t="n">
        <f aca="false">IF(AND('Raw Orders'!C1452="Product",'Raw Orders'!K1452="Fulfilled"),'Raw Orders'!E1452,0)</f>
        <v>1</v>
      </c>
      <c r="F1455" s="32" t="n">
        <f aca="false">IF('Raw Orders'!K1452="Refunded",'Raw Orders'!G1452,0)</f>
        <v>0</v>
      </c>
    </row>
    <row r="1456" customFormat="false" ht="15" hidden="false" customHeight="false" outlineLevel="0" collapsed="false">
      <c r="A1456" s="36" t="n">
        <f aca="false">IF('Raw Orders'!B1453="","",IF(MID('Raw Orders'!B1453,5,1)="-",DATE(VALUE(LEFT('Raw Orders'!B1453,4)),VALUE(MID('Raw Orders'!B1453,6,2)),VALUE(MID('Raw Orders'!B1453,9,2))),DATE(VALUE(MID('Raw Orders'!B1453,7,4)),VALUE(MID('Raw Orders'!B1453,4,2)),VALUE(LEFT('Raw Orders'!B1453,2)))))</f>
        <v>46225</v>
      </c>
      <c r="B1456" s="36" t="n">
        <f aca="false">IF(A1456="","",A1456-WEEKDAY(A1456,3))</f>
        <v>46223</v>
      </c>
      <c r="C1456" s="32" t="n">
        <f aca="false">IF(OR('Raw Orders'!C1453&lt;&gt;"Product",'Raw Orders'!K1453="Cancelled"),0,'Raw Orders'!G1453)</f>
        <v>69</v>
      </c>
      <c r="D1456" s="31" t="n">
        <f aca="false">IF(AND('Raw Orders'!C1453="Product",'Raw Orders'!K1453="Fulfilled",COUNTIFS('Raw Orders'!$A$2:$A1453,'Raw Orders'!A1453,'Raw Orders'!$C$2:$C1453,"Product",'Raw Orders'!$K$2:$K1453,"Fulfilled")=1),1,0)</f>
        <v>0</v>
      </c>
      <c r="E1456" s="31" t="n">
        <f aca="false">IF(AND('Raw Orders'!C1453="Product",'Raw Orders'!K1453="Fulfilled"),'Raw Orders'!E1453,0)</f>
        <v>1</v>
      </c>
      <c r="F1456" s="32" t="n">
        <f aca="false">IF('Raw Orders'!K1453="Refunded",'Raw Orders'!G1453,0)</f>
        <v>0</v>
      </c>
    </row>
    <row r="1457" customFormat="false" ht="15" hidden="false" customHeight="false" outlineLevel="0" collapsed="false">
      <c r="A1457" s="36" t="n">
        <f aca="false">IF('Raw Orders'!B1454="","",IF(MID('Raw Orders'!B1454,5,1)="-",DATE(VALUE(LEFT('Raw Orders'!B1454,4)),VALUE(MID('Raw Orders'!B1454,6,2)),VALUE(MID('Raw Orders'!B1454,9,2))),DATE(VALUE(MID('Raw Orders'!B1454,7,4)),VALUE(MID('Raw Orders'!B1454,4,2)),VALUE(LEFT('Raw Orders'!B1454,2)))))</f>
        <v>46225</v>
      </c>
      <c r="B1457" s="36" t="n">
        <f aca="false">IF(A1457="","",A1457-WEEKDAY(A1457,3))</f>
        <v>46223</v>
      </c>
      <c r="C1457" s="32" t="n">
        <f aca="false">IF(OR('Raw Orders'!C1454&lt;&gt;"Product",'Raw Orders'!K1454="Cancelled"),0,'Raw Orders'!G1454)</f>
        <v>0</v>
      </c>
      <c r="D1457" s="31" t="n">
        <f aca="false">IF(AND('Raw Orders'!C1454="Product",'Raw Orders'!K1454="Fulfilled",COUNTIFS('Raw Orders'!$A$2:$A1454,'Raw Orders'!A1454,'Raw Orders'!$C$2:$C1454,"Product",'Raw Orders'!$K$2:$K1454,"Fulfilled")=1),1,0)</f>
        <v>0</v>
      </c>
      <c r="E1457" s="31" t="n">
        <f aca="false">IF(AND('Raw Orders'!C1454="Product",'Raw Orders'!K1454="Fulfilled"),'Raw Orders'!E1454,0)</f>
        <v>0</v>
      </c>
      <c r="F1457" s="32" t="n">
        <f aca="false">IF('Raw Orders'!K1454="Refunded",'Raw Orders'!G1454,0)</f>
        <v>0</v>
      </c>
    </row>
    <row r="1458" customFormat="false" ht="15" hidden="false" customHeight="false" outlineLevel="0" collapsed="false">
      <c r="A1458" s="36" t="n">
        <f aca="false">IF('Raw Orders'!B1455="","",IF(MID('Raw Orders'!B1455,5,1)="-",DATE(VALUE(LEFT('Raw Orders'!B1455,4)),VALUE(MID('Raw Orders'!B1455,6,2)),VALUE(MID('Raw Orders'!B1455,9,2))),DATE(VALUE(MID('Raw Orders'!B1455,7,4)),VALUE(MID('Raw Orders'!B1455,4,2)),VALUE(LEFT('Raw Orders'!B1455,2)))))</f>
        <v>46225</v>
      </c>
      <c r="B1458" s="36" t="n">
        <f aca="false">IF(A1458="","",A1458-WEEKDAY(A1458,3))</f>
        <v>46223</v>
      </c>
      <c r="C1458" s="32" t="n">
        <f aca="false">IF(OR('Raw Orders'!C1455&lt;&gt;"Product",'Raw Orders'!K1455="Cancelled"),0,'Raw Orders'!G1455)</f>
        <v>0</v>
      </c>
      <c r="D1458" s="31" t="n">
        <f aca="false">IF(AND('Raw Orders'!C1455="Product",'Raw Orders'!K1455="Fulfilled",COUNTIFS('Raw Orders'!$A$2:$A1455,'Raw Orders'!A1455,'Raw Orders'!$C$2:$C1455,"Product",'Raw Orders'!$K$2:$K1455,"Fulfilled")=1),1,0)</f>
        <v>0</v>
      </c>
      <c r="E1458" s="31" t="n">
        <f aca="false">IF(AND('Raw Orders'!C1455="Product",'Raw Orders'!K1455="Fulfilled"),'Raw Orders'!E1455,0)</f>
        <v>0</v>
      </c>
      <c r="F1458" s="32" t="n">
        <f aca="false">IF('Raw Orders'!K1455="Refunded",'Raw Orders'!G1455,0)</f>
        <v>0</v>
      </c>
    </row>
    <row r="1459" customFormat="false" ht="15" hidden="false" customHeight="false" outlineLevel="0" collapsed="false">
      <c r="A1459" s="36" t="n">
        <f aca="false">IF('Raw Orders'!B1456="","",IF(MID('Raw Orders'!B1456,5,1)="-",DATE(VALUE(LEFT('Raw Orders'!B1456,4)),VALUE(MID('Raw Orders'!B1456,6,2)),VALUE(MID('Raw Orders'!B1456,9,2))),DATE(VALUE(MID('Raw Orders'!B1456,7,4)),VALUE(MID('Raw Orders'!B1456,4,2)),VALUE(LEFT('Raw Orders'!B1456,2)))))</f>
        <v>46225</v>
      </c>
      <c r="B1459" s="36" t="n">
        <f aca="false">IF(A1459="","",A1459-WEEKDAY(A1459,3))</f>
        <v>46223</v>
      </c>
      <c r="C1459" s="32" t="n">
        <f aca="false">IF(OR('Raw Orders'!C1456&lt;&gt;"Product",'Raw Orders'!K1456="Cancelled"),0,'Raw Orders'!G1456)</f>
        <v>89</v>
      </c>
      <c r="D1459" s="31" t="n">
        <f aca="false">IF(AND('Raw Orders'!C1456="Product",'Raw Orders'!K1456="Fulfilled",COUNTIFS('Raw Orders'!$A$2:$A1456,'Raw Orders'!A1456,'Raw Orders'!$C$2:$C1456,"Product",'Raw Orders'!$K$2:$K1456,"Fulfilled")=1),1,0)</f>
        <v>1</v>
      </c>
      <c r="E1459" s="31" t="n">
        <f aca="false">IF(AND('Raw Orders'!C1456="Product",'Raw Orders'!K1456="Fulfilled"),'Raw Orders'!E1456,0)</f>
        <v>1</v>
      </c>
      <c r="F1459" s="32" t="n">
        <f aca="false">IF('Raw Orders'!K1456="Refunded",'Raw Orders'!G1456,0)</f>
        <v>0</v>
      </c>
    </row>
    <row r="1460" customFormat="false" ht="15" hidden="false" customHeight="false" outlineLevel="0" collapsed="false">
      <c r="A1460" s="36" t="n">
        <f aca="false">IF('Raw Orders'!B1457="","",IF(MID('Raw Orders'!B1457,5,1)="-",DATE(VALUE(LEFT('Raw Orders'!B1457,4)),VALUE(MID('Raw Orders'!B1457,6,2)),VALUE(MID('Raw Orders'!B1457,9,2))),DATE(VALUE(MID('Raw Orders'!B1457,7,4)),VALUE(MID('Raw Orders'!B1457,4,2)),VALUE(LEFT('Raw Orders'!B1457,2)))))</f>
        <v>46225</v>
      </c>
      <c r="B1460" s="36" t="n">
        <f aca="false">IF(A1460="","",A1460-WEEKDAY(A1460,3))</f>
        <v>46223</v>
      </c>
      <c r="C1460" s="32" t="n">
        <f aca="false">IF(OR('Raw Orders'!C1457&lt;&gt;"Product",'Raw Orders'!K1457="Cancelled"),0,'Raw Orders'!G1457)</f>
        <v>0</v>
      </c>
      <c r="D1460" s="31" t="n">
        <f aca="false">IF(AND('Raw Orders'!C1457="Product",'Raw Orders'!K1457="Fulfilled",COUNTIFS('Raw Orders'!$A$2:$A1457,'Raw Orders'!A1457,'Raw Orders'!$C$2:$C1457,"Product",'Raw Orders'!$K$2:$K1457,"Fulfilled")=1),1,0)</f>
        <v>0</v>
      </c>
      <c r="E1460" s="31" t="n">
        <f aca="false">IF(AND('Raw Orders'!C1457="Product",'Raw Orders'!K1457="Fulfilled"),'Raw Orders'!E1457,0)</f>
        <v>0</v>
      </c>
      <c r="F1460" s="32" t="n">
        <f aca="false">IF('Raw Orders'!K1457="Refunded",'Raw Orders'!G1457,0)</f>
        <v>0</v>
      </c>
    </row>
    <row r="1461" customFormat="false" ht="15" hidden="false" customHeight="false" outlineLevel="0" collapsed="false">
      <c r="A1461" s="36" t="n">
        <f aca="false">IF('Raw Orders'!B1458="","",IF(MID('Raw Orders'!B1458,5,1)="-",DATE(VALUE(LEFT('Raw Orders'!B1458,4)),VALUE(MID('Raw Orders'!B1458,6,2)),VALUE(MID('Raw Orders'!B1458,9,2))),DATE(VALUE(MID('Raw Orders'!B1458,7,4)),VALUE(MID('Raw Orders'!B1458,4,2)),VALUE(LEFT('Raw Orders'!B1458,2)))))</f>
        <v>46225</v>
      </c>
      <c r="B1461" s="36" t="n">
        <f aca="false">IF(A1461="","",A1461-WEEKDAY(A1461,3))</f>
        <v>46223</v>
      </c>
      <c r="C1461" s="32" t="n">
        <f aca="false">IF(OR('Raw Orders'!C1458&lt;&gt;"Product",'Raw Orders'!K1458="Cancelled"),0,'Raw Orders'!G1458)</f>
        <v>0</v>
      </c>
      <c r="D1461" s="31" t="n">
        <f aca="false">IF(AND('Raw Orders'!C1458="Product",'Raw Orders'!K1458="Fulfilled",COUNTIFS('Raw Orders'!$A$2:$A1458,'Raw Orders'!A1458,'Raw Orders'!$C$2:$C1458,"Product",'Raw Orders'!$K$2:$K1458,"Fulfilled")=1),1,0)</f>
        <v>0</v>
      </c>
      <c r="E1461" s="31" t="n">
        <f aca="false">IF(AND('Raw Orders'!C1458="Product",'Raw Orders'!K1458="Fulfilled"),'Raw Orders'!E1458,0)</f>
        <v>0</v>
      </c>
      <c r="F1461" s="32" t="n">
        <f aca="false">IF('Raw Orders'!K1458="Refunded",'Raw Orders'!G1458,0)</f>
        <v>0</v>
      </c>
    </row>
    <row r="1462" customFormat="false" ht="15" hidden="false" customHeight="false" outlineLevel="0" collapsed="false">
      <c r="A1462" s="36" t="n">
        <f aca="false">IF('Raw Orders'!B1459="","",IF(MID('Raw Orders'!B1459,5,1)="-",DATE(VALUE(LEFT('Raw Orders'!B1459,4)),VALUE(MID('Raw Orders'!B1459,6,2)),VALUE(MID('Raw Orders'!B1459,9,2))),DATE(VALUE(MID('Raw Orders'!B1459,7,4)),VALUE(MID('Raw Orders'!B1459,4,2)),VALUE(LEFT('Raw Orders'!B1459,2)))))</f>
        <v>46225</v>
      </c>
      <c r="B1462" s="36" t="n">
        <f aca="false">IF(A1462="","",A1462-WEEKDAY(A1462,3))</f>
        <v>46223</v>
      </c>
      <c r="C1462" s="32" t="n">
        <f aca="false">IF(OR('Raw Orders'!C1459&lt;&gt;"Product",'Raw Orders'!K1459="Cancelled"),0,'Raw Orders'!G1459)</f>
        <v>0</v>
      </c>
      <c r="D1462" s="31" t="n">
        <f aca="false">IF(AND('Raw Orders'!C1459="Product",'Raw Orders'!K1459="Fulfilled",COUNTIFS('Raw Orders'!$A$2:$A1459,'Raw Orders'!A1459,'Raw Orders'!$C$2:$C1459,"Product",'Raw Orders'!$K$2:$K1459,"Fulfilled")=1),1,0)</f>
        <v>0</v>
      </c>
      <c r="E1462" s="31" t="n">
        <f aca="false">IF(AND('Raw Orders'!C1459="Product",'Raw Orders'!K1459="Fulfilled"),'Raw Orders'!E1459,0)</f>
        <v>0</v>
      </c>
      <c r="F1462" s="32" t="n">
        <f aca="false">IF('Raw Orders'!K1459="Refunded",'Raw Orders'!G1459,0)</f>
        <v>0</v>
      </c>
    </row>
    <row r="1463" customFormat="false" ht="15" hidden="false" customHeight="false" outlineLevel="0" collapsed="false">
      <c r="A1463" s="36" t="n">
        <f aca="false">IF('Raw Orders'!B1460="","",IF(MID('Raw Orders'!B1460,5,1)="-",DATE(VALUE(LEFT('Raw Orders'!B1460,4)),VALUE(MID('Raw Orders'!B1460,6,2)),VALUE(MID('Raw Orders'!B1460,9,2))),DATE(VALUE(MID('Raw Orders'!B1460,7,4)),VALUE(MID('Raw Orders'!B1460,4,2)),VALUE(LEFT('Raw Orders'!B1460,2)))))</f>
        <v>46225</v>
      </c>
      <c r="B1463" s="36" t="n">
        <f aca="false">IF(A1463="","",A1463-WEEKDAY(A1463,3))</f>
        <v>46223</v>
      </c>
      <c r="C1463" s="32" t="n">
        <f aca="false">IF(OR('Raw Orders'!C1460&lt;&gt;"Product",'Raw Orders'!K1460="Cancelled"),0,'Raw Orders'!G1460)</f>
        <v>45</v>
      </c>
      <c r="D1463" s="31" t="n">
        <f aca="false">IF(AND('Raw Orders'!C1460="Product",'Raw Orders'!K1460="Fulfilled",COUNTIFS('Raw Orders'!$A$2:$A1460,'Raw Orders'!A1460,'Raw Orders'!$C$2:$C1460,"Product",'Raw Orders'!$K$2:$K1460,"Fulfilled")=1),1,0)</f>
        <v>1</v>
      </c>
      <c r="E1463" s="31" t="n">
        <f aca="false">IF(AND('Raw Orders'!C1460="Product",'Raw Orders'!K1460="Fulfilled"),'Raw Orders'!E1460,0)</f>
        <v>1</v>
      </c>
      <c r="F1463" s="32" t="n">
        <f aca="false">IF('Raw Orders'!K1460="Refunded",'Raw Orders'!G1460,0)</f>
        <v>0</v>
      </c>
    </row>
    <row r="1464" customFormat="false" ht="15" hidden="false" customHeight="false" outlineLevel="0" collapsed="false">
      <c r="A1464" s="36" t="n">
        <f aca="false">IF('Raw Orders'!B1461="","",IF(MID('Raw Orders'!B1461,5,1)="-",DATE(VALUE(LEFT('Raw Orders'!B1461,4)),VALUE(MID('Raw Orders'!B1461,6,2)),VALUE(MID('Raw Orders'!B1461,9,2))),DATE(VALUE(MID('Raw Orders'!B1461,7,4)),VALUE(MID('Raw Orders'!B1461,4,2)),VALUE(LEFT('Raw Orders'!B1461,2)))))</f>
        <v>46225</v>
      </c>
      <c r="B1464" s="36" t="n">
        <f aca="false">IF(A1464="","",A1464-WEEKDAY(A1464,3))</f>
        <v>46223</v>
      </c>
      <c r="C1464" s="32" t="n">
        <f aca="false">IF(OR('Raw Orders'!C1461&lt;&gt;"Product",'Raw Orders'!K1461="Cancelled"),0,'Raw Orders'!G1461)</f>
        <v>35</v>
      </c>
      <c r="D1464" s="31" t="n">
        <f aca="false">IF(AND('Raw Orders'!C1461="Product",'Raw Orders'!K1461="Fulfilled",COUNTIFS('Raw Orders'!$A$2:$A1461,'Raw Orders'!A1461,'Raw Orders'!$C$2:$C1461,"Product",'Raw Orders'!$K$2:$K1461,"Fulfilled")=1),1,0)</f>
        <v>0</v>
      </c>
      <c r="E1464" s="31" t="n">
        <f aca="false">IF(AND('Raw Orders'!C1461="Product",'Raw Orders'!K1461="Fulfilled"),'Raw Orders'!E1461,0)</f>
        <v>1</v>
      </c>
      <c r="F1464" s="32" t="n">
        <f aca="false">IF('Raw Orders'!K1461="Refunded",'Raw Orders'!G1461,0)</f>
        <v>0</v>
      </c>
    </row>
    <row r="1465" customFormat="false" ht="15" hidden="false" customHeight="false" outlineLevel="0" collapsed="false">
      <c r="A1465" s="36" t="n">
        <f aca="false">IF('Raw Orders'!B1462="","",IF(MID('Raw Orders'!B1462,5,1)="-",DATE(VALUE(LEFT('Raw Orders'!B1462,4)),VALUE(MID('Raw Orders'!B1462,6,2)),VALUE(MID('Raw Orders'!B1462,9,2))),DATE(VALUE(MID('Raw Orders'!B1462,7,4)),VALUE(MID('Raw Orders'!B1462,4,2)),VALUE(LEFT('Raw Orders'!B1462,2)))))</f>
        <v>46225</v>
      </c>
      <c r="B1465" s="36" t="n">
        <f aca="false">IF(A1465="","",A1465-WEEKDAY(A1465,3))</f>
        <v>46223</v>
      </c>
      <c r="C1465" s="32" t="n">
        <f aca="false">IF(OR('Raw Orders'!C1462&lt;&gt;"Product",'Raw Orders'!K1462="Cancelled"),0,'Raw Orders'!G1462)</f>
        <v>22</v>
      </c>
      <c r="D1465" s="31" t="n">
        <f aca="false">IF(AND('Raw Orders'!C1462="Product",'Raw Orders'!K1462="Fulfilled",COUNTIFS('Raw Orders'!$A$2:$A1462,'Raw Orders'!A1462,'Raw Orders'!$C$2:$C1462,"Product",'Raw Orders'!$K$2:$K1462,"Fulfilled")=1),1,0)</f>
        <v>0</v>
      </c>
      <c r="E1465" s="31" t="n">
        <f aca="false">IF(AND('Raw Orders'!C1462="Product",'Raw Orders'!K1462="Fulfilled"),'Raw Orders'!E1462,0)</f>
        <v>1</v>
      </c>
      <c r="F1465" s="32" t="n">
        <f aca="false">IF('Raw Orders'!K1462="Refunded",'Raw Orders'!G1462,0)</f>
        <v>0</v>
      </c>
    </row>
    <row r="1466" customFormat="false" ht="15" hidden="false" customHeight="false" outlineLevel="0" collapsed="false">
      <c r="A1466" s="36" t="n">
        <f aca="false">IF('Raw Orders'!B1463="","",IF(MID('Raw Orders'!B1463,5,1)="-",DATE(VALUE(LEFT('Raw Orders'!B1463,4)),VALUE(MID('Raw Orders'!B1463,6,2)),VALUE(MID('Raw Orders'!B1463,9,2))),DATE(VALUE(MID('Raw Orders'!B1463,7,4)),VALUE(MID('Raw Orders'!B1463,4,2)),VALUE(LEFT('Raw Orders'!B1463,2)))))</f>
        <v>46225</v>
      </c>
      <c r="B1466" s="36" t="n">
        <f aca="false">IF(A1466="","",A1466-WEEKDAY(A1466,3))</f>
        <v>46223</v>
      </c>
      <c r="C1466" s="32" t="n">
        <f aca="false">IF(OR('Raw Orders'!C1463&lt;&gt;"Product",'Raw Orders'!K1463="Cancelled"),0,'Raw Orders'!G1463)</f>
        <v>0</v>
      </c>
      <c r="D1466" s="31" t="n">
        <f aca="false">IF(AND('Raw Orders'!C1463="Product",'Raw Orders'!K1463="Fulfilled",COUNTIFS('Raw Orders'!$A$2:$A1463,'Raw Orders'!A1463,'Raw Orders'!$C$2:$C1463,"Product",'Raw Orders'!$K$2:$K1463,"Fulfilled")=1),1,0)</f>
        <v>0</v>
      </c>
      <c r="E1466" s="31" t="n">
        <f aca="false">IF(AND('Raw Orders'!C1463="Product",'Raw Orders'!K1463="Fulfilled"),'Raw Orders'!E1463,0)</f>
        <v>0</v>
      </c>
      <c r="F1466" s="32" t="n">
        <f aca="false">IF('Raw Orders'!K1463="Refunded",'Raw Orders'!G1463,0)</f>
        <v>0</v>
      </c>
    </row>
    <row r="1467" customFormat="false" ht="15" hidden="false" customHeight="false" outlineLevel="0" collapsed="false">
      <c r="A1467" s="36" t="n">
        <f aca="false">IF('Raw Orders'!B1464="","",IF(MID('Raw Orders'!B1464,5,1)="-",DATE(VALUE(LEFT('Raw Orders'!B1464,4)),VALUE(MID('Raw Orders'!B1464,6,2)),VALUE(MID('Raw Orders'!B1464,9,2))),DATE(VALUE(MID('Raw Orders'!B1464,7,4)),VALUE(MID('Raw Orders'!B1464,4,2)),VALUE(LEFT('Raw Orders'!B1464,2)))))</f>
        <v>46226</v>
      </c>
      <c r="B1467" s="36" t="n">
        <f aca="false">IF(A1467="","",A1467-WEEKDAY(A1467,3))</f>
        <v>46223</v>
      </c>
      <c r="C1467" s="32" t="n">
        <f aca="false">IF(OR('Raw Orders'!C1464&lt;&gt;"Product",'Raw Orders'!K1464="Cancelled"),0,'Raw Orders'!G1464)</f>
        <v>0</v>
      </c>
      <c r="D1467" s="31" t="n">
        <f aca="false">IF(AND('Raw Orders'!C1464="Product",'Raw Orders'!K1464="Fulfilled",COUNTIFS('Raw Orders'!$A$2:$A1464,'Raw Orders'!A1464,'Raw Orders'!$C$2:$C1464,"Product",'Raw Orders'!$K$2:$K1464,"Fulfilled")=1),1,0)</f>
        <v>0</v>
      </c>
      <c r="E1467" s="31" t="n">
        <f aca="false">IF(AND('Raw Orders'!C1464="Product",'Raw Orders'!K1464="Fulfilled"),'Raw Orders'!E1464,0)</f>
        <v>0</v>
      </c>
      <c r="F1467" s="32" t="n">
        <f aca="false">IF('Raw Orders'!K1464="Refunded",'Raw Orders'!G1464,0)</f>
        <v>0</v>
      </c>
    </row>
    <row r="1468" customFormat="false" ht="15" hidden="false" customHeight="false" outlineLevel="0" collapsed="false">
      <c r="A1468" s="36" t="n">
        <f aca="false">IF('Raw Orders'!B1465="","",IF(MID('Raw Orders'!B1465,5,1)="-",DATE(VALUE(LEFT('Raw Orders'!B1465,4)),VALUE(MID('Raw Orders'!B1465,6,2)),VALUE(MID('Raw Orders'!B1465,9,2))),DATE(VALUE(MID('Raw Orders'!B1465,7,4)),VALUE(MID('Raw Orders'!B1465,4,2)),VALUE(LEFT('Raw Orders'!B1465,2)))))</f>
        <v>46226</v>
      </c>
      <c r="B1468" s="36" t="n">
        <f aca="false">IF(A1468="","",A1468-WEEKDAY(A1468,3))</f>
        <v>46223</v>
      </c>
      <c r="C1468" s="32" t="n">
        <f aca="false">IF(OR('Raw Orders'!C1465&lt;&gt;"Product",'Raw Orders'!K1465="Cancelled"),0,'Raw Orders'!G1465)</f>
        <v>80.1</v>
      </c>
      <c r="D1468" s="31" t="n">
        <f aca="false">IF(AND('Raw Orders'!C1465="Product",'Raw Orders'!K1465="Fulfilled",COUNTIFS('Raw Orders'!$A$2:$A1465,'Raw Orders'!A1465,'Raw Orders'!$C$2:$C1465,"Product",'Raw Orders'!$K$2:$K1465,"Fulfilled")=1),1,0)</f>
        <v>1</v>
      </c>
      <c r="E1468" s="31" t="n">
        <f aca="false">IF(AND('Raw Orders'!C1465="Product",'Raw Orders'!K1465="Fulfilled"),'Raw Orders'!E1465,0)</f>
        <v>1</v>
      </c>
      <c r="F1468" s="32" t="n">
        <f aca="false">IF('Raw Orders'!K1465="Refunded",'Raw Orders'!G1465,0)</f>
        <v>0</v>
      </c>
    </row>
    <row r="1469" customFormat="false" ht="15" hidden="false" customHeight="false" outlineLevel="0" collapsed="false">
      <c r="A1469" s="36" t="n">
        <f aca="false">IF('Raw Orders'!B1466="","",IF(MID('Raw Orders'!B1466,5,1)="-",DATE(VALUE(LEFT('Raw Orders'!B1466,4)),VALUE(MID('Raw Orders'!B1466,6,2)),VALUE(MID('Raw Orders'!B1466,9,2))),DATE(VALUE(MID('Raw Orders'!B1466,7,4)),VALUE(MID('Raw Orders'!B1466,4,2)),VALUE(LEFT('Raw Orders'!B1466,2)))))</f>
        <v>46226</v>
      </c>
      <c r="B1469" s="36" t="n">
        <f aca="false">IF(A1469="","",A1469-WEEKDAY(A1469,3))</f>
        <v>46223</v>
      </c>
      <c r="C1469" s="32" t="n">
        <f aca="false">IF(OR('Raw Orders'!C1466&lt;&gt;"Product",'Raw Orders'!K1466="Cancelled"),0,'Raw Orders'!G1466)</f>
        <v>69</v>
      </c>
      <c r="D1469" s="31" t="n">
        <f aca="false">IF(AND('Raw Orders'!C1466="Product",'Raw Orders'!K1466="Fulfilled",COUNTIFS('Raw Orders'!$A$2:$A1466,'Raw Orders'!A1466,'Raw Orders'!$C$2:$C1466,"Product",'Raw Orders'!$K$2:$K1466,"Fulfilled")=1),1,0)</f>
        <v>0</v>
      </c>
      <c r="E1469" s="31" t="n">
        <f aca="false">IF(AND('Raw Orders'!C1466="Product",'Raw Orders'!K1466="Fulfilled"),'Raw Orders'!E1466,0)</f>
        <v>1</v>
      </c>
      <c r="F1469" s="32" t="n">
        <f aca="false">IF('Raw Orders'!K1466="Refunded",'Raw Orders'!G1466,0)</f>
        <v>0</v>
      </c>
    </row>
    <row r="1470" customFormat="false" ht="15" hidden="false" customHeight="false" outlineLevel="0" collapsed="false">
      <c r="A1470" s="36" t="n">
        <f aca="false">IF('Raw Orders'!B1467="","",IF(MID('Raw Orders'!B1467,5,1)="-",DATE(VALUE(LEFT('Raw Orders'!B1467,4)),VALUE(MID('Raw Orders'!B1467,6,2)),VALUE(MID('Raw Orders'!B1467,9,2))),DATE(VALUE(MID('Raw Orders'!B1467,7,4)),VALUE(MID('Raw Orders'!B1467,4,2)),VALUE(LEFT('Raw Orders'!B1467,2)))))</f>
        <v>46226</v>
      </c>
      <c r="B1470" s="36" t="n">
        <f aca="false">IF(A1470="","",A1470-WEEKDAY(A1470,3))</f>
        <v>46223</v>
      </c>
      <c r="C1470" s="32" t="n">
        <f aca="false">IF(OR('Raw Orders'!C1467&lt;&gt;"Product",'Raw Orders'!K1467="Cancelled"),0,'Raw Orders'!G1467)</f>
        <v>178</v>
      </c>
      <c r="D1470" s="31" t="n">
        <f aca="false">IF(AND('Raw Orders'!C1467="Product",'Raw Orders'!K1467="Fulfilled",COUNTIFS('Raw Orders'!$A$2:$A1467,'Raw Orders'!A1467,'Raw Orders'!$C$2:$C1467,"Product",'Raw Orders'!$K$2:$K1467,"Fulfilled")=1),1,0)</f>
        <v>1</v>
      </c>
      <c r="E1470" s="31" t="n">
        <f aca="false">IF(AND('Raw Orders'!C1467="Product",'Raw Orders'!K1467="Fulfilled"),'Raw Orders'!E1467,0)</f>
        <v>2</v>
      </c>
      <c r="F1470" s="32" t="n">
        <f aca="false">IF('Raw Orders'!K1467="Refunded",'Raw Orders'!G1467,0)</f>
        <v>0</v>
      </c>
    </row>
    <row r="1471" customFormat="false" ht="15" hidden="false" customHeight="false" outlineLevel="0" collapsed="false">
      <c r="A1471" s="36" t="n">
        <f aca="false">IF('Raw Orders'!B1468="","",IF(MID('Raw Orders'!B1468,5,1)="-",DATE(VALUE(LEFT('Raw Orders'!B1468,4)),VALUE(MID('Raw Orders'!B1468,6,2)),VALUE(MID('Raw Orders'!B1468,9,2))),DATE(VALUE(MID('Raw Orders'!B1468,7,4)),VALUE(MID('Raw Orders'!B1468,4,2)),VALUE(LEFT('Raw Orders'!B1468,2)))))</f>
        <v>46226</v>
      </c>
      <c r="B1471" s="36" t="n">
        <f aca="false">IF(A1471="","",A1471-WEEKDAY(A1471,3))</f>
        <v>46223</v>
      </c>
      <c r="C1471" s="32" t="n">
        <f aca="false">IF(OR('Raw Orders'!C1468&lt;&gt;"Product",'Raw Orders'!K1468="Cancelled"),0,'Raw Orders'!G1468)</f>
        <v>14</v>
      </c>
      <c r="D1471" s="31" t="n">
        <f aca="false">IF(AND('Raw Orders'!C1468="Product",'Raw Orders'!K1468="Fulfilled",COUNTIFS('Raw Orders'!$A$2:$A1468,'Raw Orders'!A1468,'Raw Orders'!$C$2:$C1468,"Product",'Raw Orders'!$K$2:$K1468,"Fulfilled")=1),1,0)</f>
        <v>0</v>
      </c>
      <c r="E1471" s="31" t="n">
        <f aca="false">IF(AND('Raw Orders'!C1468="Product",'Raw Orders'!K1468="Fulfilled"),'Raw Orders'!E1468,0)</f>
        <v>1</v>
      </c>
      <c r="F1471" s="32" t="n">
        <f aca="false">IF('Raw Orders'!K1468="Refunded",'Raw Orders'!G1468,0)</f>
        <v>0</v>
      </c>
    </row>
    <row r="1472" customFormat="false" ht="15" hidden="false" customHeight="false" outlineLevel="0" collapsed="false">
      <c r="A1472" s="36" t="n">
        <f aca="false">IF('Raw Orders'!B1469="","",IF(MID('Raw Orders'!B1469,5,1)="-",DATE(VALUE(LEFT('Raw Orders'!B1469,4)),VALUE(MID('Raw Orders'!B1469,6,2)),VALUE(MID('Raw Orders'!B1469,9,2))),DATE(VALUE(MID('Raw Orders'!B1469,7,4)),VALUE(MID('Raw Orders'!B1469,4,2)),VALUE(LEFT('Raw Orders'!B1469,2)))))</f>
        <v>46226</v>
      </c>
      <c r="B1472" s="36" t="n">
        <f aca="false">IF(A1472="","",A1472-WEEKDAY(A1472,3))</f>
        <v>46223</v>
      </c>
      <c r="C1472" s="32" t="n">
        <f aca="false">IF(OR('Raw Orders'!C1469&lt;&gt;"Product",'Raw Orders'!K1469="Cancelled"),0,'Raw Orders'!G1469)</f>
        <v>0</v>
      </c>
      <c r="D1472" s="31" t="n">
        <f aca="false">IF(AND('Raw Orders'!C1469="Product",'Raw Orders'!K1469="Fulfilled",COUNTIFS('Raw Orders'!$A$2:$A1469,'Raw Orders'!A1469,'Raw Orders'!$C$2:$C1469,"Product",'Raw Orders'!$K$2:$K1469,"Fulfilled")=1),1,0)</f>
        <v>0</v>
      </c>
      <c r="E1472" s="31" t="n">
        <f aca="false">IF(AND('Raw Orders'!C1469="Product",'Raw Orders'!K1469="Fulfilled"),'Raw Orders'!E1469,0)</f>
        <v>0</v>
      </c>
      <c r="F1472" s="32" t="n">
        <f aca="false">IF('Raw Orders'!K1469="Refunded",'Raw Orders'!G1469,0)</f>
        <v>0</v>
      </c>
    </row>
    <row r="1473" customFormat="false" ht="15" hidden="false" customHeight="false" outlineLevel="0" collapsed="false">
      <c r="A1473" s="36" t="n">
        <f aca="false">IF('Raw Orders'!B1470="","",IF(MID('Raw Orders'!B1470,5,1)="-",DATE(VALUE(LEFT('Raw Orders'!B1470,4)),VALUE(MID('Raw Orders'!B1470,6,2)),VALUE(MID('Raw Orders'!B1470,9,2))),DATE(VALUE(MID('Raw Orders'!B1470,7,4)),VALUE(MID('Raw Orders'!B1470,4,2)),VALUE(LEFT('Raw Orders'!B1470,2)))))</f>
        <v>46226</v>
      </c>
      <c r="B1473" s="36" t="n">
        <f aca="false">IF(A1473="","",A1473-WEEKDAY(A1473,3))</f>
        <v>46223</v>
      </c>
      <c r="C1473" s="32" t="n">
        <f aca="false">IF(OR('Raw Orders'!C1470&lt;&gt;"Product",'Raw Orders'!K1470="Cancelled"),0,'Raw Orders'!G1470)</f>
        <v>64</v>
      </c>
      <c r="D1473" s="31" t="n">
        <f aca="false">IF(AND('Raw Orders'!C1470="Product",'Raw Orders'!K1470="Fulfilled",COUNTIFS('Raw Orders'!$A$2:$A1470,'Raw Orders'!A1470,'Raw Orders'!$C$2:$C1470,"Product",'Raw Orders'!$K$2:$K1470,"Fulfilled")=1),1,0)</f>
        <v>0</v>
      </c>
      <c r="E1473" s="31" t="n">
        <f aca="false">IF(AND('Raw Orders'!C1470="Product",'Raw Orders'!K1470="Fulfilled"),'Raw Orders'!E1470,0)</f>
        <v>2</v>
      </c>
      <c r="F1473" s="32" t="n">
        <f aca="false">IF('Raw Orders'!K1470="Refunded",'Raw Orders'!G1470,0)</f>
        <v>0</v>
      </c>
    </row>
    <row r="1474" customFormat="false" ht="15" hidden="false" customHeight="false" outlineLevel="0" collapsed="false">
      <c r="A1474" s="36" t="n">
        <f aca="false">IF('Raw Orders'!B1471="","",IF(MID('Raw Orders'!B1471,5,1)="-",DATE(VALUE(LEFT('Raw Orders'!B1471,4)),VALUE(MID('Raw Orders'!B1471,6,2)),VALUE(MID('Raw Orders'!B1471,9,2))),DATE(VALUE(MID('Raw Orders'!B1471,7,4)),VALUE(MID('Raw Orders'!B1471,4,2)),VALUE(LEFT('Raw Orders'!B1471,2)))))</f>
        <v>46226</v>
      </c>
      <c r="B1474" s="36" t="n">
        <f aca="false">IF(A1474="","",A1474-WEEKDAY(A1474,3))</f>
        <v>46223</v>
      </c>
      <c r="C1474" s="32" t="n">
        <f aca="false">IF(OR('Raw Orders'!C1471&lt;&gt;"Product",'Raw Orders'!K1471="Cancelled"),0,'Raw Orders'!G1471)</f>
        <v>29</v>
      </c>
      <c r="D1474" s="31" t="n">
        <f aca="false">IF(AND('Raw Orders'!C1471="Product",'Raw Orders'!K1471="Fulfilled",COUNTIFS('Raw Orders'!$A$2:$A1471,'Raw Orders'!A1471,'Raw Orders'!$C$2:$C1471,"Product",'Raw Orders'!$K$2:$K1471,"Fulfilled")=1),1,0)</f>
        <v>1</v>
      </c>
      <c r="E1474" s="31" t="n">
        <f aca="false">IF(AND('Raw Orders'!C1471="Product",'Raw Orders'!K1471="Fulfilled"),'Raw Orders'!E1471,0)</f>
        <v>1</v>
      </c>
      <c r="F1474" s="32" t="n">
        <f aca="false">IF('Raw Orders'!K1471="Refunded",'Raw Orders'!G1471,0)</f>
        <v>0</v>
      </c>
    </row>
    <row r="1475" customFormat="false" ht="15" hidden="false" customHeight="false" outlineLevel="0" collapsed="false">
      <c r="A1475" s="36" t="n">
        <f aca="false">IF('Raw Orders'!B1472="","",IF(MID('Raw Orders'!B1472,5,1)="-",DATE(VALUE(LEFT('Raw Orders'!B1472,4)),VALUE(MID('Raw Orders'!B1472,6,2)),VALUE(MID('Raw Orders'!B1472,9,2))),DATE(VALUE(MID('Raw Orders'!B1472,7,4)),VALUE(MID('Raw Orders'!B1472,4,2)),VALUE(LEFT('Raw Orders'!B1472,2)))))</f>
        <v>46226</v>
      </c>
      <c r="B1475" s="36" t="n">
        <f aca="false">IF(A1475="","",A1475-WEEKDAY(A1475,3))</f>
        <v>46223</v>
      </c>
      <c r="C1475" s="32" t="n">
        <f aca="false">IF(OR('Raw Orders'!C1472&lt;&gt;"Product",'Raw Orders'!K1472="Cancelled"),0,'Raw Orders'!G1472)</f>
        <v>78</v>
      </c>
      <c r="D1475" s="31" t="n">
        <f aca="false">IF(AND('Raw Orders'!C1472="Product",'Raw Orders'!K1472="Fulfilled",COUNTIFS('Raw Orders'!$A$2:$A1472,'Raw Orders'!A1472,'Raw Orders'!$C$2:$C1472,"Product",'Raw Orders'!$K$2:$K1472,"Fulfilled")=1),1,0)</f>
        <v>1</v>
      </c>
      <c r="E1475" s="31" t="n">
        <f aca="false">IF(AND('Raw Orders'!C1472="Product",'Raw Orders'!K1472="Fulfilled"),'Raw Orders'!E1472,0)</f>
        <v>2</v>
      </c>
      <c r="F1475" s="32" t="n">
        <f aca="false">IF('Raw Orders'!K1472="Refunded",'Raw Orders'!G1472,0)</f>
        <v>0</v>
      </c>
    </row>
    <row r="1476" customFormat="false" ht="15" hidden="false" customHeight="false" outlineLevel="0" collapsed="false">
      <c r="A1476" s="36" t="n">
        <f aca="false">IF('Raw Orders'!B1473="","",IF(MID('Raw Orders'!B1473,5,1)="-",DATE(VALUE(LEFT('Raw Orders'!B1473,4)),VALUE(MID('Raw Orders'!B1473,6,2)),VALUE(MID('Raw Orders'!B1473,9,2))),DATE(VALUE(MID('Raw Orders'!B1473,7,4)),VALUE(MID('Raw Orders'!B1473,4,2)),VALUE(LEFT('Raw Orders'!B1473,2)))))</f>
        <v>46226</v>
      </c>
      <c r="B1476" s="36" t="n">
        <f aca="false">IF(A1476="","",A1476-WEEKDAY(A1476,3))</f>
        <v>46223</v>
      </c>
      <c r="C1476" s="32" t="n">
        <f aca="false">IF(OR('Raw Orders'!C1473&lt;&gt;"Product",'Raw Orders'!K1473="Cancelled"),0,'Raw Orders'!G1473)</f>
        <v>0</v>
      </c>
      <c r="D1476" s="31" t="n">
        <f aca="false">IF(AND('Raw Orders'!C1473="Product",'Raw Orders'!K1473="Fulfilled",COUNTIFS('Raw Orders'!$A$2:$A1473,'Raw Orders'!A1473,'Raw Orders'!$C$2:$C1473,"Product",'Raw Orders'!$K$2:$K1473,"Fulfilled")=1),1,0)</f>
        <v>0</v>
      </c>
      <c r="E1476" s="31" t="n">
        <f aca="false">IF(AND('Raw Orders'!C1473="Product",'Raw Orders'!K1473="Fulfilled"),'Raw Orders'!E1473,0)</f>
        <v>0</v>
      </c>
      <c r="F1476" s="32" t="n">
        <f aca="false">IF('Raw Orders'!K1473="Refunded",'Raw Orders'!G1473,0)</f>
        <v>0</v>
      </c>
    </row>
    <row r="1477" customFormat="false" ht="15" hidden="false" customHeight="false" outlineLevel="0" collapsed="false">
      <c r="A1477" s="36" t="n">
        <f aca="false">IF('Raw Orders'!B1474="","",IF(MID('Raw Orders'!B1474,5,1)="-",DATE(VALUE(LEFT('Raw Orders'!B1474,4)),VALUE(MID('Raw Orders'!B1474,6,2)),VALUE(MID('Raw Orders'!B1474,9,2))),DATE(VALUE(MID('Raw Orders'!B1474,7,4)),VALUE(MID('Raw Orders'!B1474,4,2)),VALUE(LEFT('Raw Orders'!B1474,2)))))</f>
        <v>46226</v>
      </c>
      <c r="B1477" s="36" t="n">
        <f aca="false">IF(A1477="","",A1477-WEEKDAY(A1477,3))</f>
        <v>46223</v>
      </c>
      <c r="C1477" s="32" t="n">
        <f aca="false">IF(OR('Raw Orders'!C1474&lt;&gt;"Product",'Raw Orders'!K1474="Cancelled"),0,'Raw Orders'!G1474)</f>
        <v>14</v>
      </c>
      <c r="D1477" s="31" t="n">
        <f aca="false">IF(AND('Raw Orders'!C1474="Product",'Raw Orders'!K1474="Fulfilled",COUNTIFS('Raw Orders'!$A$2:$A1474,'Raw Orders'!A1474,'Raw Orders'!$C$2:$C1474,"Product",'Raw Orders'!$K$2:$K1474,"Fulfilled")=1),1,0)</f>
        <v>1</v>
      </c>
      <c r="E1477" s="31" t="n">
        <f aca="false">IF(AND('Raw Orders'!C1474="Product",'Raw Orders'!K1474="Fulfilled"),'Raw Orders'!E1474,0)</f>
        <v>1</v>
      </c>
      <c r="F1477" s="32" t="n">
        <f aca="false">IF('Raw Orders'!K1474="Refunded",'Raw Orders'!G1474,0)</f>
        <v>0</v>
      </c>
    </row>
    <row r="1478" customFormat="false" ht="15" hidden="false" customHeight="false" outlineLevel="0" collapsed="false">
      <c r="A1478" s="36" t="n">
        <f aca="false">IF('Raw Orders'!B1475="","",IF(MID('Raw Orders'!B1475,5,1)="-",DATE(VALUE(LEFT('Raw Orders'!B1475,4)),VALUE(MID('Raw Orders'!B1475,6,2)),VALUE(MID('Raw Orders'!B1475,9,2))),DATE(VALUE(MID('Raw Orders'!B1475,7,4)),VALUE(MID('Raw Orders'!B1475,4,2)),VALUE(LEFT('Raw Orders'!B1475,2)))))</f>
        <v>46226</v>
      </c>
      <c r="B1478" s="36" t="n">
        <f aca="false">IF(A1478="","",A1478-WEEKDAY(A1478,3))</f>
        <v>46223</v>
      </c>
      <c r="C1478" s="32" t="n">
        <f aca="false">IF(OR('Raw Orders'!C1475&lt;&gt;"Product",'Raw Orders'!K1475="Cancelled"),0,'Raw Orders'!G1475)</f>
        <v>58</v>
      </c>
      <c r="D1478" s="31" t="n">
        <f aca="false">IF(AND('Raw Orders'!C1475="Product",'Raw Orders'!K1475="Fulfilled",COUNTIFS('Raw Orders'!$A$2:$A1475,'Raw Orders'!A1475,'Raw Orders'!$C$2:$C1475,"Product",'Raw Orders'!$K$2:$K1475,"Fulfilled")=1),1,0)</f>
        <v>1</v>
      </c>
      <c r="E1478" s="31" t="n">
        <f aca="false">IF(AND('Raw Orders'!C1475="Product",'Raw Orders'!K1475="Fulfilled"),'Raw Orders'!E1475,0)</f>
        <v>2</v>
      </c>
      <c r="F1478" s="32" t="n">
        <f aca="false">IF('Raw Orders'!K1475="Refunded",'Raw Orders'!G1475,0)</f>
        <v>0</v>
      </c>
    </row>
    <row r="1479" customFormat="false" ht="15" hidden="false" customHeight="false" outlineLevel="0" collapsed="false">
      <c r="A1479" s="36" t="n">
        <f aca="false">IF('Raw Orders'!B1476="","",IF(MID('Raw Orders'!B1476,5,1)="-",DATE(VALUE(LEFT('Raw Orders'!B1476,4)),VALUE(MID('Raw Orders'!B1476,6,2)),VALUE(MID('Raw Orders'!B1476,9,2))),DATE(VALUE(MID('Raw Orders'!B1476,7,4)),VALUE(MID('Raw Orders'!B1476,4,2)),VALUE(LEFT('Raw Orders'!B1476,2)))))</f>
        <v>46226</v>
      </c>
      <c r="B1479" s="36" t="n">
        <f aca="false">IF(A1479="","",A1479-WEEKDAY(A1479,3))</f>
        <v>46223</v>
      </c>
      <c r="C1479" s="32" t="n">
        <f aca="false">IF(OR('Raw Orders'!C1476&lt;&gt;"Product",'Raw Orders'!K1476="Cancelled"),0,'Raw Orders'!G1476)</f>
        <v>0</v>
      </c>
      <c r="D1479" s="31" t="n">
        <f aca="false">IF(AND('Raw Orders'!C1476="Product",'Raw Orders'!K1476="Fulfilled",COUNTIFS('Raw Orders'!$A$2:$A1476,'Raw Orders'!A1476,'Raw Orders'!$C$2:$C1476,"Product",'Raw Orders'!$K$2:$K1476,"Fulfilled")=1),1,0)</f>
        <v>0</v>
      </c>
      <c r="E1479" s="31" t="n">
        <f aca="false">IF(AND('Raw Orders'!C1476="Product",'Raw Orders'!K1476="Fulfilled"),'Raw Orders'!E1476,0)</f>
        <v>0</v>
      </c>
      <c r="F1479" s="32" t="n">
        <f aca="false">IF('Raw Orders'!K1476="Refunded",'Raw Orders'!G1476,0)</f>
        <v>0</v>
      </c>
    </row>
    <row r="1480" customFormat="false" ht="15" hidden="false" customHeight="false" outlineLevel="0" collapsed="false">
      <c r="A1480" s="36" t="n">
        <f aca="false">IF('Raw Orders'!B1477="","",IF(MID('Raw Orders'!B1477,5,1)="-",DATE(VALUE(LEFT('Raw Orders'!B1477,4)),VALUE(MID('Raw Orders'!B1477,6,2)),VALUE(MID('Raw Orders'!B1477,9,2))),DATE(VALUE(MID('Raw Orders'!B1477,7,4)),VALUE(MID('Raw Orders'!B1477,4,2)),VALUE(LEFT('Raw Orders'!B1477,2)))))</f>
        <v>46226</v>
      </c>
      <c r="B1480" s="36" t="n">
        <f aca="false">IF(A1480="","",A1480-WEEKDAY(A1480,3))</f>
        <v>46223</v>
      </c>
      <c r="C1480" s="32" t="n">
        <f aca="false">IF(OR('Raw Orders'!C1477&lt;&gt;"Product",'Raw Orders'!K1477="Cancelled"),0,'Raw Orders'!G1477)</f>
        <v>28</v>
      </c>
      <c r="D1480" s="31" t="n">
        <f aca="false">IF(AND('Raw Orders'!C1477="Product",'Raw Orders'!K1477="Fulfilled",COUNTIFS('Raw Orders'!$A$2:$A1477,'Raw Orders'!A1477,'Raw Orders'!$C$2:$C1477,"Product",'Raw Orders'!$K$2:$K1477,"Fulfilled")=1),1,0)</f>
        <v>1</v>
      </c>
      <c r="E1480" s="31" t="n">
        <f aca="false">IF(AND('Raw Orders'!C1477="Product",'Raw Orders'!K1477="Fulfilled"),'Raw Orders'!E1477,0)</f>
        <v>2</v>
      </c>
      <c r="F1480" s="32" t="n">
        <f aca="false">IF('Raw Orders'!K1477="Refunded",'Raw Orders'!G1477,0)</f>
        <v>0</v>
      </c>
    </row>
    <row r="1481" customFormat="false" ht="15" hidden="false" customHeight="false" outlineLevel="0" collapsed="false">
      <c r="A1481" s="36" t="n">
        <f aca="false">IF('Raw Orders'!B1478="","",IF(MID('Raw Orders'!B1478,5,1)="-",DATE(VALUE(LEFT('Raw Orders'!B1478,4)),VALUE(MID('Raw Orders'!B1478,6,2)),VALUE(MID('Raw Orders'!B1478,9,2))),DATE(VALUE(MID('Raw Orders'!B1478,7,4)),VALUE(MID('Raw Orders'!B1478,4,2)),VALUE(LEFT('Raw Orders'!B1478,2)))))</f>
        <v>46226</v>
      </c>
      <c r="B1481" s="36" t="n">
        <f aca="false">IF(A1481="","",A1481-WEEKDAY(A1481,3))</f>
        <v>46223</v>
      </c>
      <c r="C1481" s="32" t="n">
        <f aca="false">IF(OR('Raw Orders'!C1478&lt;&gt;"Product",'Raw Orders'!K1478="Cancelled"),0,'Raw Orders'!G1478)</f>
        <v>0</v>
      </c>
      <c r="D1481" s="31" t="n">
        <f aca="false">IF(AND('Raw Orders'!C1478="Product",'Raw Orders'!K1478="Fulfilled",COUNTIFS('Raw Orders'!$A$2:$A1478,'Raw Orders'!A1478,'Raw Orders'!$C$2:$C1478,"Product",'Raw Orders'!$K$2:$K1478,"Fulfilled")=1),1,0)</f>
        <v>0</v>
      </c>
      <c r="E1481" s="31" t="n">
        <f aca="false">IF(AND('Raw Orders'!C1478="Product",'Raw Orders'!K1478="Fulfilled"),'Raw Orders'!E1478,0)</f>
        <v>0</v>
      </c>
      <c r="F1481" s="32" t="n">
        <f aca="false">IF('Raw Orders'!K1478="Refunded",'Raw Orders'!G1478,0)</f>
        <v>0</v>
      </c>
    </row>
    <row r="1482" customFormat="false" ht="15" hidden="false" customHeight="false" outlineLevel="0" collapsed="false">
      <c r="A1482" s="36" t="n">
        <f aca="false">IF('Raw Orders'!B1479="","",IF(MID('Raw Orders'!B1479,5,1)="-",DATE(VALUE(LEFT('Raw Orders'!B1479,4)),VALUE(MID('Raw Orders'!B1479,6,2)),VALUE(MID('Raw Orders'!B1479,9,2))),DATE(VALUE(MID('Raw Orders'!B1479,7,4)),VALUE(MID('Raw Orders'!B1479,4,2)),VALUE(LEFT('Raw Orders'!B1479,2)))))</f>
        <v>46226</v>
      </c>
      <c r="B1482" s="36" t="n">
        <f aca="false">IF(A1482="","",A1482-WEEKDAY(A1482,3))</f>
        <v>46223</v>
      </c>
      <c r="C1482" s="32" t="n">
        <f aca="false">IF(OR('Raw Orders'!C1479&lt;&gt;"Product",'Raw Orders'!K1479="Cancelled"),0,'Raw Orders'!G1479)</f>
        <v>78</v>
      </c>
      <c r="D1482" s="31" t="n">
        <f aca="false">IF(AND('Raw Orders'!C1479="Product",'Raw Orders'!K1479="Fulfilled",COUNTIFS('Raw Orders'!$A$2:$A1479,'Raw Orders'!A1479,'Raw Orders'!$C$2:$C1479,"Product",'Raw Orders'!$K$2:$K1479,"Fulfilled")=1),1,0)</f>
        <v>1</v>
      </c>
      <c r="E1482" s="31" t="n">
        <f aca="false">IF(AND('Raw Orders'!C1479="Product",'Raw Orders'!K1479="Fulfilled"),'Raw Orders'!E1479,0)</f>
        <v>2</v>
      </c>
      <c r="F1482" s="32" t="n">
        <f aca="false">IF('Raw Orders'!K1479="Refunded",'Raw Orders'!G1479,0)</f>
        <v>0</v>
      </c>
    </row>
    <row r="1483" customFormat="false" ht="15" hidden="false" customHeight="false" outlineLevel="0" collapsed="false">
      <c r="A1483" s="36" t="n">
        <f aca="false">IF('Raw Orders'!B1480="","",IF(MID('Raw Orders'!B1480,5,1)="-",DATE(VALUE(LEFT('Raw Orders'!B1480,4)),VALUE(MID('Raw Orders'!B1480,6,2)),VALUE(MID('Raw Orders'!B1480,9,2))),DATE(VALUE(MID('Raw Orders'!B1480,7,4)),VALUE(MID('Raw Orders'!B1480,4,2)),VALUE(LEFT('Raw Orders'!B1480,2)))))</f>
        <v>46226</v>
      </c>
      <c r="B1483" s="36" t="n">
        <f aca="false">IF(A1483="","",A1483-WEEKDAY(A1483,3))</f>
        <v>46223</v>
      </c>
      <c r="C1483" s="32" t="n">
        <f aca="false">IF(OR('Raw Orders'!C1480&lt;&gt;"Product",'Raw Orders'!K1480="Cancelled"),0,'Raw Orders'!G1480)</f>
        <v>26.1</v>
      </c>
      <c r="D1483" s="31" t="n">
        <f aca="false">IF(AND('Raw Orders'!C1480="Product",'Raw Orders'!K1480="Fulfilled",COUNTIFS('Raw Orders'!$A$2:$A1480,'Raw Orders'!A1480,'Raw Orders'!$C$2:$C1480,"Product",'Raw Orders'!$K$2:$K1480,"Fulfilled")=1),1,0)</f>
        <v>1</v>
      </c>
      <c r="E1483" s="31" t="n">
        <f aca="false">IF(AND('Raw Orders'!C1480="Product",'Raw Orders'!K1480="Fulfilled"),'Raw Orders'!E1480,0)</f>
        <v>1</v>
      </c>
      <c r="F1483" s="32" t="n">
        <f aca="false">IF('Raw Orders'!K1480="Refunded",'Raw Orders'!G1480,0)</f>
        <v>0</v>
      </c>
    </row>
    <row r="1484" customFormat="false" ht="15" hidden="false" customHeight="false" outlineLevel="0" collapsed="false">
      <c r="A1484" s="36" t="n">
        <f aca="false">IF('Raw Orders'!B1481="","",IF(MID('Raw Orders'!B1481,5,1)="-",DATE(VALUE(LEFT('Raw Orders'!B1481,4)),VALUE(MID('Raw Orders'!B1481,6,2)),VALUE(MID('Raw Orders'!B1481,9,2))),DATE(VALUE(MID('Raw Orders'!B1481,7,4)),VALUE(MID('Raw Orders'!B1481,4,2)),VALUE(LEFT('Raw Orders'!B1481,2)))))</f>
        <v>46226</v>
      </c>
      <c r="B1484" s="36" t="n">
        <f aca="false">IF(A1484="","",A1484-WEEKDAY(A1484,3))</f>
        <v>46223</v>
      </c>
      <c r="C1484" s="32" t="n">
        <f aca="false">IF(OR('Raw Orders'!C1481&lt;&gt;"Product",'Raw Orders'!K1481="Cancelled"),0,'Raw Orders'!G1481)</f>
        <v>0</v>
      </c>
      <c r="D1484" s="31" t="n">
        <f aca="false">IF(AND('Raw Orders'!C1481="Product",'Raw Orders'!K1481="Fulfilled",COUNTIFS('Raw Orders'!$A$2:$A1481,'Raw Orders'!A1481,'Raw Orders'!$C$2:$C1481,"Product",'Raw Orders'!$K$2:$K1481,"Fulfilled")=1),1,0)</f>
        <v>0</v>
      </c>
      <c r="E1484" s="31" t="n">
        <f aca="false">IF(AND('Raw Orders'!C1481="Product",'Raw Orders'!K1481="Fulfilled"),'Raw Orders'!E1481,0)</f>
        <v>0</v>
      </c>
      <c r="F1484" s="32" t="n">
        <f aca="false">IF('Raw Orders'!K1481="Refunded",'Raw Orders'!G1481,0)</f>
        <v>0</v>
      </c>
    </row>
    <row r="1485" customFormat="false" ht="15" hidden="false" customHeight="false" outlineLevel="0" collapsed="false">
      <c r="A1485" s="36" t="n">
        <f aca="false">IF('Raw Orders'!B1482="","",IF(MID('Raw Orders'!B1482,5,1)="-",DATE(VALUE(LEFT('Raw Orders'!B1482,4)),VALUE(MID('Raw Orders'!B1482,6,2)),VALUE(MID('Raw Orders'!B1482,9,2))),DATE(VALUE(MID('Raw Orders'!B1482,7,4)),VALUE(MID('Raw Orders'!B1482,4,2)),VALUE(LEFT('Raw Orders'!B1482,2)))))</f>
        <v>46226</v>
      </c>
      <c r="B1485" s="36" t="n">
        <f aca="false">IF(A1485="","",A1485-WEEKDAY(A1485,3))</f>
        <v>46223</v>
      </c>
      <c r="C1485" s="32" t="n">
        <f aca="false">IF(OR('Raw Orders'!C1482&lt;&gt;"Product",'Raw Orders'!K1482="Cancelled"),0,'Raw Orders'!G1482)</f>
        <v>71.2</v>
      </c>
      <c r="D1485" s="31" t="n">
        <f aca="false">IF(AND('Raw Orders'!C1482="Product",'Raw Orders'!K1482="Fulfilled",COUNTIFS('Raw Orders'!$A$2:$A1482,'Raw Orders'!A1482,'Raw Orders'!$C$2:$C1482,"Product",'Raw Orders'!$K$2:$K1482,"Fulfilled")=1),1,0)</f>
        <v>0</v>
      </c>
      <c r="E1485" s="31" t="n">
        <f aca="false">IF(AND('Raw Orders'!C1482="Product",'Raw Orders'!K1482="Fulfilled"),'Raw Orders'!E1482,0)</f>
        <v>1</v>
      </c>
      <c r="F1485" s="32" t="n">
        <f aca="false">IF('Raw Orders'!K1482="Refunded",'Raw Orders'!G1482,0)</f>
        <v>0</v>
      </c>
    </row>
    <row r="1486" customFormat="false" ht="15" hidden="false" customHeight="false" outlineLevel="0" collapsed="false">
      <c r="A1486" s="36" t="n">
        <f aca="false">IF('Raw Orders'!B1483="","",IF(MID('Raw Orders'!B1483,5,1)="-",DATE(VALUE(LEFT('Raw Orders'!B1483,4)),VALUE(MID('Raw Orders'!B1483,6,2)),VALUE(MID('Raw Orders'!B1483,9,2))),DATE(VALUE(MID('Raw Orders'!B1483,7,4)),VALUE(MID('Raw Orders'!B1483,4,2)),VALUE(LEFT('Raw Orders'!B1483,2)))))</f>
        <v>46226</v>
      </c>
      <c r="B1486" s="36" t="n">
        <f aca="false">IF(A1486="","",A1486-WEEKDAY(A1486,3))</f>
        <v>46223</v>
      </c>
      <c r="C1486" s="32" t="n">
        <f aca="false">IF(OR('Raw Orders'!C1483&lt;&gt;"Product",'Raw Orders'!K1483="Cancelled"),0,'Raw Orders'!G1483)</f>
        <v>39</v>
      </c>
      <c r="D1486" s="31" t="n">
        <f aca="false">IF(AND('Raw Orders'!C1483="Product",'Raw Orders'!K1483="Fulfilled",COUNTIFS('Raw Orders'!$A$2:$A1483,'Raw Orders'!A1483,'Raw Orders'!$C$2:$C1483,"Product",'Raw Orders'!$K$2:$K1483,"Fulfilled")=1),1,0)</f>
        <v>0</v>
      </c>
      <c r="E1486" s="31" t="n">
        <f aca="false">IF(AND('Raw Orders'!C1483="Product",'Raw Orders'!K1483="Fulfilled"),'Raw Orders'!E1483,0)</f>
        <v>1</v>
      </c>
      <c r="F1486" s="32" t="n">
        <f aca="false">IF('Raw Orders'!K1483="Refunded",'Raw Orders'!G1483,0)</f>
        <v>0</v>
      </c>
    </row>
    <row r="1487" customFormat="false" ht="15" hidden="false" customHeight="false" outlineLevel="0" collapsed="false">
      <c r="A1487" s="36" t="n">
        <f aca="false">IF('Raw Orders'!B1484="","",IF(MID('Raw Orders'!B1484,5,1)="-",DATE(VALUE(LEFT('Raw Orders'!B1484,4)),VALUE(MID('Raw Orders'!B1484,6,2)),VALUE(MID('Raw Orders'!B1484,9,2))),DATE(VALUE(MID('Raw Orders'!B1484,7,4)),VALUE(MID('Raw Orders'!B1484,4,2)),VALUE(LEFT('Raw Orders'!B1484,2)))))</f>
        <v>46227</v>
      </c>
      <c r="B1487" s="36" t="n">
        <f aca="false">IF(A1487="","",A1487-WEEKDAY(A1487,3))</f>
        <v>46223</v>
      </c>
      <c r="C1487" s="32" t="n">
        <f aca="false">IF(OR('Raw Orders'!C1484&lt;&gt;"Product",'Raw Orders'!K1484="Cancelled"),0,'Raw Orders'!G1484)</f>
        <v>0</v>
      </c>
      <c r="D1487" s="31" t="n">
        <f aca="false">IF(AND('Raw Orders'!C1484="Product",'Raw Orders'!K1484="Fulfilled",COUNTIFS('Raw Orders'!$A$2:$A1484,'Raw Orders'!A1484,'Raw Orders'!$C$2:$C1484,"Product",'Raw Orders'!$K$2:$K1484,"Fulfilled")=1),1,0)</f>
        <v>0</v>
      </c>
      <c r="E1487" s="31" t="n">
        <f aca="false">IF(AND('Raw Orders'!C1484="Product",'Raw Orders'!K1484="Fulfilled"),'Raw Orders'!E1484,0)</f>
        <v>0</v>
      </c>
      <c r="F1487" s="32" t="n">
        <f aca="false">IF('Raw Orders'!K1484="Refunded",'Raw Orders'!G1484,0)</f>
        <v>0</v>
      </c>
    </row>
    <row r="1488" customFormat="false" ht="15" hidden="false" customHeight="false" outlineLevel="0" collapsed="false">
      <c r="A1488" s="36" t="n">
        <f aca="false">IF('Raw Orders'!B1485="","",IF(MID('Raw Orders'!B1485,5,1)="-",DATE(VALUE(LEFT('Raw Orders'!B1485,4)),VALUE(MID('Raw Orders'!B1485,6,2)),VALUE(MID('Raw Orders'!B1485,9,2))),DATE(VALUE(MID('Raw Orders'!B1485,7,4)),VALUE(MID('Raw Orders'!B1485,4,2)),VALUE(LEFT('Raw Orders'!B1485,2)))))</f>
        <v>46227</v>
      </c>
      <c r="B1488" s="36" t="n">
        <f aca="false">IF(A1488="","",A1488-WEEKDAY(A1488,3))</f>
        <v>46223</v>
      </c>
      <c r="C1488" s="32" t="n">
        <f aca="false">IF(OR('Raw Orders'!C1485&lt;&gt;"Product",'Raw Orders'!K1485="Cancelled"),0,'Raw Orders'!G1485)</f>
        <v>45</v>
      </c>
      <c r="D1488" s="31" t="n">
        <f aca="false">IF(AND('Raw Orders'!C1485="Product",'Raw Orders'!K1485="Fulfilled",COUNTIFS('Raw Orders'!$A$2:$A1485,'Raw Orders'!A1485,'Raw Orders'!$C$2:$C1485,"Product",'Raw Orders'!$K$2:$K1485,"Fulfilled")=1),1,0)</f>
        <v>1</v>
      </c>
      <c r="E1488" s="31" t="n">
        <f aca="false">IF(AND('Raw Orders'!C1485="Product",'Raw Orders'!K1485="Fulfilled"),'Raw Orders'!E1485,0)</f>
        <v>1</v>
      </c>
      <c r="F1488" s="32" t="n">
        <f aca="false">IF('Raw Orders'!K1485="Refunded",'Raw Orders'!G1485,0)</f>
        <v>0</v>
      </c>
    </row>
    <row r="1489" customFormat="false" ht="15" hidden="false" customHeight="false" outlineLevel="0" collapsed="false">
      <c r="A1489" s="36" t="n">
        <f aca="false">IF('Raw Orders'!B1486="","",IF(MID('Raw Orders'!B1486,5,1)="-",DATE(VALUE(LEFT('Raw Orders'!B1486,4)),VALUE(MID('Raw Orders'!B1486,6,2)),VALUE(MID('Raw Orders'!B1486,9,2))),DATE(VALUE(MID('Raw Orders'!B1486,7,4)),VALUE(MID('Raw Orders'!B1486,4,2)),VALUE(LEFT('Raw Orders'!B1486,2)))))</f>
        <v>46227</v>
      </c>
      <c r="B1489" s="36" t="n">
        <f aca="false">IF(A1489="","",A1489-WEEKDAY(A1489,3))</f>
        <v>46223</v>
      </c>
      <c r="C1489" s="32" t="n">
        <f aca="false">IF(OR('Raw Orders'!C1486&lt;&gt;"Product",'Raw Orders'!K1486="Cancelled"),0,'Raw Orders'!G1486)</f>
        <v>0</v>
      </c>
      <c r="D1489" s="31" t="n">
        <f aca="false">IF(AND('Raw Orders'!C1486="Product",'Raw Orders'!K1486="Fulfilled",COUNTIFS('Raw Orders'!$A$2:$A1486,'Raw Orders'!A1486,'Raw Orders'!$C$2:$C1486,"Product",'Raw Orders'!$K$2:$K1486,"Fulfilled")=1),1,0)</f>
        <v>0</v>
      </c>
      <c r="E1489" s="31" t="n">
        <f aca="false">IF(AND('Raw Orders'!C1486="Product",'Raw Orders'!K1486="Fulfilled"),'Raw Orders'!E1486,0)</f>
        <v>0</v>
      </c>
      <c r="F1489" s="32" t="n">
        <f aca="false">IF('Raw Orders'!K1486="Refunded",'Raw Orders'!G1486,0)</f>
        <v>0</v>
      </c>
    </row>
    <row r="1490" customFormat="false" ht="15" hidden="false" customHeight="false" outlineLevel="0" collapsed="false">
      <c r="A1490" s="36" t="n">
        <f aca="false">IF('Raw Orders'!B1487="","",IF(MID('Raw Orders'!B1487,5,1)="-",DATE(VALUE(LEFT('Raw Orders'!B1487,4)),VALUE(MID('Raw Orders'!B1487,6,2)),VALUE(MID('Raw Orders'!B1487,9,2))),DATE(VALUE(MID('Raw Orders'!B1487,7,4)),VALUE(MID('Raw Orders'!B1487,4,2)),VALUE(LEFT('Raw Orders'!B1487,2)))))</f>
        <v>46227</v>
      </c>
      <c r="B1490" s="36" t="n">
        <f aca="false">IF(A1490="","",A1490-WEEKDAY(A1490,3))</f>
        <v>46223</v>
      </c>
      <c r="C1490" s="32" t="n">
        <f aca="false">IF(OR('Raw Orders'!C1487&lt;&gt;"Product",'Raw Orders'!K1487="Cancelled"),0,'Raw Orders'!G1487)</f>
        <v>14</v>
      </c>
      <c r="D1490" s="31" t="n">
        <f aca="false">IF(AND('Raw Orders'!C1487="Product",'Raw Orders'!K1487="Fulfilled",COUNTIFS('Raw Orders'!$A$2:$A1487,'Raw Orders'!A1487,'Raw Orders'!$C$2:$C1487,"Product",'Raw Orders'!$K$2:$K1487,"Fulfilled")=1),1,0)</f>
        <v>1</v>
      </c>
      <c r="E1490" s="31" t="n">
        <f aca="false">IF(AND('Raw Orders'!C1487="Product",'Raw Orders'!K1487="Fulfilled"),'Raw Orders'!E1487,0)</f>
        <v>1</v>
      </c>
      <c r="F1490" s="32" t="n">
        <f aca="false">IF('Raw Orders'!K1487="Refunded",'Raw Orders'!G1487,0)</f>
        <v>0</v>
      </c>
    </row>
    <row r="1491" customFormat="false" ht="15" hidden="false" customHeight="false" outlineLevel="0" collapsed="false">
      <c r="A1491" s="36" t="n">
        <f aca="false">IF('Raw Orders'!B1488="","",IF(MID('Raw Orders'!B1488,5,1)="-",DATE(VALUE(LEFT('Raw Orders'!B1488,4)),VALUE(MID('Raw Orders'!B1488,6,2)),VALUE(MID('Raw Orders'!B1488,9,2))),DATE(VALUE(MID('Raw Orders'!B1488,7,4)),VALUE(MID('Raw Orders'!B1488,4,2)),VALUE(LEFT('Raw Orders'!B1488,2)))))</f>
        <v>46227</v>
      </c>
      <c r="B1491" s="36" t="n">
        <f aca="false">IF(A1491="","",A1491-WEEKDAY(A1491,3))</f>
        <v>46223</v>
      </c>
      <c r="C1491" s="32" t="n">
        <f aca="false">IF(OR('Raw Orders'!C1488&lt;&gt;"Product",'Raw Orders'!K1488="Cancelled"),0,'Raw Orders'!G1488)</f>
        <v>69</v>
      </c>
      <c r="D1491" s="31" t="n">
        <f aca="false">IF(AND('Raw Orders'!C1488="Product",'Raw Orders'!K1488="Fulfilled",COUNTIFS('Raw Orders'!$A$2:$A1488,'Raw Orders'!A1488,'Raw Orders'!$C$2:$C1488,"Product",'Raw Orders'!$K$2:$K1488,"Fulfilled")=1),1,0)</f>
        <v>0</v>
      </c>
      <c r="E1491" s="31" t="n">
        <f aca="false">IF(AND('Raw Orders'!C1488="Product",'Raw Orders'!K1488="Fulfilled"),'Raw Orders'!E1488,0)</f>
        <v>1</v>
      </c>
      <c r="F1491" s="32" t="n">
        <f aca="false">IF('Raw Orders'!K1488="Refunded",'Raw Orders'!G1488,0)</f>
        <v>0</v>
      </c>
    </row>
    <row r="1492" customFormat="false" ht="15" hidden="false" customHeight="false" outlineLevel="0" collapsed="false">
      <c r="A1492" s="36" t="n">
        <f aca="false">IF('Raw Orders'!B1489="","",IF(MID('Raw Orders'!B1489,5,1)="-",DATE(VALUE(LEFT('Raw Orders'!B1489,4)),VALUE(MID('Raw Orders'!B1489,6,2)),VALUE(MID('Raw Orders'!B1489,9,2))),DATE(VALUE(MID('Raw Orders'!B1489,7,4)),VALUE(MID('Raw Orders'!B1489,4,2)),VALUE(LEFT('Raw Orders'!B1489,2)))))</f>
        <v>46227</v>
      </c>
      <c r="B1492" s="36" t="n">
        <f aca="false">IF(A1492="","",A1492-WEEKDAY(A1492,3))</f>
        <v>46223</v>
      </c>
      <c r="C1492" s="32" t="n">
        <f aca="false">IF(OR('Raw Orders'!C1489&lt;&gt;"Product",'Raw Orders'!K1489="Cancelled"),0,'Raw Orders'!G1489)</f>
        <v>0</v>
      </c>
      <c r="D1492" s="31" t="n">
        <f aca="false">IF(AND('Raw Orders'!C1489="Product",'Raw Orders'!K1489="Fulfilled",COUNTIFS('Raw Orders'!$A$2:$A1489,'Raw Orders'!A1489,'Raw Orders'!$C$2:$C1489,"Product",'Raw Orders'!$K$2:$K1489,"Fulfilled")=1),1,0)</f>
        <v>0</v>
      </c>
      <c r="E1492" s="31" t="n">
        <f aca="false">IF(AND('Raw Orders'!C1489="Product",'Raw Orders'!K1489="Fulfilled"),'Raw Orders'!E1489,0)</f>
        <v>0</v>
      </c>
      <c r="F1492" s="32" t="n">
        <f aca="false">IF('Raw Orders'!K1489="Refunded",'Raw Orders'!G1489,0)</f>
        <v>0</v>
      </c>
    </row>
    <row r="1493" customFormat="false" ht="15" hidden="false" customHeight="false" outlineLevel="0" collapsed="false">
      <c r="A1493" s="36" t="n">
        <f aca="false">IF('Raw Orders'!B1490="","",IF(MID('Raw Orders'!B1490,5,1)="-",DATE(VALUE(LEFT('Raw Orders'!B1490,4)),VALUE(MID('Raw Orders'!B1490,6,2)),VALUE(MID('Raw Orders'!B1490,9,2))),DATE(VALUE(MID('Raw Orders'!B1490,7,4)),VALUE(MID('Raw Orders'!B1490,4,2)),VALUE(LEFT('Raw Orders'!B1490,2)))))</f>
        <v>46227</v>
      </c>
      <c r="B1493" s="36" t="n">
        <f aca="false">IF(A1493="","",A1493-WEEKDAY(A1493,3))</f>
        <v>46223</v>
      </c>
      <c r="C1493" s="32" t="n">
        <f aca="false">IF(OR('Raw Orders'!C1490&lt;&gt;"Product",'Raw Orders'!K1490="Cancelled"),0,'Raw Orders'!G1490)</f>
        <v>69</v>
      </c>
      <c r="D1493" s="31" t="n">
        <f aca="false">IF(AND('Raw Orders'!C1490="Product",'Raw Orders'!K1490="Fulfilled",COUNTIFS('Raw Orders'!$A$2:$A1490,'Raw Orders'!A1490,'Raw Orders'!$C$2:$C1490,"Product",'Raw Orders'!$K$2:$K1490,"Fulfilled")=1),1,0)</f>
        <v>1</v>
      </c>
      <c r="E1493" s="31" t="n">
        <f aca="false">IF(AND('Raw Orders'!C1490="Product",'Raw Orders'!K1490="Fulfilled"),'Raw Orders'!E1490,0)</f>
        <v>1</v>
      </c>
      <c r="F1493" s="32" t="n">
        <f aca="false">IF('Raw Orders'!K1490="Refunded",'Raw Orders'!G1490,0)</f>
        <v>0</v>
      </c>
    </row>
    <row r="1494" customFormat="false" ht="15" hidden="false" customHeight="false" outlineLevel="0" collapsed="false">
      <c r="A1494" s="36" t="n">
        <f aca="false">IF('Raw Orders'!B1491="","",IF(MID('Raw Orders'!B1491,5,1)="-",DATE(VALUE(LEFT('Raw Orders'!B1491,4)),VALUE(MID('Raw Orders'!B1491,6,2)),VALUE(MID('Raw Orders'!B1491,9,2))),DATE(VALUE(MID('Raw Orders'!B1491,7,4)),VALUE(MID('Raw Orders'!B1491,4,2)),VALUE(LEFT('Raw Orders'!B1491,2)))))</f>
        <v>46227</v>
      </c>
      <c r="B1494" s="36" t="n">
        <f aca="false">IF(A1494="","",A1494-WEEKDAY(A1494,3))</f>
        <v>46223</v>
      </c>
      <c r="C1494" s="32" t="n">
        <f aca="false">IF(OR('Raw Orders'!C1491&lt;&gt;"Product",'Raw Orders'!K1491="Cancelled"),0,'Raw Orders'!G1491)</f>
        <v>0</v>
      </c>
      <c r="D1494" s="31" t="n">
        <f aca="false">IF(AND('Raw Orders'!C1491="Product",'Raw Orders'!K1491="Fulfilled",COUNTIFS('Raw Orders'!$A$2:$A1491,'Raw Orders'!A1491,'Raw Orders'!$C$2:$C1491,"Product",'Raw Orders'!$K$2:$K1491,"Fulfilled")=1),1,0)</f>
        <v>0</v>
      </c>
      <c r="E1494" s="31" t="n">
        <f aca="false">IF(AND('Raw Orders'!C1491="Product",'Raw Orders'!K1491="Fulfilled"),'Raw Orders'!E1491,0)</f>
        <v>0</v>
      </c>
      <c r="F1494" s="32" t="n">
        <f aca="false">IF('Raw Orders'!K1491="Refunded",'Raw Orders'!G1491,0)</f>
        <v>0</v>
      </c>
    </row>
    <row r="1495" customFormat="false" ht="15" hidden="false" customHeight="false" outlineLevel="0" collapsed="false">
      <c r="A1495" s="36" t="n">
        <f aca="false">IF('Raw Orders'!B1492="","",IF(MID('Raw Orders'!B1492,5,1)="-",DATE(VALUE(LEFT('Raw Orders'!B1492,4)),VALUE(MID('Raw Orders'!B1492,6,2)),VALUE(MID('Raw Orders'!B1492,9,2))),DATE(VALUE(MID('Raw Orders'!B1492,7,4)),VALUE(MID('Raw Orders'!B1492,4,2)),VALUE(LEFT('Raw Orders'!B1492,2)))))</f>
        <v>46227</v>
      </c>
      <c r="B1495" s="36" t="n">
        <f aca="false">IF(A1495="","",A1495-WEEKDAY(A1495,3))</f>
        <v>46223</v>
      </c>
      <c r="C1495" s="32" t="n">
        <f aca="false">IF(OR('Raw Orders'!C1492&lt;&gt;"Product",'Raw Orders'!K1492="Cancelled"),0,'Raw Orders'!G1492)</f>
        <v>89</v>
      </c>
      <c r="D1495" s="31" t="n">
        <f aca="false">IF(AND('Raw Orders'!C1492="Product",'Raw Orders'!K1492="Fulfilled",COUNTIFS('Raw Orders'!$A$2:$A1492,'Raw Orders'!A1492,'Raw Orders'!$C$2:$C1492,"Product",'Raw Orders'!$K$2:$K1492,"Fulfilled")=1),1,0)</f>
        <v>1</v>
      </c>
      <c r="E1495" s="31" t="n">
        <f aca="false">IF(AND('Raw Orders'!C1492="Product",'Raw Orders'!K1492="Fulfilled"),'Raw Orders'!E1492,0)</f>
        <v>1</v>
      </c>
      <c r="F1495" s="32" t="n">
        <f aca="false">IF('Raw Orders'!K1492="Refunded",'Raw Orders'!G1492,0)</f>
        <v>0</v>
      </c>
    </row>
    <row r="1496" customFormat="false" ht="15" hidden="false" customHeight="false" outlineLevel="0" collapsed="false">
      <c r="A1496" s="36" t="n">
        <f aca="false">IF('Raw Orders'!B1493="","",IF(MID('Raw Orders'!B1493,5,1)="-",DATE(VALUE(LEFT('Raw Orders'!B1493,4)),VALUE(MID('Raw Orders'!B1493,6,2)),VALUE(MID('Raw Orders'!B1493,9,2))),DATE(VALUE(MID('Raw Orders'!B1493,7,4)),VALUE(MID('Raw Orders'!B1493,4,2)),VALUE(LEFT('Raw Orders'!B1493,2)))))</f>
        <v>46227</v>
      </c>
      <c r="B1496" s="36" t="n">
        <f aca="false">IF(A1496="","",A1496-WEEKDAY(A1496,3))</f>
        <v>46223</v>
      </c>
      <c r="C1496" s="32" t="n">
        <f aca="false">IF(OR('Raw Orders'!C1493&lt;&gt;"Product",'Raw Orders'!K1493="Cancelled"),0,'Raw Orders'!G1493)</f>
        <v>32</v>
      </c>
      <c r="D1496" s="31" t="n">
        <f aca="false">IF(AND('Raw Orders'!C1493="Product",'Raw Orders'!K1493="Fulfilled",COUNTIFS('Raw Orders'!$A$2:$A1493,'Raw Orders'!A1493,'Raw Orders'!$C$2:$C1493,"Product",'Raw Orders'!$K$2:$K1493,"Fulfilled")=1),1,0)</f>
        <v>0</v>
      </c>
      <c r="E1496" s="31" t="n">
        <f aca="false">IF(AND('Raw Orders'!C1493="Product",'Raw Orders'!K1493="Fulfilled"),'Raw Orders'!E1493,0)</f>
        <v>1</v>
      </c>
      <c r="F1496" s="32" t="n">
        <f aca="false">IF('Raw Orders'!K1493="Refunded",'Raw Orders'!G1493,0)</f>
        <v>0</v>
      </c>
    </row>
    <row r="1497" customFormat="false" ht="15" hidden="false" customHeight="false" outlineLevel="0" collapsed="false">
      <c r="A1497" s="36" t="n">
        <f aca="false">IF('Raw Orders'!B1494="","",IF(MID('Raw Orders'!B1494,5,1)="-",DATE(VALUE(LEFT('Raw Orders'!B1494,4)),VALUE(MID('Raw Orders'!B1494,6,2)),VALUE(MID('Raw Orders'!B1494,9,2))),DATE(VALUE(MID('Raw Orders'!B1494,7,4)),VALUE(MID('Raw Orders'!B1494,4,2)),VALUE(LEFT('Raw Orders'!B1494,2)))))</f>
        <v>46227</v>
      </c>
      <c r="B1497" s="36" t="n">
        <f aca="false">IF(A1497="","",A1497-WEEKDAY(A1497,3))</f>
        <v>46223</v>
      </c>
      <c r="C1497" s="32" t="n">
        <f aca="false">IF(OR('Raw Orders'!C1494&lt;&gt;"Product",'Raw Orders'!K1494="Cancelled"),0,'Raw Orders'!G1494)</f>
        <v>0</v>
      </c>
      <c r="D1497" s="31" t="n">
        <f aca="false">IF(AND('Raw Orders'!C1494="Product",'Raw Orders'!K1494="Fulfilled",COUNTIFS('Raw Orders'!$A$2:$A1494,'Raw Orders'!A1494,'Raw Orders'!$C$2:$C1494,"Product",'Raw Orders'!$K$2:$K1494,"Fulfilled")=1),1,0)</f>
        <v>0</v>
      </c>
      <c r="E1497" s="31" t="n">
        <f aca="false">IF(AND('Raw Orders'!C1494="Product",'Raw Orders'!K1494="Fulfilled"),'Raw Orders'!E1494,0)</f>
        <v>0</v>
      </c>
      <c r="F1497" s="32" t="n">
        <f aca="false">IF('Raw Orders'!K1494="Refunded",'Raw Orders'!G1494,0)</f>
        <v>0</v>
      </c>
    </row>
    <row r="1498" customFormat="false" ht="15" hidden="false" customHeight="false" outlineLevel="0" collapsed="false">
      <c r="A1498" s="36" t="n">
        <f aca="false">IF('Raw Orders'!B1495="","",IF(MID('Raw Orders'!B1495,5,1)="-",DATE(VALUE(LEFT('Raw Orders'!B1495,4)),VALUE(MID('Raw Orders'!B1495,6,2)),VALUE(MID('Raw Orders'!B1495,9,2))),DATE(VALUE(MID('Raw Orders'!B1495,7,4)),VALUE(MID('Raw Orders'!B1495,4,2)),VALUE(LEFT('Raw Orders'!B1495,2)))))</f>
        <v>46227</v>
      </c>
      <c r="B1498" s="36" t="n">
        <f aca="false">IF(A1498="","",A1498-WEEKDAY(A1498,3))</f>
        <v>46223</v>
      </c>
      <c r="C1498" s="32" t="n">
        <f aca="false">IF(OR('Raw Orders'!C1495&lt;&gt;"Product",'Raw Orders'!K1495="Cancelled"),0,'Raw Orders'!G1495)</f>
        <v>0</v>
      </c>
      <c r="D1498" s="31" t="n">
        <f aca="false">IF(AND('Raw Orders'!C1495="Product",'Raw Orders'!K1495="Fulfilled",COUNTIFS('Raw Orders'!$A$2:$A1495,'Raw Orders'!A1495,'Raw Orders'!$C$2:$C1495,"Product",'Raw Orders'!$K$2:$K1495,"Fulfilled")=1),1,0)</f>
        <v>0</v>
      </c>
      <c r="E1498" s="31" t="n">
        <f aca="false">IF(AND('Raw Orders'!C1495="Product",'Raw Orders'!K1495="Fulfilled"),'Raw Orders'!E1495,0)</f>
        <v>0</v>
      </c>
      <c r="F1498" s="32" t="n">
        <f aca="false">IF('Raw Orders'!K1495="Refunded",'Raw Orders'!G1495,0)</f>
        <v>0</v>
      </c>
    </row>
    <row r="1499" customFormat="false" ht="15" hidden="false" customHeight="false" outlineLevel="0" collapsed="false">
      <c r="A1499" s="36" t="n">
        <f aca="false">IF('Raw Orders'!B1496="","",IF(MID('Raw Orders'!B1496,5,1)="-",DATE(VALUE(LEFT('Raw Orders'!B1496,4)),VALUE(MID('Raw Orders'!B1496,6,2)),VALUE(MID('Raw Orders'!B1496,9,2))),DATE(VALUE(MID('Raw Orders'!B1496,7,4)),VALUE(MID('Raw Orders'!B1496,4,2)),VALUE(LEFT('Raw Orders'!B1496,2)))))</f>
        <v>46227</v>
      </c>
      <c r="B1499" s="36" t="n">
        <f aca="false">IF(A1499="","",A1499-WEEKDAY(A1499,3))</f>
        <v>46223</v>
      </c>
      <c r="C1499" s="32" t="n">
        <f aca="false">IF(OR('Raw Orders'!C1496&lt;&gt;"Product",'Raw Orders'!K1496="Cancelled"),0,'Raw Orders'!G1496)</f>
        <v>89</v>
      </c>
      <c r="D1499" s="31" t="n">
        <f aca="false">IF(AND('Raw Orders'!C1496="Product",'Raw Orders'!K1496="Fulfilled",COUNTIFS('Raw Orders'!$A$2:$A1496,'Raw Orders'!A1496,'Raw Orders'!$C$2:$C1496,"Product",'Raw Orders'!$K$2:$K1496,"Fulfilled")=1),1,0)</f>
        <v>1</v>
      </c>
      <c r="E1499" s="31" t="n">
        <f aca="false">IF(AND('Raw Orders'!C1496="Product",'Raw Orders'!K1496="Fulfilled"),'Raw Orders'!E1496,0)</f>
        <v>1</v>
      </c>
      <c r="F1499" s="32" t="n">
        <f aca="false">IF('Raw Orders'!K1496="Refunded",'Raw Orders'!G1496,0)</f>
        <v>0</v>
      </c>
    </row>
    <row r="1500" customFormat="false" ht="15" hidden="false" customHeight="false" outlineLevel="0" collapsed="false">
      <c r="A1500" s="36" t="n">
        <f aca="false">IF('Raw Orders'!B1497="","",IF(MID('Raw Orders'!B1497,5,1)="-",DATE(VALUE(LEFT('Raw Orders'!B1497,4)),VALUE(MID('Raw Orders'!B1497,6,2)),VALUE(MID('Raw Orders'!B1497,9,2))),DATE(VALUE(MID('Raw Orders'!B1497,7,4)),VALUE(MID('Raw Orders'!B1497,4,2)),VALUE(LEFT('Raw Orders'!B1497,2)))))</f>
        <v>46227</v>
      </c>
      <c r="B1500" s="36" t="n">
        <f aca="false">IF(A1500="","",A1500-WEEKDAY(A1500,3))</f>
        <v>46223</v>
      </c>
      <c r="C1500" s="32" t="n">
        <f aca="false">IF(OR('Raw Orders'!C1497&lt;&gt;"Product",'Raw Orders'!K1497="Cancelled"),0,'Raw Orders'!G1497)</f>
        <v>33.15</v>
      </c>
      <c r="D1500" s="31" t="n">
        <f aca="false">IF(AND('Raw Orders'!C1497="Product",'Raw Orders'!K1497="Fulfilled",COUNTIFS('Raw Orders'!$A$2:$A1497,'Raw Orders'!A1497,'Raw Orders'!$C$2:$C1497,"Product",'Raw Orders'!$K$2:$K1497,"Fulfilled")=1),1,0)</f>
        <v>0</v>
      </c>
      <c r="E1500" s="31" t="n">
        <f aca="false">IF(AND('Raw Orders'!C1497="Product",'Raw Orders'!K1497="Fulfilled"),'Raw Orders'!E1497,0)</f>
        <v>1</v>
      </c>
      <c r="F1500" s="32" t="n">
        <f aca="false">IF('Raw Orders'!K1497="Refunded",'Raw Orders'!G1497,0)</f>
        <v>0</v>
      </c>
    </row>
    <row r="1501" customFormat="false" ht="15" hidden="false" customHeight="false" outlineLevel="0" collapsed="false">
      <c r="A1501" s="36" t="n">
        <f aca="false">IF('Raw Orders'!B1498="","",IF(MID('Raw Orders'!B1498,5,1)="-",DATE(VALUE(LEFT('Raw Orders'!B1498,4)),VALUE(MID('Raw Orders'!B1498,6,2)),VALUE(MID('Raw Orders'!B1498,9,2))),DATE(VALUE(MID('Raw Orders'!B1498,7,4)),VALUE(MID('Raw Orders'!B1498,4,2)),VALUE(LEFT('Raw Orders'!B1498,2)))))</f>
        <v>46227</v>
      </c>
      <c r="B1501" s="36" t="n">
        <f aca="false">IF(A1501="","",A1501-WEEKDAY(A1501,3))</f>
        <v>46223</v>
      </c>
      <c r="C1501" s="32" t="n">
        <f aca="false">IF(OR('Raw Orders'!C1498&lt;&gt;"Product",'Raw Orders'!K1498="Cancelled"),0,'Raw Orders'!G1498)</f>
        <v>39</v>
      </c>
      <c r="D1501" s="31" t="n">
        <f aca="false">IF(AND('Raw Orders'!C1498="Product",'Raw Orders'!K1498="Fulfilled",COUNTIFS('Raw Orders'!$A$2:$A1498,'Raw Orders'!A1498,'Raw Orders'!$C$2:$C1498,"Product",'Raw Orders'!$K$2:$K1498,"Fulfilled")=1),1,0)</f>
        <v>1</v>
      </c>
      <c r="E1501" s="31" t="n">
        <f aca="false">IF(AND('Raw Orders'!C1498="Product",'Raw Orders'!K1498="Fulfilled"),'Raw Orders'!E1498,0)</f>
        <v>1</v>
      </c>
      <c r="F1501" s="32" t="n">
        <f aca="false">IF('Raw Orders'!K1498="Refunded",'Raw Orders'!G1498,0)</f>
        <v>0</v>
      </c>
    </row>
    <row r="1502" customFormat="false" ht="15" hidden="false" customHeight="false" outlineLevel="0" collapsed="false">
      <c r="A1502" s="36" t="n">
        <f aca="false">IF('Raw Orders'!B1499="","",IF(MID('Raw Orders'!B1499,5,1)="-",DATE(VALUE(LEFT('Raw Orders'!B1499,4)),VALUE(MID('Raw Orders'!B1499,6,2)),VALUE(MID('Raw Orders'!B1499,9,2))),DATE(VALUE(MID('Raw Orders'!B1499,7,4)),VALUE(MID('Raw Orders'!B1499,4,2)),VALUE(LEFT('Raw Orders'!B1499,2)))))</f>
        <v>46227</v>
      </c>
      <c r="B1502" s="36" t="n">
        <f aca="false">IF(A1502="","",A1502-WEEKDAY(A1502,3))</f>
        <v>46223</v>
      </c>
      <c r="C1502" s="32" t="n">
        <f aca="false">IF(OR('Raw Orders'!C1499&lt;&gt;"Product",'Raw Orders'!K1499="Cancelled"),0,'Raw Orders'!G1499)</f>
        <v>62.1</v>
      </c>
      <c r="D1502" s="31" t="n">
        <f aca="false">IF(AND('Raw Orders'!C1499="Product",'Raw Orders'!K1499="Fulfilled",COUNTIFS('Raw Orders'!$A$2:$A1499,'Raw Orders'!A1499,'Raw Orders'!$C$2:$C1499,"Product",'Raw Orders'!$K$2:$K1499,"Fulfilled")=1),1,0)</f>
        <v>0</v>
      </c>
      <c r="E1502" s="31" t="n">
        <f aca="false">IF(AND('Raw Orders'!C1499="Product",'Raw Orders'!K1499="Fulfilled"),'Raw Orders'!E1499,0)</f>
        <v>1</v>
      </c>
      <c r="F1502" s="32" t="n">
        <f aca="false">IF('Raw Orders'!K1499="Refunded",'Raw Orders'!G1499,0)</f>
        <v>0</v>
      </c>
    </row>
    <row r="1503" customFormat="false" ht="15" hidden="false" customHeight="false" outlineLevel="0" collapsed="false">
      <c r="A1503" s="36" t="n">
        <f aca="false">IF('Raw Orders'!B1500="","",IF(MID('Raw Orders'!B1500,5,1)="-",DATE(VALUE(LEFT('Raw Orders'!B1500,4)),VALUE(MID('Raw Orders'!B1500,6,2)),VALUE(MID('Raw Orders'!B1500,9,2))),DATE(VALUE(MID('Raw Orders'!B1500,7,4)),VALUE(MID('Raw Orders'!B1500,4,2)),VALUE(LEFT('Raw Orders'!B1500,2)))))</f>
        <v>46227</v>
      </c>
      <c r="B1503" s="36" t="n">
        <f aca="false">IF(A1503="","",A1503-WEEKDAY(A1503,3))</f>
        <v>46223</v>
      </c>
      <c r="C1503" s="32" t="n">
        <f aca="false">IF(OR('Raw Orders'!C1500&lt;&gt;"Product",'Raw Orders'!K1500="Cancelled"),0,'Raw Orders'!G1500)</f>
        <v>75</v>
      </c>
      <c r="D1503" s="31" t="n">
        <f aca="false">IF(AND('Raw Orders'!C1500="Product",'Raw Orders'!K1500="Fulfilled",COUNTIFS('Raw Orders'!$A$2:$A1500,'Raw Orders'!A1500,'Raw Orders'!$C$2:$C1500,"Product",'Raw Orders'!$K$2:$K1500,"Fulfilled")=1),1,0)</f>
        <v>1</v>
      </c>
      <c r="E1503" s="31" t="n">
        <f aca="false">IF(AND('Raw Orders'!C1500="Product",'Raw Orders'!K1500="Fulfilled"),'Raw Orders'!E1500,0)</f>
        <v>1</v>
      </c>
      <c r="F1503" s="32" t="n">
        <f aca="false">IF('Raw Orders'!K1500="Refunded",'Raw Orders'!G1500,0)</f>
        <v>0</v>
      </c>
    </row>
    <row r="1504" customFormat="false" ht="15" hidden="false" customHeight="false" outlineLevel="0" collapsed="false">
      <c r="A1504" s="36" t="n">
        <f aca="false">IF('Raw Orders'!B1501="","",IF(MID('Raw Orders'!B1501,5,1)="-",DATE(VALUE(LEFT('Raw Orders'!B1501,4)),VALUE(MID('Raw Orders'!B1501,6,2)),VALUE(MID('Raw Orders'!B1501,9,2))),DATE(VALUE(MID('Raw Orders'!B1501,7,4)),VALUE(MID('Raw Orders'!B1501,4,2)),VALUE(LEFT('Raw Orders'!B1501,2)))))</f>
        <v>46227</v>
      </c>
      <c r="B1504" s="36" t="n">
        <f aca="false">IF(A1504="","",A1504-WEEKDAY(A1504,3))</f>
        <v>46223</v>
      </c>
      <c r="C1504" s="32" t="n">
        <f aca="false">IF(OR('Raw Orders'!C1501&lt;&gt;"Product",'Raw Orders'!K1501="Cancelled"),0,'Raw Orders'!G1501)</f>
        <v>0</v>
      </c>
      <c r="D1504" s="31" t="n">
        <f aca="false">IF(AND('Raw Orders'!C1501="Product",'Raw Orders'!K1501="Fulfilled",COUNTIFS('Raw Orders'!$A$2:$A1501,'Raw Orders'!A1501,'Raw Orders'!$C$2:$C1501,"Product",'Raw Orders'!$K$2:$K1501,"Fulfilled")=1),1,0)</f>
        <v>0</v>
      </c>
      <c r="E1504" s="31" t="n">
        <f aca="false">IF(AND('Raw Orders'!C1501="Product",'Raw Orders'!K1501="Fulfilled"),'Raw Orders'!E1501,0)</f>
        <v>0</v>
      </c>
      <c r="F1504" s="32" t="n">
        <f aca="false">IF('Raw Orders'!K1501="Refunded",'Raw Orders'!G1501,0)</f>
        <v>0</v>
      </c>
    </row>
    <row r="1505" customFormat="false" ht="15" hidden="false" customHeight="false" outlineLevel="0" collapsed="false">
      <c r="A1505" s="36" t="n">
        <f aca="false">IF('Raw Orders'!B1502="","",IF(MID('Raw Orders'!B1502,5,1)="-",DATE(VALUE(LEFT('Raw Orders'!B1502,4)),VALUE(MID('Raw Orders'!B1502,6,2)),VALUE(MID('Raw Orders'!B1502,9,2))),DATE(VALUE(MID('Raw Orders'!B1502,7,4)),VALUE(MID('Raw Orders'!B1502,4,2)),VALUE(LEFT('Raw Orders'!B1502,2)))))</f>
        <v>46227</v>
      </c>
      <c r="B1505" s="36" t="n">
        <f aca="false">IF(A1505="","",A1505-WEEKDAY(A1505,3))</f>
        <v>46223</v>
      </c>
      <c r="C1505" s="32" t="n">
        <f aca="false">IF(OR('Raw Orders'!C1502&lt;&gt;"Product",'Raw Orders'!K1502="Cancelled"),0,'Raw Orders'!G1502)</f>
        <v>22</v>
      </c>
      <c r="D1505" s="31" t="n">
        <f aca="false">IF(AND('Raw Orders'!C1502="Product",'Raw Orders'!K1502="Fulfilled",COUNTIFS('Raw Orders'!$A$2:$A1502,'Raw Orders'!A1502,'Raw Orders'!$C$2:$C1502,"Product",'Raw Orders'!$K$2:$K1502,"Fulfilled")=1),1,0)</f>
        <v>0</v>
      </c>
      <c r="E1505" s="31" t="n">
        <f aca="false">IF(AND('Raw Orders'!C1502="Product",'Raw Orders'!K1502="Fulfilled"),'Raw Orders'!E1502,0)</f>
        <v>1</v>
      </c>
      <c r="F1505" s="32" t="n">
        <f aca="false">IF('Raw Orders'!K1502="Refunded",'Raw Orders'!G1502,0)</f>
        <v>0</v>
      </c>
    </row>
    <row r="1506" customFormat="false" ht="15" hidden="false" customHeight="false" outlineLevel="0" collapsed="false">
      <c r="A1506" s="36" t="n">
        <f aca="false">IF('Raw Orders'!B1503="","",IF(MID('Raw Orders'!B1503,5,1)="-",DATE(VALUE(LEFT('Raw Orders'!B1503,4)),VALUE(MID('Raw Orders'!B1503,6,2)),VALUE(MID('Raw Orders'!B1503,9,2))),DATE(VALUE(MID('Raw Orders'!B1503,7,4)),VALUE(MID('Raw Orders'!B1503,4,2)),VALUE(LEFT('Raw Orders'!B1503,2)))))</f>
        <v>46227</v>
      </c>
      <c r="B1506" s="36" t="n">
        <f aca="false">IF(A1506="","",A1506-WEEKDAY(A1506,3))</f>
        <v>46223</v>
      </c>
      <c r="C1506" s="32" t="n">
        <f aca="false">IF(OR('Raw Orders'!C1503&lt;&gt;"Product",'Raw Orders'!K1503="Cancelled"),0,'Raw Orders'!G1503)</f>
        <v>26</v>
      </c>
      <c r="D1506" s="31" t="n">
        <f aca="false">IF(AND('Raw Orders'!C1503="Product",'Raw Orders'!K1503="Fulfilled",COUNTIFS('Raw Orders'!$A$2:$A1503,'Raw Orders'!A1503,'Raw Orders'!$C$2:$C1503,"Product",'Raw Orders'!$K$2:$K1503,"Fulfilled")=1),1,0)</f>
        <v>1</v>
      </c>
      <c r="E1506" s="31" t="n">
        <f aca="false">IF(AND('Raw Orders'!C1503="Product",'Raw Orders'!K1503="Fulfilled"),'Raw Orders'!E1503,0)</f>
        <v>1</v>
      </c>
      <c r="F1506" s="32" t="n">
        <f aca="false">IF('Raw Orders'!K1503="Refunded",'Raw Orders'!G1503,0)</f>
        <v>0</v>
      </c>
    </row>
    <row r="1507" customFormat="false" ht="15" hidden="false" customHeight="false" outlineLevel="0" collapsed="false">
      <c r="A1507" s="36" t="n">
        <f aca="false">IF('Raw Orders'!B1504="","",IF(MID('Raw Orders'!B1504,5,1)="-",DATE(VALUE(LEFT('Raw Orders'!B1504,4)),VALUE(MID('Raw Orders'!B1504,6,2)),VALUE(MID('Raw Orders'!B1504,9,2))),DATE(VALUE(MID('Raw Orders'!B1504,7,4)),VALUE(MID('Raw Orders'!B1504,4,2)),VALUE(LEFT('Raw Orders'!B1504,2)))))</f>
        <v>46227</v>
      </c>
      <c r="B1507" s="36" t="n">
        <f aca="false">IF(A1507="","",A1507-WEEKDAY(A1507,3))</f>
        <v>46223</v>
      </c>
      <c r="C1507" s="32" t="n">
        <f aca="false">IF(OR('Raw Orders'!C1504&lt;&gt;"Product",'Raw Orders'!K1504="Cancelled"),0,'Raw Orders'!G1504)</f>
        <v>0</v>
      </c>
      <c r="D1507" s="31" t="n">
        <f aca="false">IF(AND('Raw Orders'!C1504="Product",'Raw Orders'!K1504="Fulfilled",COUNTIFS('Raw Orders'!$A$2:$A1504,'Raw Orders'!A1504,'Raw Orders'!$C$2:$C1504,"Product",'Raw Orders'!$K$2:$K1504,"Fulfilled")=1),1,0)</f>
        <v>0</v>
      </c>
      <c r="E1507" s="31" t="n">
        <f aca="false">IF(AND('Raw Orders'!C1504="Product",'Raw Orders'!K1504="Fulfilled"),'Raw Orders'!E1504,0)</f>
        <v>0</v>
      </c>
      <c r="F1507" s="32" t="n">
        <f aca="false">IF('Raw Orders'!K1504="Refunded",'Raw Orders'!G1504,0)</f>
        <v>0</v>
      </c>
    </row>
    <row r="1508" customFormat="false" ht="15" hidden="false" customHeight="false" outlineLevel="0" collapsed="false">
      <c r="A1508" s="36" t="n">
        <f aca="false">IF('Raw Orders'!B1505="","",IF(MID('Raw Orders'!B1505,5,1)="-",DATE(VALUE(LEFT('Raw Orders'!B1505,4)),VALUE(MID('Raw Orders'!B1505,6,2)),VALUE(MID('Raw Orders'!B1505,9,2))),DATE(VALUE(MID('Raw Orders'!B1505,7,4)),VALUE(MID('Raw Orders'!B1505,4,2)),VALUE(LEFT('Raw Orders'!B1505,2)))))</f>
        <v>46227</v>
      </c>
      <c r="B1508" s="36" t="n">
        <f aca="false">IF(A1508="","",A1508-WEEKDAY(A1508,3))</f>
        <v>46223</v>
      </c>
      <c r="C1508" s="32" t="n">
        <f aca="false">IF(OR('Raw Orders'!C1505&lt;&gt;"Product",'Raw Orders'!K1505="Cancelled"),0,'Raw Orders'!G1505)</f>
        <v>0</v>
      </c>
      <c r="D1508" s="31" t="n">
        <f aca="false">IF(AND('Raw Orders'!C1505="Product",'Raw Orders'!K1505="Fulfilled",COUNTIFS('Raw Orders'!$A$2:$A1505,'Raw Orders'!A1505,'Raw Orders'!$C$2:$C1505,"Product",'Raw Orders'!$K$2:$K1505,"Fulfilled")=1),1,0)</f>
        <v>0</v>
      </c>
      <c r="E1508" s="31" t="n">
        <f aca="false">IF(AND('Raw Orders'!C1505="Product",'Raw Orders'!K1505="Fulfilled"),'Raw Orders'!E1505,0)</f>
        <v>0</v>
      </c>
      <c r="F1508" s="32" t="n">
        <f aca="false">IF('Raw Orders'!K1505="Refunded",'Raw Orders'!G1505,0)</f>
        <v>0</v>
      </c>
    </row>
    <row r="1509" customFormat="false" ht="15" hidden="false" customHeight="false" outlineLevel="0" collapsed="false">
      <c r="A1509" s="36" t="n">
        <f aca="false">IF('Raw Orders'!B1506="","",IF(MID('Raw Orders'!B1506,5,1)="-",DATE(VALUE(LEFT('Raw Orders'!B1506,4)),VALUE(MID('Raw Orders'!B1506,6,2)),VALUE(MID('Raw Orders'!B1506,9,2))),DATE(VALUE(MID('Raw Orders'!B1506,7,4)),VALUE(MID('Raw Orders'!B1506,4,2)),VALUE(LEFT('Raw Orders'!B1506,2)))))</f>
        <v>46227</v>
      </c>
      <c r="B1509" s="36" t="n">
        <f aca="false">IF(A1509="","",A1509-WEEKDAY(A1509,3))</f>
        <v>46223</v>
      </c>
      <c r="C1509" s="32" t="n">
        <f aca="false">IF(OR('Raw Orders'!C1506&lt;&gt;"Product",'Raw Orders'!K1506="Cancelled"),0,'Raw Orders'!G1506)</f>
        <v>25.6</v>
      </c>
      <c r="D1509" s="31" t="n">
        <f aca="false">IF(AND('Raw Orders'!C1506="Product",'Raw Orders'!K1506="Fulfilled",COUNTIFS('Raw Orders'!$A$2:$A1506,'Raw Orders'!A1506,'Raw Orders'!$C$2:$C1506,"Product",'Raw Orders'!$K$2:$K1506,"Fulfilled")=1),1,0)</f>
        <v>1</v>
      </c>
      <c r="E1509" s="31" t="n">
        <f aca="false">IF(AND('Raw Orders'!C1506="Product",'Raw Orders'!K1506="Fulfilled"),'Raw Orders'!E1506,0)</f>
        <v>1</v>
      </c>
      <c r="F1509" s="32" t="n">
        <f aca="false">IF('Raw Orders'!K1506="Refunded",'Raw Orders'!G1506,0)</f>
        <v>0</v>
      </c>
    </row>
    <row r="1510" customFormat="false" ht="15" hidden="false" customHeight="false" outlineLevel="0" collapsed="false">
      <c r="A1510" s="36" t="n">
        <f aca="false">IF('Raw Orders'!B1507="","",IF(MID('Raw Orders'!B1507,5,1)="-",DATE(VALUE(LEFT('Raw Orders'!B1507,4)),VALUE(MID('Raw Orders'!B1507,6,2)),VALUE(MID('Raw Orders'!B1507,9,2))),DATE(VALUE(MID('Raw Orders'!B1507,7,4)),VALUE(MID('Raw Orders'!B1507,4,2)),VALUE(LEFT('Raw Orders'!B1507,2)))))</f>
        <v>46227</v>
      </c>
      <c r="B1510" s="36" t="n">
        <f aca="false">IF(A1510="","",A1510-WEEKDAY(A1510,3))</f>
        <v>46223</v>
      </c>
      <c r="C1510" s="32" t="n">
        <f aca="false">IF(OR('Raw Orders'!C1507&lt;&gt;"Product",'Raw Orders'!K1507="Cancelled"),0,'Raw Orders'!G1507)</f>
        <v>0</v>
      </c>
      <c r="D1510" s="31" t="n">
        <f aca="false">IF(AND('Raw Orders'!C1507="Product",'Raw Orders'!K1507="Fulfilled",COUNTIFS('Raw Orders'!$A$2:$A1507,'Raw Orders'!A1507,'Raw Orders'!$C$2:$C1507,"Product",'Raw Orders'!$K$2:$K1507,"Fulfilled")=1),1,0)</f>
        <v>0</v>
      </c>
      <c r="E1510" s="31" t="n">
        <f aca="false">IF(AND('Raw Orders'!C1507="Product",'Raw Orders'!K1507="Fulfilled"),'Raw Orders'!E1507,0)</f>
        <v>0</v>
      </c>
      <c r="F1510" s="32" t="n">
        <f aca="false">IF('Raw Orders'!K1507="Refunded",'Raw Orders'!G1507,0)</f>
        <v>0</v>
      </c>
    </row>
    <row r="1511" customFormat="false" ht="15" hidden="false" customHeight="false" outlineLevel="0" collapsed="false">
      <c r="A1511" s="36" t="n">
        <f aca="false">IF('Raw Orders'!B1508="","",IF(MID('Raw Orders'!B1508,5,1)="-",DATE(VALUE(LEFT('Raw Orders'!B1508,4)),VALUE(MID('Raw Orders'!B1508,6,2)),VALUE(MID('Raw Orders'!B1508,9,2))),DATE(VALUE(MID('Raw Orders'!B1508,7,4)),VALUE(MID('Raw Orders'!B1508,4,2)),VALUE(LEFT('Raw Orders'!B1508,2)))))</f>
        <v>46227</v>
      </c>
      <c r="B1511" s="36" t="n">
        <f aca="false">IF(A1511="","",A1511-WEEKDAY(A1511,3))</f>
        <v>46223</v>
      </c>
      <c r="C1511" s="32" t="n">
        <f aca="false">IF(OR('Raw Orders'!C1508&lt;&gt;"Product",'Raw Orders'!K1508="Cancelled"),0,'Raw Orders'!G1508)</f>
        <v>35</v>
      </c>
      <c r="D1511" s="31" t="n">
        <f aca="false">IF(AND('Raw Orders'!C1508="Product",'Raw Orders'!K1508="Fulfilled",COUNTIFS('Raw Orders'!$A$2:$A1508,'Raw Orders'!A1508,'Raw Orders'!$C$2:$C1508,"Product",'Raw Orders'!$K$2:$K1508,"Fulfilled")=1),1,0)</f>
        <v>1</v>
      </c>
      <c r="E1511" s="31" t="n">
        <f aca="false">IF(AND('Raw Orders'!C1508="Product",'Raw Orders'!K1508="Fulfilled"),'Raw Orders'!E1508,0)</f>
        <v>1</v>
      </c>
      <c r="F1511" s="32" t="n">
        <f aca="false">IF('Raw Orders'!K1508="Refunded",'Raw Orders'!G1508,0)</f>
        <v>0</v>
      </c>
    </row>
    <row r="1512" customFormat="false" ht="15" hidden="false" customHeight="false" outlineLevel="0" collapsed="false">
      <c r="A1512" s="36" t="n">
        <f aca="false">IF('Raw Orders'!B1509="","",IF(MID('Raw Orders'!B1509,5,1)="-",DATE(VALUE(LEFT('Raw Orders'!B1509,4)),VALUE(MID('Raw Orders'!B1509,6,2)),VALUE(MID('Raw Orders'!B1509,9,2))),DATE(VALUE(MID('Raw Orders'!B1509,7,4)),VALUE(MID('Raw Orders'!B1509,4,2)),VALUE(LEFT('Raw Orders'!B1509,2)))))</f>
        <v>46227</v>
      </c>
      <c r="B1512" s="36" t="n">
        <f aca="false">IF(A1512="","",A1512-WEEKDAY(A1512,3))</f>
        <v>46223</v>
      </c>
      <c r="C1512" s="32" t="n">
        <f aca="false">IF(OR('Raw Orders'!C1509&lt;&gt;"Product",'Raw Orders'!K1509="Cancelled"),0,'Raw Orders'!G1509)</f>
        <v>-39</v>
      </c>
      <c r="D1512" s="31" t="n">
        <f aca="false">IF(AND('Raw Orders'!C1509="Product",'Raw Orders'!K1509="Fulfilled",COUNTIFS('Raw Orders'!$A$2:$A1509,'Raw Orders'!A1509,'Raw Orders'!$C$2:$C1509,"Product",'Raw Orders'!$K$2:$K1509,"Fulfilled")=1),1,0)</f>
        <v>0</v>
      </c>
      <c r="E1512" s="31" t="n">
        <f aca="false">IF(AND('Raw Orders'!C1509="Product",'Raw Orders'!K1509="Fulfilled"),'Raw Orders'!E1509,0)</f>
        <v>0</v>
      </c>
      <c r="F1512" s="32" t="n">
        <f aca="false">IF('Raw Orders'!K1509="Refunded",'Raw Orders'!G1509,0)</f>
        <v>-39</v>
      </c>
    </row>
    <row r="1513" customFormat="false" ht="15" hidden="false" customHeight="false" outlineLevel="0" collapsed="false">
      <c r="A1513" s="36" t="n">
        <f aca="false">IF('Raw Orders'!B1510="","",IF(MID('Raw Orders'!B1510,5,1)="-",DATE(VALUE(LEFT('Raw Orders'!B1510,4)),VALUE(MID('Raw Orders'!B1510,6,2)),VALUE(MID('Raw Orders'!B1510,9,2))),DATE(VALUE(MID('Raw Orders'!B1510,7,4)),VALUE(MID('Raw Orders'!B1510,4,2)),VALUE(LEFT('Raw Orders'!B1510,2)))))</f>
        <v>46227</v>
      </c>
      <c r="B1513" s="36" t="n">
        <f aca="false">IF(A1513="","",A1513-WEEKDAY(A1513,3))</f>
        <v>46223</v>
      </c>
      <c r="C1513" s="32" t="n">
        <f aca="false">IF(OR('Raw Orders'!C1510&lt;&gt;"Product",'Raw Orders'!K1510="Cancelled"),0,'Raw Orders'!G1510)</f>
        <v>0</v>
      </c>
      <c r="D1513" s="31" t="n">
        <f aca="false">IF(AND('Raw Orders'!C1510="Product",'Raw Orders'!K1510="Fulfilled",COUNTIFS('Raw Orders'!$A$2:$A1510,'Raw Orders'!A1510,'Raw Orders'!$C$2:$C1510,"Product",'Raw Orders'!$K$2:$K1510,"Fulfilled")=1),1,0)</f>
        <v>0</v>
      </c>
      <c r="E1513" s="31" t="n">
        <f aca="false">IF(AND('Raw Orders'!C1510="Product",'Raw Orders'!K1510="Fulfilled"),'Raw Orders'!E1510,0)</f>
        <v>0</v>
      </c>
      <c r="F1513" s="32" t="n">
        <f aca="false">IF('Raw Orders'!K1510="Refunded",'Raw Orders'!G1510,0)</f>
        <v>0</v>
      </c>
    </row>
    <row r="1514" customFormat="false" ht="15" hidden="false" customHeight="false" outlineLevel="0" collapsed="false">
      <c r="A1514" s="36" t="n">
        <f aca="false">IF('Raw Orders'!B1511="","",IF(MID('Raw Orders'!B1511,5,1)="-",DATE(VALUE(LEFT('Raw Orders'!B1511,4)),VALUE(MID('Raw Orders'!B1511,6,2)),VALUE(MID('Raw Orders'!B1511,9,2))),DATE(VALUE(MID('Raw Orders'!B1511,7,4)),VALUE(MID('Raw Orders'!B1511,4,2)),VALUE(LEFT('Raw Orders'!B1511,2)))))</f>
        <v>46227</v>
      </c>
      <c r="B1514" s="36" t="n">
        <f aca="false">IF(A1514="","",A1514-WEEKDAY(A1514,3))</f>
        <v>46223</v>
      </c>
      <c r="C1514" s="32" t="n">
        <f aca="false">IF(OR('Raw Orders'!C1511&lt;&gt;"Product",'Raw Orders'!K1511="Cancelled"),0,'Raw Orders'!G1511)</f>
        <v>63.75</v>
      </c>
      <c r="D1514" s="31" t="n">
        <f aca="false">IF(AND('Raw Orders'!C1511="Product",'Raw Orders'!K1511="Fulfilled",COUNTIFS('Raw Orders'!$A$2:$A1511,'Raw Orders'!A1511,'Raw Orders'!$C$2:$C1511,"Product",'Raw Orders'!$K$2:$K1511,"Fulfilled")=1),1,0)</f>
        <v>1</v>
      </c>
      <c r="E1514" s="31" t="n">
        <f aca="false">IF(AND('Raw Orders'!C1511="Product",'Raw Orders'!K1511="Fulfilled"),'Raw Orders'!E1511,0)</f>
        <v>1</v>
      </c>
      <c r="F1514" s="32" t="n">
        <f aca="false">IF('Raw Orders'!K1511="Refunded",'Raw Orders'!G1511,0)</f>
        <v>0</v>
      </c>
    </row>
    <row r="1515" customFormat="false" ht="15" hidden="false" customHeight="false" outlineLevel="0" collapsed="false">
      <c r="A1515" s="36" t="n">
        <f aca="false">IF('Raw Orders'!B1512="","",IF(MID('Raw Orders'!B1512,5,1)="-",DATE(VALUE(LEFT('Raw Orders'!B1512,4)),VALUE(MID('Raw Orders'!B1512,6,2)),VALUE(MID('Raw Orders'!B1512,9,2))),DATE(VALUE(MID('Raw Orders'!B1512,7,4)),VALUE(MID('Raw Orders'!B1512,4,2)),VALUE(LEFT('Raw Orders'!B1512,2)))))</f>
        <v>46227</v>
      </c>
      <c r="B1515" s="36" t="n">
        <f aca="false">IF(A1515="","",A1515-WEEKDAY(A1515,3))</f>
        <v>46223</v>
      </c>
      <c r="C1515" s="32" t="n">
        <f aca="false">IF(OR('Raw Orders'!C1512&lt;&gt;"Product",'Raw Orders'!K1512="Cancelled"),0,'Raw Orders'!G1512)</f>
        <v>14</v>
      </c>
      <c r="D1515" s="31" t="n">
        <f aca="false">IF(AND('Raw Orders'!C1512="Product",'Raw Orders'!K1512="Fulfilled",COUNTIFS('Raw Orders'!$A$2:$A1512,'Raw Orders'!A1512,'Raw Orders'!$C$2:$C1512,"Product",'Raw Orders'!$K$2:$K1512,"Fulfilled")=1),1,0)</f>
        <v>0</v>
      </c>
      <c r="E1515" s="31" t="n">
        <f aca="false">IF(AND('Raw Orders'!C1512="Product",'Raw Orders'!K1512="Fulfilled"),'Raw Orders'!E1512,0)</f>
        <v>1</v>
      </c>
      <c r="F1515" s="32" t="n">
        <f aca="false">IF('Raw Orders'!K1512="Refunded",'Raw Orders'!G1512,0)</f>
        <v>0</v>
      </c>
    </row>
    <row r="1516" customFormat="false" ht="15" hidden="false" customHeight="false" outlineLevel="0" collapsed="false">
      <c r="A1516" s="36" t="n">
        <f aca="false">IF('Raw Orders'!B1513="","",IF(MID('Raw Orders'!B1513,5,1)="-",DATE(VALUE(LEFT('Raw Orders'!B1513,4)),VALUE(MID('Raw Orders'!B1513,6,2)),VALUE(MID('Raw Orders'!B1513,9,2))),DATE(VALUE(MID('Raw Orders'!B1513,7,4)),VALUE(MID('Raw Orders'!B1513,4,2)),VALUE(LEFT('Raw Orders'!B1513,2)))))</f>
        <v>46228</v>
      </c>
      <c r="B1516" s="36" t="n">
        <f aca="false">IF(A1516="","",A1516-WEEKDAY(A1516,3))</f>
        <v>46223</v>
      </c>
      <c r="C1516" s="32" t="n">
        <f aca="false">IF(OR('Raw Orders'!C1513&lt;&gt;"Product",'Raw Orders'!K1513="Cancelled"),0,'Raw Orders'!G1513)</f>
        <v>0</v>
      </c>
      <c r="D1516" s="31" t="n">
        <f aca="false">IF(AND('Raw Orders'!C1513="Product",'Raw Orders'!K1513="Fulfilled",COUNTIFS('Raw Orders'!$A$2:$A1513,'Raw Orders'!A1513,'Raw Orders'!$C$2:$C1513,"Product",'Raw Orders'!$K$2:$K1513,"Fulfilled")=1),1,0)</f>
        <v>0</v>
      </c>
      <c r="E1516" s="31" t="n">
        <f aca="false">IF(AND('Raw Orders'!C1513="Product",'Raw Orders'!K1513="Fulfilled"),'Raw Orders'!E1513,0)</f>
        <v>0</v>
      </c>
      <c r="F1516" s="32" t="n">
        <f aca="false">IF('Raw Orders'!K1513="Refunded",'Raw Orders'!G1513,0)</f>
        <v>0</v>
      </c>
    </row>
    <row r="1517" customFormat="false" ht="15" hidden="false" customHeight="false" outlineLevel="0" collapsed="false">
      <c r="A1517" s="36" t="n">
        <f aca="false">IF('Raw Orders'!B1514="","",IF(MID('Raw Orders'!B1514,5,1)="-",DATE(VALUE(LEFT('Raw Orders'!B1514,4)),VALUE(MID('Raw Orders'!B1514,6,2)),VALUE(MID('Raw Orders'!B1514,9,2))),DATE(VALUE(MID('Raw Orders'!B1514,7,4)),VALUE(MID('Raw Orders'!B1514,4,2)),VALUE(LEFT('Raw Orders'!B1514,2)))))</f>
        <v>46228</v>
      </c>
      <c r="B1517" s="36" t="n">
        <f aca="false">IF(A1517="","",A1517-WEEKDAY(A1517,3))</f>
        <v>46223</v>
      </c>
      <c r="C1517" s="32" t="n">
        <f aca="false">IF(OR('Raw Orders'!C1514&lt;&gt;"Product",'Raw Orders'!K1514="Cancelled"),0,'Raw Orders'!G1514)</f>
        <v>22</v>
      </c>
      <c r="D1517" s="31" t="n">
        <f aca="false">IF(AND('Raw Orders'!C1514="Product",'Raw Orders'!K1514="Fulfilled",COUNTIFS('Raw Orders'!$A$2:$A1514,'Raw Orders'!A1514,'Raw Orders'!$C$2:$C1514,"Product",'Raw Orders'!$K$2:$K1514,"Fulfilled")=1),1,0)</f>
        <v>1</v>
      </c>
      <c r="E1517" s="31" t="n">
        <f aca="false">IF(AND('Raw Orders'!C1514="Product",'Raw Orders'!K1514="Fulfilled"),'Raw Orders'!E1514,0)</f>
        <v>1</v>
      </c>
      <c r="F1517" s="32" t="n">
        <f aca="false">IF('Raw Orders'!K1514="Refunded",'Raw Orders'!G1514,0)</f>
        <v>0</v>
      </c>
    </row>
    <row r="1518" customFormat="false" ht="15" hidden="false" customHeight="false" outlineLevel="0" collapsed="false">
      <c r="A1518" s="36" t="n">
        <f aca="false">IF('Raw Orders'!B1515="","",IF(MID('Raw Orders'!B1515,5,1)="-",DATE(VALUE(LEFT('Raw Orders'!B1515,4)),VALUE(MID('Raw Orders'!B1515,6,2)),VALUE(MID('Raw Orders'!B1515,9,2))),DATE(VALUE(MID('Raw Orders'!B1515,7,4)),VALUE(MID('Raw Orders'!B1515,4,2)),VALUE(LEFT('Raw Orders'!B1515,2)))))</f>
        <v>46228</v>
      </c>
      <c r="B1518" s="36" t="n">
        <f aca="false">IF(A1518="","",A1518-WEEKDAY(A1518,3))</f>
        <v>46223</v>
      </c>
      <c r="C1518" s="32" t="n">
        <f aca="false">IF(OR('Raw Orders'!C1515&lt;&gt;"Product",'Raw Orders'!K1515="Cancelled"),0,'Raw Orders'!G1515)</f>
        <v>178</v>
      </c>
      <c r="D1518" s="31" t="n">
        <f aca="false">IF(AND('Raw Orders'!C1515="Product",'Raw Orders'!K1515="Fulfilled",COUNTIFS('Raw Orders'!$A$2:$A1515,'Raw Orders'!A1515,'Raw Orders'!$C$2:$C1515,"Product",'Raw Orders'!$K$2:$K1515,"Fulfilled")=1),1,0)</f>
        <v>0</v>
      </c>
      <c r="E1518" s="31" t="n">
        <f aca="false">IF(AND('Raw Orders'!C1515="Product",'Raw Orders'!K1515="Fulfilled"),'Raw Orders'!E1515,0)</f>
        <v>2</v>
      </c>
      <c r="F1518" s="32" t="n">
        <f aca="false">IF('Raw Orders'!K1515="Refunded",'Raw Orders'!G1515,0)</f>
        <v>0</v>
      </c>
    </row>
    <row r="1519" customFormat="false" ht="15" hidden="false" customHeight="false" outlineLevel="0" collapsed="false">
      <c r="A1519" s="36" t="n">
        <f aca="false">IF('Raw Orders'!B1516="","",IF(MID('Raw Orders'!B1516,5,1)="-",DATE(VALUE(LEFT('Raw Orders'!B1516,4)),VALUE(MID('Raw Orders'!B1516,6,2)),VALUE(MID('Raw Orders'!B1516,9,2))),DATE(VALUE(MID('Raw Orders'!B1516,7,4)),VALUE(MID('Raw Orders'!B1516,4,2)),VALUE(LEFT('Raw Orders'!B1516,2)))))</f>
        <v>46228</v>
      </c>
      <c r="B1519" s="36" t="n">
        <f aca="false">IF(A1519="","",A1519-WEEKDAY(A1519,3))</f>
        <v>46223</v>
      </c>
      <c r="C1519" s="32" t="n">
        <f aca="false">IF(OR('Raw Orders'!C1516&lt;&gt;"Product",'Raw Orders'!K1516="Cancelled"),0,'Raw Orders'!G1516)</f>
        <v>0</v>
      </c>
      <c r="D1519" s="31" t="n">
        <f aca="false">IF(AND('Raw Orders'!C1516="Product",'Raw Orders'!K1516="Fulfilled",COUNTIFS('Raw Orders'!$A$2:$A1516,'Raw Orders'!A1516,'Raw Orders'!$C$2:$C1516,"Product",'Raw Orders'!$K$2:$K1516,"Fulfilled")=1),1,0)</f>
        <v>0</v>
      </c>
      <c r="E1519" s="31" t="n">
        <f aca="false">IF(AND('Raw Orders'!C1516="Product",'Raw Orders'!K1516="Fulfilled"),'Raw Orders'!E1516,0)</f>
        <v>0</v>
      </c>
      <c r="F1519" s="32" t="n">
        <f aca="false">IF('Raw Orders'!K1516="Refunded",'Raw Orders'!G1516,0)</f>
        <v>0</v>
      </c>
    </row>
    <row r="1520" customFormat="false" ht="15" hidden="false" customHeight="false" outlineLevel="0" collapsed="false">
      <c r="A1520" s="36" t="n">
        <f aca="false">IF('Raw Orders'!B1517="","",IF(MID('Raw Orders'!B1517,5,1)="-",DATE(VALUE(LEFT('Raw Orders'!B1517,4)),VALUE(MID('Raw Orders'!B1517,6,2)),VALUE(MID('Raw Orders'!B1517,9,2))),DATE(VALUE(MID('Raw Orders'!B1517,7,4)),VALUE(MID('Raw Orders'!B1517,4,2)),VALUE(LEFT('Raw Orders'!B1517,2)))))</f>
        <v>46228</v>
      </c>
      <c r="B1520" s="36" t="n">
        <f aca="false">IF(A1520="","",A1520-WEEKDAY(A1520,3))</f>
        <v>46223</v>
      </c>
      <c r="C1520" s="32" t="n">
        <f aca="false">IF(OR('Raw Orders'!C1517&lt;&gt;"Product",'Raw Orders'!K1517="Cancelled"),0,'Raw Orders'!G1517)</f>
        <v>35.1</v>
      </c>
      <c r="D1520" s="31" t="n">
        <f aca="false">IF(AND('Raw Orders'!C1517="Product",'Raw Orders'!K1517="Fulfilled",COUNTIFS('Raw Orders'!$A$2:$A1517,'Raw Orders'!A1517,'Raw Orders'!$C$2:$C1517,"Product",'Raw Orders'!$K$2:$K1517,"Fulfilled")=1),1,0)</f>
        <v>1</v>
      </c>
      <c r="E1520" s="31" t="n">
        <f aca="false">IF(AND('Raw Orders'!C1517="Product",'Raw Orders'!K1517="Fulfilled"),'Raw Orders'!E1517,0)</f>
        <v>1</v>
      </c>
      <c r="F1520" s="32" t="n">
        <f aca="false">IF('Raw Orders'!K1517="Refunded",'Raw Orders'!G1517,0)</f>
        <v>0</v>
      </c>
    </row>
    <row r="1521" customFormat="false" ht="15" hidden="false" customHeight="false" outlineLevel="0" collapsed="false">
      <c r="A1521" s="36" t="n">
        <f aca="false">IF('Raw Orders'!B1518="","",IF(MID('Raw Orders'!B1518,5,1)="-",DATE(VALUE(LEFT('Raw Orders'!B1518,4)),VALUE(MID('Raw Orders'!B1518,6,2)),VALUE(MID('Raw Orders'!B1518,9,2))),DATE(VALUE(MID('Raw Orders'!B1518,7,4)),VALUE(MID('Raw Orders'!B1518,4,2)),VALUE(LEFT('Raw Orders'!B1518,2)))))</f>
        <v>46228</v>
      </c>
      <c r="B1521" s="36" t="n">
        <f aca="false">IF(A1521="","",A1521-WEEKDAY(A1521,3))</f>
        <v>46223</v>
      </c>
      <c r="C1521" s="32" t="n">
        <f aca="false">IF(OR('Raw Orders'!C1518&lt;&gt;"Product",'Raw Orders'!K1518="Cancelled"),0,'Raw Orders'!G1518)</f>
        <v>22</v>
      </c>
      <c r="D1521" s="31" t="n">
        <f aca="false">IF(AND('Raw Orders'!C1518="Product",'Raw Orders'!K1518="Fulfilled",COUNTIFS('Raw Orders'!$A$2:$A1518,'Raw Orders'!A1518,'Raw Orders'!$C$2:$C1518,"Product",'Raw Orders'!$K$2:$K1518,"Fulfilled")=1),1,0)</f>
        <v>0</v>
      </c>
      <c r="E1521" s="31" t="n">
        <f aca="false">IF(AND('Raw Orders'!C1518="Product",'Raw Orders'!K1518="Fulfilled"),'Raw Orders'!E1518,0)</f>
        <v>1</v>
      </c>
      <c r="F1521" s="32" t="n">
        <f aca="false">IF('Raw Orders'!K1518="Refunded",'Raw Orders'!G1518,0)</f>
        <v>0</v>
      </c>
    </row>
    <row r="1522" customFormat="false" ht="15" hidden="false" customHeight="false" outlineLevel="0" collapsed="false">
      <c r="A1522" s="36" t="n">
        <f aca="false">IF('Raw Orders'!B1519="","",IF(MID('Raw Orders'!B1519,5,1)="-",DATE(VALUE(LEFT('Raw Orders'!B1519,4)),VALUE(MID('Raw Orders'!B1519,6,2)),VALUE(MID('Raw Orders'!B1519,9,2))),DATE(VALUE(MID('Raw Orders'!B1519,7,4)),VALUE(MID('Raw Orders'!B1519,4,2)),VALUE(LEFT('Raw Orders'!B1519,2)))))</f>
        <v>46228</v>
      </c>
      <c r="B1522" s="36" t="n">
        <f aca="false">IF(A1522="","",A1522-WEEKDAY(A1522,3))</f>
        <v>46223</v>
      </c>
      <c r="C1522" s="32" t="n">
        <f aca="false">IF(OR('Raw Orders'!C1519&lt;&gt;"Product",'Raw Orders'!K1519="Cancelled"),0,'Raw Orders'!G1519)</f>
        <v>138</v>
      </c>
      <c r="D1522" s="31" t="n">
        <f aca="false">IF(AND('Raw Orders'!C1519="Product",'Raw Orders'!K1519="Fulfilled",COUNTIFS('Raw Orders'!$A$2:$A1519,'Raw Orders'!A1519,'Raw Orders'!$C$2:$C1519,"Product",'Raw Orders'!$K$2:$K1519,"Fulfilled")=1),1,0)</f>
        <v>1</v>
      </c>
      <c r="E1522" s="31" t="n">
        <f aca="false">IF(AND('Raw Orders'!C1519="Product",'Raw Orders'!K1519="Fulfilled"),'Raw Orders'!E1519,0)</f>
        <v>2</v>
      </c>
      <c r="F1522" s="32" t="n">
        <f aca="false">IF('Raw Orders'!K1519="Refunded",'Raw Orders'!G1519,0)</f>
        <v>0</v>
      </c>
    </row>
    <row r="1523" customFormat="false" ht="15" hidden="false" customHeight="false" outlineLevel="0" collapsed="false">
      <c r="A1523" s="36" t="n">
        <f aca="false">IF('Raw Orders'!B1520="","",IF(MID('Raw Orders'!B1520,5,1)="-",DATE(VALUE(LEFT('Raw Orders'!B1520,4)),VALUE(MID('Raw Orders'!B1520,6,2)),VALUE(MID('Raw Orders'!B1520,9,2))),DATE(VALUE(MID('Raw Orders'!B1520,7,4)),VALUE(MID('Raw Orders'!B1520,4,2)),VALUE(LEFT('Raw Orders'!B1520,2)))))</f>
        <v>46228</v>
      </c>
      <c r="B1523" s="36" t="n">
        <f aca="false">IF(A1523="","",A1523-WEEKDAY(A1523,3))</f>
        <v>46223</v>
      </c>
      <c r="C1523" s="32" t="n">
        <f aca="false">IF(OR('Raw Orders'!C1520&lt;&gt;"Product",'Raw Orders'!K1520="Cancelled"),0,'Raw Orders'!G1520)</f>
        <v>90</v>
      </c>
      <c r="D1523" s="31" t="n">
        <f aca="false">IF(AND('Raw Orders'!C1520="Product",'Raw Orders'!K1520="Fulfilled",COUNTIFS('Raw Orders'!$A$2:$A1520,'Raw Orders'!A1520,'Raw Orders'!$C$2:$C1520,"Product",'Raw Orders'!$K$2:$K1520,"Fulfilled")=1),1,0)</f>
        <v>0</v>
      </c>
      <c r="E1523" s="31" t="n">
        <f aca="false">IF(AND('Raw Orders'!C1520="Product",'Raw Orders'!K1520="Fulfilled"),'Raw Orders'!E1520,0)</f>
        <v>2</v>
      </c>
      <c r="F1523" s="32" t="n">
        <f aca="false">IF('Raw Orders'!K1520="Refunded",'Raw Orders'!G1520,0)</f>
        <v>0</v>
      </c>
    </row>
    <row r="1524" customFormat="false" ht="15" hidden="false" customHeight="false" outlineLevel="0" collapsed="false">
      <c r="A1524" s="36" t="n">
        <f aca="false">IF('Raw Orders'!B1521="","",IF(MID('Raw Orders'!B1521,5,1)="-",DATE(VALUE(LEFT('Raw Orders'!B1521,4)),VALUE(MID('Raw Orders'!B1521,6,2)),VALUE(MID('Raw Orders'!B1521,9,2))),DATE(VALUE(MID('Raw Orders'!B1521,7,4)),VALUE(MID('Raw Orders'!B1521,4,2)),VALUE(LEFT('Raw Orders'!B1521,2)))))</f>
        <v>46228</v>
      </c>
      <c r="B1524" s="36" t="n">
        <f aca="false">IF(A1524="","",A1524-WEEKDAY(A1524,3))</f>
        <v>46223</v>
      </c>
      <c r="C1524" s="32" t="n">
        <f aca="false">IF(OR('Raw Orders'!C1521&lt;&gt;"Product",'Raw Orders'!K1521="Cancelled"),0,'Raw Orders'!G1521)</f>
        <v>0</v>
      </c>
      <c r="D1524" s="31" t="n">
        <f aca="false">IF(AND('Raw Orders'!C1521="Product",'Raw Orders'!K1521="Fulfilled",COUNTIFS('Raw Orders'!$A$2:$A1521,'Raw Orders'!A1521,'Raw Orders'!$C$2:$C1521,"Product",'Raw Orders'!$K$2:$K1521,"Fulfilled")=1),1,0)</f>
        <v>0</v>
      </c>
      <c r="E1524" s="31" t="n">
        <f aca="false">IF(AND('Raw Orders'!C1521="Product",'Raw Orders'!K1521="Fulfilled"),'Raw Orders'!E1521,0)</f>
        <v>0</v>
      </c>
      <c r="F1524" s="32" t="n">
        <f aca="false">IF('Raw Orders'!K1521="Refunded",'Raw Orders'!G1521,0)</f>
        <v>0</v>
      </c>
    </row>
    <row r="1525" customFormat="false" ht="15" hidden="false" customHeight="false" outlineLevel="0" collapsed="false">
      <c r="A1525" s="36" t="n">
        <f aca="false">IF('Raw Orders'!B1522="","",IF(MID('Raw Orders'!B1522,5,1)="-",DATE(VALUE(LEFT('Raw Orders'!B1522,4)),VALUE(MID('Raw Orders'!B1522,6,2)),VALUE(MID('Raw Orders'!B1522,9,2))),DATE(VALUE(MID('Raw Orders'!B1522,7,4)),VALUE(MID('Raw Orders'!B1522,4,2)),VALUE(LEFT('Raw Orders'!B1522,2)))))</f>
        <v>46228</v>
      </c>
      <c r="B1525" s="36" t="n">
        <f aca="false">IF(A1525="","",A1525-WEEKDAY(A1525,3))</f>
        <v>46223</v>
      </c>
      <c r="C1525" s="32" t="n">
        <f aca="false">IF(OR('Raw Orders'!C1522&lt;&gt;"Product",'Raw Orders'!K1522="Cancelled"),0,'Raw Orders'!G1522)</f>
        <v>0</v>
      </c>
      <c r="D1525" s="31" t="n">
        <f aca="false">IF(AND('Raw Orders'!C1522="Product",'Raw Orders'!K1522="Fulfilled",COUNTIFS('Raw Orders'!$A$2:$A1522,'Raw Orders'!A1522,'Raw Orders'!$C$2:$C1522,"Product",'Raw Orders'!$K$2:$K1522,"Fulfilled")=1),1,0)</f>
        <v>0</v>
      </c>
      <c r="E1525" s="31" t="n">
        <f aca="false">IF(AND('Raw Orders'!C1522="Product",'Raw Orders'!K1522="Fulfilled"),'Raw Orders'!E1522,0)</f>
        <v>0</v>
      </c>
      <c r="F1525" s="32" t="n">
        <f aca="false">IF('Raw Orders'!K1522="Refunded",'Raw Orders'!G1522,0)</f>
        <v>0</v>
      </c>
    </row>
    <row r="1526" customFormat="false" ht="15" hidden="false" customHeight="false" outlineLevel="0" collapsed="false">
      <c r="A1526" s="36" t="n">
        <f aca="false">IF('Raw Orders'!B1523="","",IF(MID('Raw Orders'!B1523,5,1)="-",DATE(VALUE(LEFT('Raw Orders'!B1523,4)),VALUE(MID('Raw Orders'!B1523,6,2)),VALUE(MID('Raw Orders'!B1523,9,2))),DATE(VALUE(MID('Raw Orders'!B1523,7,4)),VALUE(MID('Raw Orders'!B1523,4,2)),VALUE(LEFT('Raw Orders'!B1523,2)))))</f>
        <v>46228</v>
      </c>
      <c r="B1526" s="36" t="n">
        <f aca="false">IF(A1526="","",A1526-WEEKDAY(A1526,3))</f>
        <v>46223</v>
      </c>
      <c r="C1526" s="32" t="n">
        <f aca="false">IF(OR('Raw Orders'!C1523&lt;&gt;"Product",'Raw Orders'!K1523="Cancelled"),0,'Raw Orders'!G1523)</f>
        <v>0</v>
      </c>
      <c r="D1526" s="31" t="n">
        <f aca="false">IF(AND('Raw Orders'!C1523="Product",'Raw Orders'!K1523="Fulfilled",COUNTIFS('Raw Orders'!$A$2:$A1523,'Raw Orders'!A1523,'Raw Orders'!$C$2:$C1523,"Product",'Raw Orders'!$K$2:$K1523,"Fulfilled")=1),1,0)</f>
        <v>0</v>
      </c>
      <c r="E1526" s="31" t="n">
        <f aca="false">IF(AND('Raw Orders'!C1523="Product",'Raw Orders'!K1523="Fulfilled"),'Raw Orders'!E1523,0)</f>
        <v>0</v>
      </c>
      <c r="F1526" s="32" t="n">
        <f aca="false">IF('Raw Orders'!K1523="Refunded",'Raw Orders'!G1523,0)</f>
        <v>0</v>
      </c>
    </row>
    <row r="1527" customFormat="false" ht="15" hidden="false" customHeight="false" outlineLevel="0" collapsed="false">
      <c r="A1527" s="36" t="n">
        <f aca="false">IF('Raw Orders'!B1524="","",IF(MID('Raw Orders'!B1524,5,1)="-",DATE(VALUE(LEFT('Raw Orders'!B1524,4)),VALUE(MID('Raw Orders'!B1524,6,2)),VALUE(MID('Raw Orders'!B1524,9,2))),DATE(VALUE(MID('Raw Orders'!B1524,7,4)),VALUE(MID('Raw Orders'!B1524,4,2)),VALUE(LEFT('Raw Orders'!B1524,2)))))</f>
        <v>46228</v>
      </c>
      <c r="B1527" s="36" t="n">
        <f aca="false">IF(A1527="","",A1527-WEEKDAY(A1527,3))</f>
        <v>46223</v>
      </c>
      <c r="C1527" s="32" t="n">
        <f aca="false">IF(OR('Raw Orders'!C1524&lt;&gt;"Product",'Raw Orders'!K1524="Cancelled"),0,'Raw Orders'!G1524)</f>
        <v>35</v>
      </c>
      <c r="D1527" s="31" t="n">
        <f aca="false">IF(AND('Raw Orders'!C1524="Product",'Raw Orders'!K1524="Fulfilled",COUNTIFS('Raw Orders'!$A$2:$A1524,'Raw Orders'!A1524,'Raw Orders'!$C$2:$C1524,"Product",'Raw Orders'!$K$2:$K1524,"Fulfilled")=1),1,0)</f>
        <v>1</v>
      </c>
      <c r="E1527" s="31" t="n">
        <f aca="false">IF(AND('Raw Orders'!C1524="Product",'Raw Orders'!K1524="Fulfilled"),'Raw Orders'!E1524,0)</f>
        <v>1</v>
      </c>
      <c r="F1527" s="32" t="n">
        <f aca="false">IF('Raw Orders'!K1524="Refunded",'Raw Orders'!G1524,0)</f>
        <v>0</v>
      </c>
    </row>
    <row r="1528" customFormat="false" ht="15" hidden="false" customHeight="false" outlineLevel="0" collapsed="false">
      <c r="A1528" s="36" t="n">
        <f aca="false">IF('Raw Orders'!B1525="","",IF(MID('Raw Orders'!B1525,5,1)="-",DATE(VALUE(LEFT('Raw Orders'!B1525,4)),VALUE(MID('Raw Orders'!B1525,6,2)),VALUE(MID('Raw Orders'!B1525,9,2))),DATE(VALUE(MID('Raw Orders'!B1525,7,4)),VALUE(MID('Raw Orders'!B1525,4,2)),VALUE(LEFT('Raw Orders'!B1525,2)))))</f>
        <v>46228</v>
      </c>
      <c r="B1528" s="36" t="n">
        <f aca="false">IF(A1528="","",A1528-WEEKDAY(A1528,3))</f>
        <v>46223</v>
      </c>
      <c r="C1528" s="32" t="n">
        <f aca="false">IF(OR('Raw Orders'!C1525&lt;&gt;"Product",'Raw Orders'!K1525="Cancelled"),0,'Raw Orders'!G1525)</f>
        <v>128</v>
      </c>
      <c r="D1528" s="31" t="n">
        <f aca="false">IF(AND('Raw Orders'!C1525="Product",'Raw Orders'!K1525="Fulfilled",COUNTIFS('Raw Orders'!$A$2:$A1525,'Raw Orders'!A1525,'Raw Orders'!$C$2:$C1525,"Product",'Raw Orders'!$K$2:$K1525,"Fulfilled")=1),1,0)</f>
        <v>0</v>
      </c>
      <c r="E1528" s="31" t="n">
        <f aca="false">IF(AND('Raw Orders'!C1525="Product",'Raw Orders'!K1525="Fulfilled"),'Raw Orders'!E1525,0)</f>
        <v>4</v>
      </c>
      <c r="F1528" s="32" t="n">
        <f aca="false">IF('Raw Orders'!K1525="Refunded",'Raw Orders'!G1525,0)</f>
        <v>0</v>
      </c>
    </row>
    <row r="1529" customFormat="false" ht="15" hidden="false" customHeight="false" outlineLevel="0" collapsed="false">
      <c r="A1529" s="36" t="n">
        <f aca="false">IF('Raw Orders'!B1526="","",IF(MID('Raw Orders'!B1526,5,1)="-",DATE(VALUE(LEFT('Raw Orders'!B1526,4)),VALUE(MID('Raw Orders'!B1526,6,2)),VALUE(MID('Raw Orders'!B1526,9,2))),DATE(VALUE(MID('Raw Orders'!B1526,7,4)),VALUE(MID('Raw Orders'!B1526,4,2)),VALUE(LEFT('Raw Orders'!B1526,2)))))</f>
        <v>46228</v>
      </c>
      <c r="B1529" s="36" t="n">
        <f aca="false">IF(A1529="","",A1529-WEEKDAY(A1529,3))</f>
        <v>46223</v>
      </c>
      <c r="C1529" s="32" t="n">
        <f aca="false">IF(OR('Raw Orders'!C1526&lt;&gt;"Product",'Raw Orders'!K1526="Cancelled"),0,'Raw Orders'!G1526)</f>
        <v>0</v>
      </c>
      <c r="D1529" s="31" t="n">
        <f aca="false">IF(AND('Raw Orders'!C1526="Product",'Raw Orders'!K1526="Fulfilled",COUNTIFS('Raw Orders'!$A$2:$A1526,'Raw Orders'!A1526,'Raw Orders'!$C$2:$C1526,"Product",'Raw Orders'!$K$2:$K1526,"Fulfilled")=1),1,0)</f>
        <v>0</v>
      </c>
      <c r="E1529" s="31" t="n">
        <f aca="false">IF(AND('Raw Orders'!C1526="Product",'Raw Orders'!K1526="Fulfilled"),'Raw Orders'!E1526,0)</f>
        <v>0</v>
      </c>
      <c r="F1529" s="32" t="n">
        <f aca="false">IF('Raw Orders'!K1526="Refunded",'Raw Orders'!G1526,0)</f>
        <v>0</v>
      </c>
    </row>
    <row r="1530" customFormat="false" ht="15" hidden="false" customHeight="false" outlineLevel="0" collapsed="false">
      <c r="A1530" s="36" t="n">
        <f aca="false">IF('Raw Orders'!B1527="","",IF(MID('Raw Orders'!B1527,5,1)="-",DATE(VALUE(LEFT('Raw Orders'!B1527,4)),VALUE(MID('Raw Orders'!B1527,6,2)),VALUE(MID('Raw Orders'!B1527,9,2))),DATE(VALUE(MID('Raw Orders'!B1527,7,4)),VALUE(MID('Raw Orders'!B1527,4,2)),VALUE(LEFT('Raw Orders'!B1527,2)))))</f>
        <v>46228</v>
      </c>
      <c r="B1530" s="36" t="n">
        <f aca="false">IF(A1530="","",A1530-WEEKDAY(A1530,3))</f>
        <v>46223</v>
      </c>
      <c r="C1530" s="32" t="n">
        <f aca="false">IF(OR('Raw Orders'!C1527&lt;&gt;"Product",'Raw Orders'!K1527="Cancelled"),0,'Raw Orders'!G1527)</f>
        <v>0</v>
      </c>
      <c r="D1530" s="31" t="n">
        <f aca="false">IF(AND('Raw Orders'!C1527="Product",'Raw Orders'!K1527="Fulfilled",COUNTIFS('Raw Orders'!$A$2:$A1527,'Raw Orders'!A1527,'Raw Orders'!$C$2:$C1527,"Product",'Raw Orders'!$K$2:$K1527,"Fulfilled")=1),1,0)</f>
        <v>0</v>
      </c>
      <c r="E1530" s="31" t="n">
        <f aca="false">IF(AND('Raw Orders'!C1527="Product",'Raw Orders'!K1527="Fulfilled"),'Raw Orders'!E1527,0)</f>
        <v>0</v>
      </c>
      <c r="F1530" s="32" t="n">
        <f aca="false">IF('Raw Orders'!K1527="Refunded",'Raw Orders'!G1527,0)</f>
        <v>0</v>
      </c>
    </row>
    <row r="1531" customFormat="false" ht="15" hidden="false" customHeight="false" outlineLevel="0" collapsed="false">
      <c r="A1531" s="36" t="n">
        <f aca="false">IF('Raw Orders'!B1528="","",IF(MID('Raw Orders'!B1528,5,1)="-",DATE(VALUE(LEFT('Raw Orders'!B1528,4)),VALUE(MID('Raw Orders'!B1528,6,2)),VALUE(MID('Raw Orders'!B1528,9,2))),DATE(VALUE(MID('Raw Orders'!B1528,7,4)),VALUE(MID('Raw Orders'!B1528,4,2)),VALUE(LEFT('Raw Orders'!B1528,2)))))</f>
        <v>46228</v>
      </c>
      <c r="B1531" s="36" t="n">
        <f aca="false">IF(A1531="","",A1531-WEEKDAY(A1531,3))</f>
        <v>46223</v>
      </c>
      <c r="C1531" s="32" t="n">
        <f aca="false">IF(OR('Raw Orders'!C1528&lt;&gt;"Product",'Raw Orders'!K1528="Cancelled"),0,'Raw Orders'!G1528)</f>
        <v>0</v>
      </c>
      <c r="D1531" s="31" t="n">
        <f aca="false">IF(AND('Raw Orders'!C1528="Product",'Raw Orders'!K1528="Fulfilled",COUNTIFS('Raw Orders'!$A$2:$A1528,'Raw Orders'!A1528,'Raw Orders'!$C$2:$C1528,"Product",'Raw Orders'!$K$2:$K1528,"Fulfilled")=1),1,0)</f>
        <v>0</v>
      </c>
      <c r="E1531" s="31" t="n">
        <f aca="false">IF(AND('Raw Orders'!C1528="Product",'Raw Orders'!K1528="Fulfilled"),'Raw Orders'!E1528,0)</f>
        <v>0</v>
      </c>
      <c r="F1531" s="32" t="n">
        <f aca="false">IF('Raw Orders'!K1528="Refunded",'Raw Orders'!G1528,0)</f>
        <v>0</v>
      </c>
    </row>
    <row r="1532" customFormat="false" ht="15" hidden="false" customHeight="false" outlineLevel="0" collapsed="false">
      <c r="A1532" s="36" t="n">
        <f aca="false">IF('Raw Orders'!B1529="","",IF(MID('Raw Orders'!B1529,5,1)="-",DATE(VALUE(LEFT('Raw Orders'!B1529,4)),VALUE(MID('Raw Orders'!B1529,6,2)),VALUE(MID('Raw Orders'!B1529,9,2))),DATE(VALUE(MID('Raw Orders'!B1529,7,4)),VALUE(MID('Raw Orders'!B1529,4,2)),VALUE(LEFT('Raw Orders'!B1529,2)))))</f>
        <v>46228</v>
      </c>
      <c r="B1532" s="36" t="n">
        <f aca="false">IF(A1532="","",A1532-WEEKDAY(A1532,3))</f>
        <v>46223</v>
      </c>
      <c r="C1532" s="32" t="n">
        <f aca="false">IF(OR('Raw Orders'!C1529&lt;&gt;"Product",'Raw Orders'!K1529="Cancelled"),0,'Raw Orders'!G1529)</f>
        <v>69</v>
      </c>
      <c r="D1532" s="31" t="n">
        <f aca="false">IF(AND('Raw Orders'!C1529="Product",'Raw Orders'!K1529="Fulfilled",COUNTIFS('Raw Orders'!$A$2:$A1529,'Raw Orders'!A1529,'Raw Orders'!$C$2:$C1529,"Product",'Raw Orders'!$K$2:$K1529,"Fulfilled")=1),1,0)</f>
        <v>1</v>
      </c>
      <c r="E1532" s="31" t="n">
        <f aca="false">IF(AND('Raw Orders'!C1529="Product",'Raw Orders'!K1529="Fulfilled"),'Raw Orders'!E1529,0)</f>
        <v>1</v>
      </c>
      <c r="F1532" s="32" t="n">
        <f aca="false">IF('Raw Orders'!K1529="Refunded",'Raw Orders'!G1529,0)</f>
        <v>0</v>
      </c>
    </row>
    <row r="1533" customFormat="false" ht="15" hidden="false" customHeight="false" outlineLevel="0" collapsed="false">
      <c r="A1533" s="36" t="n">
        <f aca="false">IF('Raw Orders'!B1530="","",IF(MID('Raw Orders'!B1530,5,1)="-",DATE(VALUE(LEFT('Raw Orders'!B1530,4)),VALUE(MID('Raw Orders'!B1530,6,2)),VALUE(MID('Raw Orders'!B1530,9,2))),DATE(VALUE(MID('Raw Orders'!B1530,7,4)),VALUE(MID('Raw Orders'!B1530,4,2)),VALUE(LEFT('Raw Orders'!B1530,2)))))</f>
        <v>46228</v>
      </c>
      <c r="B1533" s="36" t="n">
        <f aca="false">IF(A1533="","",A1533-WEEKDAY(A1533,3))</f>
        <v>46223</v>
      </c>
      <c r="C1533" s="32" t="n">
        <f aca="false">IF(OR('Raw Orders'!C1530&lt;&gt;"Product",'Raw Orders'!K1530="Cancelled"),0,'Raw Orders'!G1530)</f>
        <v>0</v>
      </c>
      <c r="D1533" s="31" t="n">
        <f aca="false">IF(AND('Raw Orders'!C1530="Product",'Raw Orders'!K1530="Fulfilled",COUNTIFS('Raw Orders'!$A$2:$A1530,'Raw Orders'!A1530,'Raw Orders'!$C$2:$C1530,"Product",'Raw Orders'!$K$2:$K1530,"Fulfilled")=1),1,0)</f>
        <v>0</v>
      </c>
      <c r="E1533" s="31" t="n">
        <f aca="false">IF(AND('Raw Orders'!C1530="Product",'Raw Orders'!K1530="Fulfilled"),'Raw Orders'!E1530,0)</f>
        <v>0</v>
      </c>
      <c r="F1533" s="32" t="n">
        <f aca="false">IF('Raw Orders'!K1530="Refunded",'Raw Orders'!G1530,0)</f>
        <v>0</v>
      </c>
    </row>
    <row r="1534" customFormat="false" ht="15" hidden="false" customHeight="false" outlineLevel="0" collapsed="false">
      <c r="A1534" s="36" t="n">
        <f aca="false">IF('Raw Orders'!B1531="","",IF(MID('Raw Orders'!B1531,5,1)="-",DATE(VALUE(LEFT('Raw Orders'!B1531,4)),VALUE(MID('Raw Orders'!B1531,6,2)),VALUE(MID('Raw Orders'!B1531,9,2))),DATE(VALUE(MID('Raw Orders'!B1531,7,4)),VALUE(MID('Raw Orders'!B1531,4,2)),VALUE(LEFT('Raw Orders'!B1531,2)))))</f>
        <v>46229</v>
      </c>
      <c r="B1534" s="36" t="n">
        <f aca="false">IF(A1534="","",A1534-WEEKDAY(A1534,3))</f>
        <v>46223</v>
      </c>
      <c r="C1534" s="32" t="n">
        <f aca="false">IF(OR('Raw Orders'!C1531&lt;&gt;"Product",'Raw Orders'!K1531="Cancelled"),0,'Raw Orders'!G1531)</f>
        <v>-75</v>
      </c>
      <c r="D1534" s="31" t="n">
        <f aca="false">IF(AND('Raw Orders'!C1531="Product",'Raw Orders'!K1531="Fulfilled",COUNTIFS('Raw Orders'!$A$2:$A1531,'Raw Orders'!A1531,'Raw Orders'!$C$2:$C1531,"Product",'Raw Orders'!$K$2:$K1531,"Fulfilled")=1),1,0)</f>
        <v>0</v>
      </c>
      <c r="E1534" s="31" t="n">
        <f aca="false">IF(AND('Raw Orders'!C1531="Product",'Raw Orders'!K1531="Fulfilled"),'Raw Orders'!E1531,0)</f>
        <v>0</v>
      </c>
      <c r="F1534" s="32" t="n">
        <f aca="false">IF('Raw Orders'!K1531="Refunded",'Raw Orders'!G1531,0)</f>
        <v>-75</v>
      </c>
    </row>
    <row r="1535" customFormat="false" ht="15" hidden="false" customHeight="false" outlineLevel="0" collapsed="false">
      <c r="A1535" s="36" t="n">
        <f aca="false">IF('Raw Orders'!B1532="","",IF(MID('Raw Orders'!B1532,5,1)="-",DATE(VALUE(LEFT('Raw Orders'!B1532,4)),VALUE(MID('Raw Orders'!B1532,6,2)),VALUE(MID('Raw Orders'!B1532,9,2))),DATE(VALUE(MID('Raw Orders'!B1532,7,4)),VALUE(MID('Raw Orders'!B1532,4,2)),VALUE(LEFT('Raw Orders'!B1532,2)))))</f>
        <v>46229</v>
      </c>
      <c r="B1535" s="36" t="n">
        <f aca="false">IF(A1535="","",A1535-WEEKDAY(A1535,3))</f>
        <v>46223</v>
      </c>
      <c r="C1535" s="32" t="n">
        <f aca="false">IF(OR('Raw Orders'!C1532&lt;&gt;"Product",'Raw Orders'!K1532="Cancelled"),0,'Raw Orders'!G1532)</f>
        <v>32</v>
      </c>
      <c r="D1535" s="31" t="n">
        <f aca="false">IF(AND('Raw Orders'!C1532="Product",'Raw Orders'!K1532="Fulfilled",COUNTIFS('Raw Orders'!$A$2:$A1532,'Raw Orders'!A1532,'Raw Orders'!$C$2:$C1532,"Product",'Raw Orders'!$K$2:$K1532,"Fulfilled")=1),1,0)</f>
        <v>1</v>
      </c>
      <c r="E1535" s="31" t="n">
        <f aca="false">IF(AND('Raw Orders'!C1532="Product",'Raw Orders'!K1532="Fulfilled"),'Raw Orders'!E1532,0)</f>
        <v>1</v>
      </c>
      <c r="F1535" s="32" t="n">
        <f aca="false">IF('Raw Orders'!K1532="Refunded",'Raw Orders'!G1532,0)</f>
        <v>0</v>
      </c>
    </row>
    <row r="1536" customFormat="false" ht="15" hidden="false" customHeight="false" outlineLevel="0" collapsed="false">
      <c r="A1536" s="36" t="n">
        <f aca="false">IF('Raw Orders'!B1533="","",IF(MID('Raw Orders'!B1533,5,1)="-",DATE(VALUE(LEFT('Raw Orders'!B1533,4)),VALUE(MID('Raw Orders'!B1533,6,2)),VALUE(MID('Raw Orders'!B1533,9,2))),DATE(VALUE(MID('Raw Orders'!B1533,7,4)),VALUE(MID('Raw Orders'!B1533,4,2)),VALUE(LEFT('Raw Orders'!B1533,2)))))</f>
        <v>46229</v>
      </c>
      <c r="B1536" s="36" t="n">
        <f aca="false">IF(A1536="","",A1536-WEEKDAY(A1536,3))</f>
        <v>46223</v>
      </c>
      <c r="C1536" s="32" t="n">
        <f aca="false">IF(OR('Raw Orders'!C1533&lt;&gt;"Product",'Raw Orders'!K1533="Cancelled"),0,'Raw Orders'!G1533)</f>
        <v>117</v>
      </c>
      <c r="D1536" s="31" t="n">
        <f aca="false">IF(AND('Raw Orders'!C1533="Product",'Raw Orders'!K1533="Fulfilled",COUNTIFS('Raw Orders'!$A$2:$A1533,'Raw Orders'!A1533,'Raw Orders'!$C$2:$C1533,"Product",'Raw Orders'!$K$2:$K1533,"Fulfilled")=1),1,0)</f>
        <v>0</v>
      </c>
      <c r="E1536" s="31" t="n">
        <f aca="false">IF(AND('Raw Orders'!C1533="Product",'Raw Orders'!K1533="Fulfilled"),'Raw Orders'!E1533,0)</f>
        <v>3</v>
      </c>
      <c r="F1536" s="32" t="n">
        <f aca="false">IF('Raw Orders'!K1533="Refunded",'Raw Orders'!G1533,0)</f>
        <v>0</v>
      </c>
    </row>
    <row r="1537" customFormat="false" ht="15" hidden="false" customHeight="false" outlineLevel="0" collapsed="false">
      <c r="A1537" s="36" t="n">
        <f aca="false">IF('Raw Orders'!B1534="","",IF(MID('Raw Orders'!B1534,5,1)="-",DATE(VALUE(LEFT('Raw Orders'!B1534,4)),VALUE(MID('Raw Orders'!B1534,6,2)),VALUE(MID('Raw Orders'!B1534,9,2))),DATE(VALUE(MID('Raw Orders'!B1534,7,4)),VALUE(MID('Raw Orders'!B1534,4,2)),VALUE(LEFT('Raw Orders'!B1534,2)))))</f>
        <v>46229</v>
      </c>
      <c r="B1537" s="36" t="n">
        <f aca="false">IF(A1537="","",A1537-WEEKDAY(A1537,3))</f>
        <v>46223</v>
      </c>
      <c r="C1537" s="32" t="n">
        <f aca="false">IF(OR('Raw Orders'!C1534&lt;&gt;"Product",'Raw Orders'!K1534="Cancelled"),0,'Raw Orders'!G1534)</f>
        <v>0</v>
      </c>
      <c r="D1537" s="31" t="n">
        <f aca="false">IF(AND('Raw Orders'!C1534="Product",'Raw Orders'!K1534="Fulfilled",COUNTIFS('Raw Orders'!$A$2:$A1534,'Raw Orders'!A1534,'Raw Orders'!$C$2:$C1534,"Product",'Raw Orders'!$K$2:$K1534,"Fulfilled")=1),1,0)</f>
        <v>0</v>
      </c>
      <c r="E1537" s="31" t="n">
        <f aca="false">IF(AND('Raw Orders'!C1534="Product",'Raw Orders'!K1534="Fulfilled"),'Raw Orders'!E1534,0)</f>
        <v>0</v>
      </c>
      <c r="F1537" s="32" t="n">
        <f aca="false">IF('Raw Orders'!K1534="Refunded",'Raw Orders'!G1534,0)</f>
        <v>0</v>
      </c>
    </row>
    <row r="1538" customFormat="false" ht="15" hidden="false" customHeight="false" outlineLevel="0" collapsed="false">
      <c r="A1538" s="36" t="n">
        <f aca="false">IF('Raw Orders'!B1535="","",IF(MID('Raw Orders'!B1535,5,1)="-",DATE(VALUE(LEFT('Raw Orders'!B1535,4)),VALUE(MID('Raw Orders'!B1535,6,2)),VALUE(MID('Raw Orders'!B1535,9,2))),DATE(VALUE(MID('Raw Orders'!B1535,7,4)),VALUE(MID('Raw Orders'!B1535,4,2)),VALUE(LEFT('Raw Orders'!B1535,2)))))</f>
        <v>46229</v>
      </c>
      <c r="B1538" s="36" t="n">
        <f aca="false">IF(A1538="","",A1538-WEEKDAY(A1538,3))</f>
        <v>46223</v>
      </c>
      <c r="C1538" s="32" t="n">
        <f aca="false">IF(OR('Raw Orders'!C1535&lt;&gt;"Product",'Raw Orders'!K1535="Cancelled"),0,'Raw Orders'!G1535)</f>
        <v>0</v>
      </c>
      <c r="D1538" s="31" t="n">
        <f aca="false">IF(AND('Raw Orders'!C1535="Product",'Raw Orders'!K1535="Fulfilled",COUNTIFS('Raw Orders'!$A$2:$A1535,'Raw Orders'!A1535,'Raw Orders'!$C$2:$C1535,"Product",'Raw Orders'!$K$2:$K1535,"Fulfilled")=1),1,0)</f>
        <v>0</v>
      </c>
      <c r="E1538" s="31" t="n">
        <f aca="false">IF(AND('Raw Orders'!C1535="Product",'Raw Orders'!K1535="Fulfilled"),'Raw Orders'!E1535,0)</f>
        <v>0</v>
      </c>
      <c r="F1538" s="32" t="n">
        <f aca="false">IF('Raw Orders'!K1535="Refunded",'Raw Orders'!G1535,0)</f>
        <v>0</v>
      </c>
    </row>
    <row r="1539" customFormat="false" ht="15" hidden="false" customHeight="false" outlineLevel="0" collapsed="false">
      <c r="A1539" s="36" t="n">
        <f aca="false">IF('Raw Orders'!B1536="","",IF(MID('Raw Orders'!B1536,5,1)="-",DATE(VALUE(LEFT('Raw Orders'!B1536,4)),VALUE(MID('Raw Orders'!B1536,6,2)),VALUE(MID('Raw Orders'!B1536,9,2))),DATE(VALUE(MID('Raw Orders'!B1536,7,4)),VALUE(MID('Raw Orders'!B1536,4,2)),VALUE(LEFT('Raw Orders'!B1536,2)))))</f>
        <v>46229</v>
      </c>
      <c r="B1539" s="36" t="n">
        <f aca="false">IF(A1539="","",A1539-WEEKDAY(A1539,3))</f>
        <v>46223</v>
      </c>
      <c r="C1539" s="32" t="n">
        <f aca="false">IF(OR('Raw Orders'!C1536&lt;&gt;"Product",'Raw Orders'!K1536="Cancelled"),0,'Raw Orders'!G1536)</f>
        <v>0</v>
      </c>
      <c r="D1539" s="31" t="n">
        <f aca="false">IF(AND('Raw Orders'!C1536="Product",'Raw Orders'!K1536="Fulfilled",COUNTIFS('Raw Orders'!$A$2:$A1536,'Raw Orders'!A1536,'Raw Orders'!$C$2:$C1536,"Product",'Raw Orders'!$K$2:$K1536,"Fulfilled")=1),1,0)</f>
        <v>0</v>
      </c>
      <c r="E1539" s="31" t="n">
        <f aca="false">IF(AND('Raw Orders'!C1536="Product",'Raw Orders'!K1536="Fulfilled"),'Raw Orders'!E1536,0)</f>
        <v>0</v>
      </c>
      <c r="F1539" s="32" t="n">
        <f aca="false">IF('Raw Orders'!K1536="Refunded",'Raw Orders'!G1536,0)</f>
        <v>0</v>
      </c>
    </row>
    <row r="1540" customFormat="false" ht="15" hidden="false" customHeight="false" outlineLevel="0" collapsed="false">
      <c r="A1540" s="36" t="n">
        <f aca="false">IF('Raw Orders'!B1537="","",IF(MID('Raw Orders'!B1537,5,1)="-",DATE(VALUE(LEFT('Raw Orders'!B1537,4)),VALUE(MID('Raw Orders'!B1537,6,2)),VALUE(MID('Raw Orders'!B1537,9,2))),DATE(VALUE(MID('Raw Orders'!B1537,7,4)),VALUE(MID('Raw Orders'!B1537,4,2)),VALUE(LEFT('Raw Orders'!B1537,2)))))</f>
        <v>46229</v>
      </c>
      <c r="B1540" s="36" t="n">
        <f aca="false">IF(A1540="","",A1540-WEEKDAY(A1540,3))</f>
        <v>46223</v>
      </c>
      <c r="C1540" s="32" t="n">
        <f aca="false">IF(OR('Raw Orders'!C1537&lt;&gt;"Product",'Raw Orders'!K1537="Cancelled"),0,'Raw Orders'!G1537)</f>
        <v>0</v>
      </c>
      <c r="D1540" s="31" t="n">
        <f aca="false">IF(AND('Raw Orders'!C1537="Product",'Raw Orders'!K1537="Fulfilled",COUNTIFS('Raw Orders'!$A$2:$A1537,'Raw Orders'!A1537,'Raw Orders'!$C$2:$C1537,"Product",'Raw Orders'!$K$2:$K1537,"Fulfilled")=1),1,0)</f>
        <v>0</v>
      </c>
      <c r="E1540" s="31" t="n">
        <f aca="false">IF(AND('Raw Orders'!C1537="Product",'Raw Orders'!K1537="Fulfilled"),'Raw Orders'!E1537,0)</f>
        <v>0</v>
      </c>
      <c r="F1540" s="32" t="n">
        <f aca="false">IF('Raw Orders'!K1537="Refunded",'Raw Orders'!G1537,0)</f>
        <v>0</v>
      </c>
    </row>
    <row r="1541" customFormat="false" ht="15" hidden="false" customHeight="false" outlineLevel="0" collapsed="false">
      <c r="A1541" s="36" t="n">
        <f aca="false">IF('Raw Orders'!B1538="","",IF(MID('Raw Orders'!B1538,5,1)="-",DATE(VALUE(LEFT('Raw Orders'!B1538,4)),VALUE(MID('Raw Orders'!B1538,6,2)),VALUE(MID('Raw Orders'!B1538,9,2))),DATE(VALUE(MID('Raw Orders'!B1538,7,4)),VALUE(MID('Raw Orders'!B1538,4,2)),VALUE(LEFT('Raw Orders'!B1538,2)))))</f>
        <v>46230</v>
      </c>
      <c r="B1541" s="36" t="n">
        <f aca="false">IF(A1541="","",A1541-WEEKDAY(A1541,3))</f>
        <v>46230</v>
      </c>
      <c r="C1541" s="32" t="n">
        <f aca="false">IF(OR('Raw Orders'!C1538&lt;&gt;"Product",'Raw Orders'!K1538="Cancelled"),0,'Raw Orders'!G1538)</f>
        <v>0</v>
      </c>
      <c r="D1541" s="31" t="n">
        <f aca="false">IF(AND('Raw Orders'!C1538="Product",'Raw Orders'!K1538="Fulfilled",COUNTIFS('Raw Orders'!$A$2:$A1538,'Raw Orders'!A1538,'Raw Orders'!$C$2:$C1538,"Product",'Raw Orders'!$K$2:$K1538,"Fulfilled")=1),1,0)</f>
        <v>0</v>
      </c>
      <c r="E1541" s="31" t="n">
        <f aca="false">IF(AND('Raw Orders'!C1538="Product",'Raw Orders'!K1538="Fulfilled"),'Raw Orders'!E1538,0)</f>
        <v>0</v>
      </c>
      <c r="F1541" s="32" t="n">
        <f aca="false">IF('Raw Orders'!K1538="Refunded",'Raw Orders'!G1538,0)</f>
        <v>0</v>
      </c>
    </row>
    <row r="1542" customFormat="false" ht="15" hidden="false" customHeight="false" outlineLevel="0" collapsed="false">
      <c r="A1542" s="36" t="n">
        <f aca="false">IF('Raw Orders'!B1539="","",IF(MID('Raw Orders'!B1539,5,1)="-",DATE(VALUE(LEFT('Raw Orders'!B1539,4)),VALUE(MID('Raw Orders'!B1539,6,2)),VALUE(MID('Raw Orders'!B1539,9,2))),DATE(VALUE(MID('Raw Orders'!B1539,7,4)),VALUE(MID('Raw Orders'!B1539,4,2)),VALUE(LEFT('Raw Orders'!B1539,2)))))</f>
        <v>46230</v>
      </c>
      <c r="B1542" s="36" t="n">
        <f aca="false">IF(A1542="","",A1542-WEEKDAY(A1542,3))</f>
        <v>46230</v>
      </c>
      <c r="C1542" s="32" t="n">
        <f aca="false">IF(OR('Raw Orders'!C1539&lt;&gt;"Product",'Raw Orders'!K1539="Cancelled"),0,'Raw Orders'!G1539)</f>
        <v>90</v>
      </c>
      <c r="D1542" s="31" t="n">
        <f aca="false">IF(AND('Raw Orders'!C1539="Product",'Raw Orders'!K1539="Fulfilled",COUNTIFS('Raw Orders'!$A$2:$A1539,'Raw Orders'!A1539,'Raw Orders'!$C$2:$C1539,"Product",'Raw Orders'!$K$2:$K1539,"Fulfilled")=1),1,0)</f>
        <v>1</v>
      </c>
      <c r="E1542" s="31" t="n">
        <f aca="false">IF(AND('Raw Orders'!C1539="Product",'Raw Orders'!K1539="Fulfilled"),'Raw Orders'!E1539,0)</f>
        <v>2</v>
      </c>
      <c r="F1542" s="32" t="n">
        <f aca="false">IF('Raw Orders'!K1539="Refunded",'Raw Orders'!G1539,0)</f>
        <v>0</v>
      </c>
    </row>
    <row r="1543" customFormat="false" ht="15" hidden="false" customHeight="false" outlineLevel="0" collapsed="false">
      <c r="A1543" s="36" t="n">
        <f aca="false">IF('Raw Orders'!B1540="","",IF(MID('Raw Orders'!B1540,5,1)="-",DATE(VALUE(LEFT('Raw Orders'!B1540,4)),VALUE(MID('Raw Orders'!B1540,6,2)),VALUE(MID('Raw Orders'!B1540,9,2))),DATE(VALUE(MID('Raw Orders'!B1540,7,4)),VALUE(MID('Raw Orders'!B1540,4,2)),VALUE(LEFT('Raw Orders'!B1540,2)))))</f>
        <v>46230</v>
      </c>
      <c r="B1543" s="36" t="n">
        <f aca="false">IF(A1543="","",A1543-WEEKDAY(A1543,3))</f>
        <v>46230</v>
      </c>
      <c r="C1543" s="32" t="n">
        <f aca="false">IF(OR('Raw Orders'!C1540&lt;&gt;"Product",'Raw Orders'!K1540="Cancelled"),0,'Raw Orders'!G1540)</f>
        <v>45</v>
      </c>
      <c r="D1543" s="31" t="n">
        <f aca="false">IF(AND('Raw Orders'!C1540="Product",'Raw Orders'!K1540="Fulfilled",COUNTIFS('Raw Orders'!$A$2:$A1540,'Raw Orders'!A1540,'Raw Orders'!$C$2:$C1540,"Product",'Raw Orders'!$K$2:$K1540,"Fulfilled")=1),1,0)</f>
        <v>1</v>
      </c>
      <c r="E1543" s="31" t="n">
        <f aca="false">IF(AND('Raw Orders'!C1540="Product",'Raw Orders'!K1540="Fulfilled"),'Raw Orders'!E1540,0)</f>
        <v>1</v>
      </c>
      <c r="F1543" s="32" t="n">
        <f aca="false">IF('Raw Orders'!K1540="Refunded",'Raw Orders'!G1540,0)</f>
        <v>0</v>
      </c>
    </row>
    <row r="1544" customFormat="false" ht="15" hidden="false" customHeight="false" outlineLevel="0" collapsed="false">
      <c r="A1544" s="36" t="n">
        <f aca="false">IF('Raw Orders'!B1541="","",IF(MID('Raw Orders'!B1541,5,1)="-",DATE(VALUE(LEFT('Raw Orders'!B1541,4)),VALUE(MID('Raw Orders'!B1541,6,2)),VALUE(MID('Raw Orders'!B1541,9,2))),DATE(VALUE(MID('Raw Orders'!B1541,7,4)),VALUE(MID('Raw Orders'!B1541,4,2)),VALUE(LEFT('Raw Orders'!B1541,2)))))</f>
        <v>46230</v>
      </c>
      <c r="B1544" s="36" t="n">
        <f aca="false">IF(A1544="","",A1544-WEEKDAY(A1544,3))</f>
        <v>46230</v>
      </c>
      <c r="C1544" s="32" t="n">
        <f aca="false">IF(OR('Raw Orders'!C1541&lt;&gt;"Product",'Raw Orders'!K1541="Cancelled"),0,'Raw Orders'!G1541)</f>
        <v>89</v>
      </c>
      <c r="D1544" s="31" t="n">
        <f aca="false">IF(AND('Raw Orders'!C1541="Product",'Raw Orders'!K1541="Fulfilled",COUNTIFS('Raw Orders'!$A$2:$A1541,'Raw Orders'!A1541,'Raw Orders'!$C$2:$C1541,"Product",'Raw Orders'!$K$2:$K1541,"Fulfilled")=1),1,0)</f>
        <v>0</v>
      </c>
      <c r="E1544" s="31" t="n">
        <f aca="false">IF(AND('Raw Orders'!C1541="Product",'Raw Orders'!K1541="Fulfilled"),'Raw Orders'!E1541,0)</f>
        <v>1</v>
      </c>
      <c r="F1544" s="32" t="n">
        <f aca="false">IF('Raw Orders'!K1541="Refunded",'Raw Orders'!G1541,0)</f>
        <v>0</v>
      </c>
    </row>
    <row r="1545" customFormat="false" ht="15" hidden="false" customHeight="false" outlineLevel="0" collapsed="false">
      <c r="A1545" s="36" t="n">
        <f aca="false">IF('Raw Orders'!B1542="","",IF(MID('Raw Orders'!B1542,5,1)="-",DATE(VALUE(LEFT('Raw Orders'!B1542,4)),VALUE(MID('Raw Orders'!B1542,6,2)),VALUE(MID('Raw Orders'!B1542,9,2))),DATE(VALUE(MID('Raw Orders'!B1542,7,4)),VALUE(MID('Raw Orders'!B1542,4,2)),VALUE(LEFT('Raw Orders'!B1542,2)))))</f>
        <v>46230</v>
      </c>
      <c r="B1545" s="36" t="n">
        <f aca="false">IF(A1545="","",A1545-WEEKDAY(A1545,3))</f>
        <v>46230</v>
      </c>
      <c r="C1545" s="32" t="n">
        <f aca="false">IF(OR('Raw Orders'!C1542&lt;&gt;"Product",'Raw Orders'!K1542="Cancelled"),0,'Raw Orders'!G1542)</f>
        <v>28</v>
      </c>
      <c r="D1545" s="31" t="n">
        <f aca="false">IF(AND('Raw Orders'!C1542="Product",'Raw Orders'!K1542="Fulfilled",COUNTIFS('Raw Orders'!$A$2:$A1542,'Raw Orders'!A1542,'Raw Orders'!$C$2:$C1542,"Product",'Raw Orders'!$K$2:$K1542,"Fulfilled")=1),1,0)</f>
        <v>0</v>
      </c>
      <c r="E1545" s="31" t="n">
        <f aca="false">IF(AND('Raw Orders'!C1542="Product",'Raw Orders'!K1542="Fulfilled"),'Raw Orders'!E1542,0)</f>
        <v>2</v>
      </c>
      <c r="F1545" s="32" t="n">
        <f aca="false">IF('Raw Orders'!K1542="Refunded",'Raw Orders'!G1542,0)</f>
        <v>0</v>
      </c>
    </row>
    <row r="1546" customFormat="false" ht="15" hidden="false" customHeight="false" outlineLevel="0" collapsed="false">
      <c r="A1546" s="36" t="n">
        <f aca="false">IF('Raw Orders'!B1543="","",IF(MID('Raw Orders'!B1543,5,1)="-",DATE(VALUE(LEFT('Raw Orders'!B1543,4)),VALUE(MID('Raw Orders'!B1543,6,2)),VALUE(MID('Raw Orders'!B1543,9,2))),DATE(VALUE(MID('Raw Orders'!B1543,7,4)),VALUE(MID('Raw Orders'!B1543,4,2)),VALUE(LEFT('Raw Orders'!B1543,2)))))</f>
        <v>46230</v>
      </c>
      <c r="B1546" s="36" t="n">
        <f aca="false">IF(A1546="","",A1546-WEEKDAY(A1546,3))</f>
        <v>46230</v>
      </c>
      <c r="C1546" s="32" t="n">
        <f aca="false">IF(OR('Raw Orders'!C1543&lt;&gt;"Product",'Raw Orders'!K1543="Cancelled"),0,'Raw Orders'!G1543)</f>
        <v>0</v>
      </c>
      <c r="D1546" s="31" t="n">
        <f aca="false">IF(AND('Raw Orders'!C1543="Product",'Raw Orders'!K1543="Fulfilled",COUNTIFS('Raw Orders'!$A$2:$A1543,'Raw Orders'!A1543,'Raw Orders'!$C$2:$C1543,"Product",'Raw Orders'!$K$2:$K1543,"Fulfilled")=1),1,0)</f>
        <v>0</v>
      </c>
      <c r="E1546" s="31" t="n">
        <f aca="false">IF(AND('Raw Orders'!C1543="Product",'Raw Orders'!K1543="Fulfilled"),'Raw Orders'!E1543,0)</f>
        <v>0</v>
      </c>
      <c r="F1546" s="32" t="n">
        <f aca="false">IF('Raw Orders'!K1543="Refunded",'Raw Orders'!G1543,0)</f>
        <v>0</v>
      </c>
    </row>
    <row r="1547" customFormat="false" ht="15" hidden="false" customHeight="false" outlineLevel="0" collapsed="false">
      <c r="A1547" s="36" t="n">
        <f aca="false">IF('Raw Orders'!B1544="","",IF(MID('Raw Orders'!B1544,5,1)="-",DATE(VALUE(LEFT('Raw Orders'!B1544,4)),VALUE(MID('Raw Orders'!B1544,6,2)),VALUE(MID('Raw Orders'!B1544,9,2))),DATE(VALUE(MID('Raw Orders'!B1544,7,4)),VALUE(MID('Raw Orders'!B1544,4,2)),VALUE(LEFT('Raw Orders'!B1544,2)))))</f>
        <v>46230</v>
      </c>
      <c r="B1547" s="36" t="n">
        <f aca="false">IF(A1547="","",A1547-WEEKDAY(A1547,3))</f>
        <v>46230</v>
      </c>
      <c r="C1547" s="32" t="n">
        <f aca="false">IF(OR('Raw Orders'!C1544&lt;&gt;"Product",'Raw Orders'!K1544="Cancelled"),0,'Raw Orders'!G1544)</f>
        <v>32</v>
      </c>
      <c r="D1547" s="31" t="n">
        <f aca="false">IF(AND('Raw Orders'!C1544="Product",'Raw Orders'!K1544="Fulfilled",COUNTIFS('Raw Orders'!$A$2:$A1544,'Raw Orders'!A1544,'Raw Orders'!$C$2:$C1544,"Product",'Raw Orders'!$K$2:$K1544,"Fulfilled")=1),1,0)</f>
        <v>1</v>
      </c>
      <c r="E1547" s="31" t="n">
        <f aca="false">IF(AND('Raw Orders'!C1544="Product",'Raw Orders'!K1544="Fulfilled"),'Raw Orders'!E1544,0)</f>
        <v>1</v>
      </c>
      <c r="F1547" s="32" t="n">
        <f aca="false">IF('Raw Orders'!K1544="Refunded",'Raw Orders'!G1544,0)</f>
        <v>0</v>
      </c>
    </row>
    <row r="1548" customFormat="false" ht="15" hidden="false" customHeight="false" outlineLevel="0" collapsed="false">
      <c r="A1548" s="36" t="n">
        <f aca="false">IF('Raw Orders'!B1545="","",IF(MID('Raw Orders'!B1545,5,1)="-",DATE(VALUE(LEFT('Raw Orders'!B1545,4)),VALUE(MID('Raw Orders'!B1545,6,2)),VALUE(MID('Raw Orders'!B1545,9,2))),DATE(VALUE(MID('Raw Orders'!B1545,7,4)),VALUE(MID('Raw Orders'!B1545,4,2)),VALUE(LEFT('Raw Orders'!B1545,2)))))</f>
        <v>46230</v>
      </c>
      <c r="B1548" s="36" t="n">
        <f aca="false">IF(A1548="","",A1548-WEEKDAY(A1548,3))</f>
        <v>46230</v>
      </c>
      <c r="C1548" s="32" t="n">
        <f aca="false">IF(OR('Raw Orders'!C1545&lt;&gt;"Product",'Raw Orders'!K1545="Cancelled"),0,'Raw Orders'!G1545)</f>
        <v>26</v>
      </c>
      <c r="D1548" s="31" t="n">
        <f aca="false">IF(AND('Raw Orders'!C1545="Product",'Raw Orders'!K1545="Fulfilled",COUNTIFS('Raw Orders'!$A$2:$A1545,'Raw Orders'!A1545,'Raw Orders'!$C$2:$C1545,"Product",'Raw Orders'!$K$2:$K1545,"Fulfilled")=1),1,0)</f>
        <v>0</v>
      </c>
      <c r="E1548" s="31" t="n">
        <f aca="false">IF(AND('Raw Orders'!C1545="Product",'Raw Orders'!K1545="Fulfilled"),'Raw Orders'!E1545,0)</f>
        <v>1</v>
      </c>
      <c r="F1548" s="32" t="n">
        <f aca="false">IF('Raw Orders'!K1545="Refunded",'Raw Orders'!G1545,0)</f>
        <v>0</v>
      </c>
    </row>
    <row r="1549" customFormat="false" ht="15" hidden="false" customHeight="false" outlineLevel="0" collapsed="false">
      <c r="A1549" s="36" t="n">
        <f aca="false">IF('Raw Orders'!B1546="","",IF(MID('Raw Orders'!B1546,5,1)="-",DATE(VALUE(LEFT('Raw Orders'!B1546,4)),VALUE(MID('Raw Orders'!B1546,6,2)),VALUE(MID('Raw Orders'!B1546,9,2))),DATE(VALUE(MID('Raw Orders'!B1546,7,4)),VALUE(MID('Raw Orders'!B1546,4,2)),VALUE(LEFT('Raw Orders'!B1546,2)))))</f>
        <v>46230</v>
      </c>
      <c r="B1549" s="36" t="n">
        <f aca="false">IF(A1549="","",A1549-WEEKDAY(A1549,3))</f>
        <v>46230</v>
      </c>
      <c r="C1549" s="32" t="n">
        <f aca="false">IF(OR('Raw Orders'!C1546&lt;&gt;"Product",'Raw Orders'!K1546="Cancelled"),0,'Raw Orders'!G1546)</f>
        <v>178</v>
      </c>
      <c r="D1549" s="31" t="n">
        <f aca="false">IF(AND('Raw Orders'!C1546="Product",'Raw Orders'!K1546="Fulfilled",COUNTIFS('Raw Orders'!$A$2:$A1546,'Raw Orders'!A1546,'Raw Orders'!$C$2:$C1546,"Product",'Raw Orders'!$K$2:$K1546,"Fulfilled")=1),1,0)</f>
        <v>0</v>
      </c>
      <c r="E1549" s="31" t="n">
        <f aca="false">IF(AND('Raw Orders'!C1546="Product",'Raw Orders'!K1546="Fulfilled"),'Raw Orders'!E1546,0)</f>
        <v>2</v>
      </c>
      <c r="F1549" s="32" t="n">
        <f aca="false">IF('Raw Orders'!K1546="Refunded",'Raw Orders'!G1546,0)</f>
        <v>0</v>
      </c>
    </row>
    <row r="1550" customFormat="false" ht="15" hidden="false" customHeight="false" outlineLevel="0" collapsed="false">
      <c r="A1550" s="36" t="n">
        <f aca="false">IF('Raw Orders'!B1547="","",IF(MID('Raw Orders'!B1547,5,1)="-",DATE(VALUE(LEFT('Raw Orders'!B1547,4)),VALUE(MID('Raw Orders'!B1547,6,2)),VALUE(MID('Raw Orders'!B1547,9,2))),DATE(VALUE(MID('Raw Orders'!B1547,7,4)),VALUE(MID('Raw Orders'!B1547,4,2)),VALUE(LEFT('Raw Orders'!B1547,2)))))</f>
        <v>46230</v>
      </c>
      <c r="B1550" s="36" t="n">
        <f aca="false">IF(A1550="","",A1550-WEEKDAY(A1550,3))</f>
        <v>46230</v>
      </c>
      <c r="C1550" s="32" t="n">
        <f aca="false">IF(OR('Raw Orders'!C1547&lt;&gt;"Product",'Raw Orders'!K1547="Cancelled"),0,'Raw Orders'!G1547)</f>
        <v>178</v>
      </c>
      <c r="D1550" s="31" t="n">
        <f aca="false">IF(AND('Raw Orders'!C1547="Product",'Raw Orders'!K1547="Fulfilled",COUNTIFS('Raw Orders'!$A$2:$A1547,'Raw Orders'!A1547,'Raw Orders'!$C$2:$C1547,"Product",'Raw Orders'!$K$2:$K1547,"Fulfilled")=1),1,0)</f>
        <v>1</v>
      </c>
      <c r="E1550" s="31" t="n">
        <f aca="false">IF(AND('Raw Orders'!C1547="Product",'Raw Orders'!K1547="Fulfilled"),'Raw Orders'!E1547,0)</f>
        <v>2</v>
      </c>
      <c r="F1550" s="32" t="n">
        <f aca="false">IF('Raw Orders'!K1547="Refunded",'Raw Orders'!G1547,0)</f>
        <v>0</v>
      </c>
    </row>
    <row r="1551" customFormat="false" ht="15" hidden="false" customHeight="false" outlineLevel="0" collapsed="false">
      <c r="A1551" s="36" t="n">
        <f aca="false">IF('Raw Orders'!B1548="","",IF(MID('Raw Orders'!B1548,5,1)="-",DATE(VALUE(LEFT('Raw Orders'!B1548,4)),VALUE(MID('Raw Orders'!B1548,6,2)),VALUE(MID('Raw Orders'!B1548,9,2))),DATE(VALUE(MID('Raw Orders'!B1548,7,4)),VALUE(MID('Raw Orders'!B1548,4,2)),VALUE(LEFT('Raw Orders'!B1548,2)))))</f>
        <v>46230</v>
      </c>
      <c r="B1551" s="36" t="n">
        <f aca="false">IF(A1551="","",A1551-WEEKDAY(A1551,3))</f>
        <v>46230</v>
      </c>
      <c r="C1551" s="32" t="n">
        <f aca="false">IF(OR('Raw Orders'!C1548&lt;&gt;"Product",'Raw Orders'!K1548="Cancelled"),0,'Raw Orders'!G1548)</f>
        <v>0</v>
      </c>
      <c r="D1551" s="31" t="n">
        <f aca="false">IF(AND('Raw Orders'!C1548="Product",'Raw Orders'!K1548="Fulfilled",COUNTIFS('Raw Orders'!$A$2:$A1548,'Raw Orders'!A1548,'Raw Orders'!$C$2:$C1548,"Product",'Raw Orders'!$K$2:$K1548,"Fulfilled")=1),1,0)</f>
        <v>0</v>
      </c>
      <c r="E1551" s="31" t="n">
        <f aca="false">IF(AND('Raw Orders'!C1548="Product",'Raw Orders'!K1548="Fulfilled"),'Raw Orders'!E1548,0)</f>
        <v>0</v>
      </c>
      <c r="F1551" s="32" t="n">
        <f aca="false">IF('Raw Orders'!K1548="Refunded",'Raw Orders'!G1548,0)</f>
        <v>0</v>
      </c>
    </row>
    <row r="1552" customFormat="false" ht="15" hidden="false" customHeight="false" outlineLevel="0" collapsed="false">
      <c r="A1552" s="36" t="n">
        <f aca="false">IF('Raw Orders'!B1549="","",IF(MID('Raw Orders'!B1549,5,1)="-",DATE(VALUE(LEFT('Raw Orders'!B1549,4)),VALUE(MID('Raw Orders'!B1549,6,2)),VALUE(MID('Raw Orders'!B1549,9,2))),DATE(VALUE(MID('Raw Orders'!B1549,7,4)),VALUE(MID('Raw Orders'!B1549,4,2)),VALUE(LEFT('Raw Orders'!B1549,2)))))</f>
        <v>46230</v>
      </c>
      <c r="B1552" s="36" t="n">
        <f aca="false">IF(A1552="","",A1552-WEEKDAY(A1552,3))</f>
        <v>46230</v>
      </c>
      <c r="C1552" s="32" t="n">
        <f aca="false">IF(OR('Raw Orders'!C1549&lt;&gt;"Product",'Raw Orders'!K1549="Cancelled"),0,'Raw Orders'!G1549)</f>
        <v>0</v>
      </c>
      <c r="D1552" s="31" t="n">
        <f aca="false">IF(AND('Raw Orders'!C1549="Product",'Raw Orders'!K1549="Fulfilled",COUNTIFS('Raw Orders'!$A$2:$A1549,'Raw Orders'!A1549,'Raw Orders'!$C$2:$C1549,"Product",'Raw Orders'!$K$2:$K1549,"Fulfilled")=1),1,0)</f>
        <v>0</v>
      </c>
      <c r="E1552" s="31" t="n">
        <f aca="false">IF(AND('Raw Orders'!C1549="Product",'Raw Orders'!K1549="Fulfilled"),'Raw Orders'!E1549,0)</f>
        <v>0</v>
      </c>
      <c r="F1552" s="32" t="n">
        <f aca="false">IF('Raw Orders'!K1549="Refunded",'Raw Orders'!G1549,0)</f>
        <v>0</v>
      </c>
    </row>
    <row r="1553" customFormat="false" ht="15" hidden="false" customHeight="false" outlineLevel="0" collapsed="false">
      <c r="A1553" s="36" t="n">
        <f aca="false">IF('Raw Orders'!B1550="","",IF(MID('Raw Orders'!B1550,5,1)="-",DATE(VALUE(LEFT('Raw Orders'!B1550,4)),VALUE(MID('Raw Orders'!B1550,6,2)),VALUE(MID('Raw Orders'!B1550,9,2))),DATE(VALUE(MID('Raw Orders'!B1550,7,4)),VALUE(MID('Raw Orders'!B1550,4,2)),VALUE(LEFT('Raw Orders'!B1550,2)))))</f>
        <v>46230</v>
      </c>
      <c r="B1553" s="36" t="n">
        <f aca="false">IF(A1553="","",A1553-WEEKDAY(A1553,3))</f>
        <v>46230</v>
      </c>
      <c r="C1553" s="32" t="n">
        <f aca="false">IF(OR('Raw Orders'!C1550&lt;&gt;"Product",'Raw Orders'!K1550="Cancelled"),0,'Raw Orders'!G1550)</f>
        <v>0</v>
      </c>
      <c r="D1553" s="31" t="n">
        <f aca="false">IF(AND('Raw Orders'!C1550="Product",'Raw Orders'!K1550="Fulfilled",COUNTIFS('Raw Orders'!$A$2:$A1550,'Raw Orders'!A1550,'Raw Orders'!$C$2:$C1550,"Product",'Raw Orders'!$K$2:$K1550,"Fulfilled")=1),1,0)</f>
        <v>0</v>
      </c>
      <c r="E1553" s="31" t="n">
        <f aca="false">IF(AND('Raw Orders'!C1550="Product",'Raw Orders'!K1550="Fulfilled"),'Raw Orders'!E1550,0)</f>
        <v>0</v>
      </c>
      <c r="F1553" s="32" t="n">
        <f aca="false">IF('Raw Orders'!K1550="Refunded",'Raw Orders'!G1550,0)</f>
        <v>0</v>
      </c>
    </row>
    <row r="1554" customFormat="false" ht="15" hidden="false" customHeight="false" outlineLevel="0" collapsed="false">
      <c r="A1554" s="36" t="n">
        <f aca="false">IF('Raw Orders'!B1551="","",IF(MID('Raw Orders'!B1551,5,1)="-",DATE(VALUE(LEFT('Raw Orders'!B1551,4)),VALUE(MID('Raw Orders'!B1551,6,2)),VALUE(MID('Raw Orders'!B1551,9,2))),DATE(VALUE(MID('Raw Orders'!B1551,7,4)),VALUE(MID('Raw Orders'!B1551,4,2)),VALUE(LEFT('Raw Orders'!B1551,2)))))</f>
        <v>46230</v>
      </c>
      <c r="B1554" s="36" t="n">
        <f aca="false">IF(A1554="","",A1554-WEEKDAY(A1554,3))</f>
        <v>46230</v>
      </c>
      <c r="C1554" s="32" t="n">
        <f aca="false">IF(OR('Raw Orders'!C1551&lt;&gt;"Product",'Raw Orders'!K1551="Cancelled"),0,'Raw Orders'!G1551)</f>
        <v>207</v>
      </c>
      <c r="D1554" s="31" t="n">
        <f aca="false">IF(AND('Raw Orders'!C1551="Product",'Raw Orders'!K1551="Fulfilled",COUNTIFS('Raw Orders'!$A$2:$A1551,'Raw Orders'!A1551,'Raw Orders'!$C$2:$C1551,"Product",'Raw Orders'!$K$2:$K1551,"Fulfilled")=1),1,0)</f>
        <v>1</v>
      </c>
      <c r="E1554" s="31" t="n">
        <f aca="false">IF(AND('Raw Orders'!C1551="Product",'Raw Orders'!K1551="Fulfilled"),'Raw Orders'!E1551,0)</f>
        <v>3</v>
      </c>
      <c r="F1554" s="32" t="n">
        <f aca="false">IF('Raw Orders'!K1551="Refunded",'Raw Orders'!G1551,0)</f>
        <v>0</v>
      </c>
    </row>
    <row r="1555" customFormat="false" ht="15" hidden="false" customHeight="false" outlineLevel="0" collapsed="false">
      <c r="A1555" s="36" t="n">
        <f aca="false">IF('Raw Orders'!B1552="","",IF(MID('Raw Orders'!B1552,5,1)="-",DATE(VALUE(LEFT('Raw Orders'!B1552,4)),VALUE(MID('Raw Orders'!B1552,6,2)),VALUE(MID('Raw Orders'!B1552,9,2))),DATE(VALUE(MID('Raw Orders'!B1552,7,4)),VALUE(MID('Raw Orders'!B1552,4,2)),VALUE(LEFT('Raw Orders'!B1552,2)))))</f>
        <v>46230</v>
      </c>
      <c r="B1555" s="36" t="n">
        <f aca="false">IF(A1555="","",A1555-WEEKDAY(A1555,3))</f>
        <v>46230</v>
      </c>
      <c r="C1555" s="32" t="n">
        <f aca="false">IF(OR('Raw Orders'!C1552&lt;&gt;"Product",'Raw Orders'!K1552="Cancelled"),0,'Raw Orders'!G1552)</f>
        <v>45</v>
      </c>
      <c r="D1555" s="31" t="n">
        <f aca="false">IF(AND('Raw Orders'!C1552="Product",'Raw Orders'!K1552="Fulfilled",COUNTIFS('Raw Orders'!$A$2:$A1552,'Raw Orders'!A1552,'Raw Orders'!$C$2:$C1552,"Product",'Raw Orders'!$K$2:$K1552,"Fulfilled")=1),1,0)</f>
        <v>0</v>
      </c>
      <c r="E1555" s="31" t="n">
        <f aca="false">IF(AND('Raw Orders'!C1552="Product",'Raw Orders'!K1552="Fulfilled"),'Raw Orders'!E1552,0)</f>
        <v>1</v>
      </c>
      <c r="F1555" s="32" t="n">
        <f aca="false">IF('Raw Orders'!K1552="Refunded",'Raw Orders'!G1552,0)</f>
        <v>0</v>
      </c>
    </row>
    <row r="1556" customFormat="false" ht="15" hidden="false" customHeight="false" outlineLevel="0" collapsed="false">
      <c r="A1556" s="36" t="n">
        <f aca="false">IF('Raw Orders'!B1553="","",IF(MID('Raw Orders'!B1553,5,1)="-",DATE(VALUE(LEFT('Raw Orders'!B1553,4)),VALUE(MID('Raw Orders'!B1553,6,2)),VALUE(MID('Raw Orders'!B1553,9,2))),DATE(VALUE(MID('Raw Orders'!B1553,7,4)),VALUE(MID('Raw Orders'!B1553,4,2)),VALUE(LEFT('Raw Orders'!B1553,2)))))</f>
        <v>46230</v>
      </c>
      <c r="B1556" s="36" t="n">
        <f aca="false">IF(A1556="","",A1556-WEEKDAY(A1556,3))</f>
        <v>46230</v>
      </c>
      <c r="C1556" s="32" t="n">
        <f aca="false">IF(OR('Raw Orders'!C1553&lt;&gt;"Product",'Raw Orders'!K1553="Cancelled"),0,'Raw Orders'!G1553)</f>
        <v>25.6</v>
      </c>
      <c r="D1556" s="31" t="n">
        <f aca="false">IF(AND('Raw Orders'!C1553="Product",'Raw Orders'!K1553="Fulfilled",COUNTIFS('Raw Orders'!$A$2:$A1553,'Raw Orders'!A1553,'Raw Orders'!$C$2:$C1553,"Product",'Raw Orders'!$K$2:$K1553,"Fulfilled")=1),1,0)</f>
        <v>0</v>
      </c>
      <c r="E1556" s="31" t="n">
        <f aca="false">IF(AND('Raw Orders'!C1553="Product",'Raw Orders'!K1553="Fulfilled"),'Raw Orders'!E1553,0)</f>
        <v>1</v>
      </c>
      <c r="F1556" s="32" t="n">
        <f aca="false">IF('Raw Orders'!K1553="Refunded",'Raw Orders'!G1553,0)</f>
        <v>0</v>
      </c>
    </row>
    <row r="1557" customFormat="false" ht="15" hidden="false" customHeight="false" outlineLevel="0" collapsed="false">
      <c r="A1557" s="36" t="n">
        <f aca="false">IF('Raw Orders'!B1554="","",IF(MID('Raw Orders'!B1554,5,1)="-",DATE(VALUE(LEFT('Raw Orders'!B1554,4)),VALUE(MID('Raw Orders'!B1554,6,2)),VALUE(MID('Raw Orders'!B1554,9,2))),DATE(VALUE(MID('Raw Orders'!B1554,7,4)),VALUE(MID('Raw Orders'!B1554,4,2)),VALUE(LEFT('Raw Orders'!B1554,2)))))</f>
        <v>46230</v>
      </c>
      <c r="B1557" s="36" t="n">
        <f aca="false">IF(A1557="","",A1557-WEEKDAY(A1557,3))</f>
        <v>46230</v>
      </c>
      <c r="C1557" s="32" t="n">
        <f aca="false">IF(OR('Raw Orders'!C1554&lt;&gt;"Product",'Raw Orders'!K1554="Cancelled"),0,'Raw Orders'!G1554)</f>
        <v>44</v>
      </c>
      <c r="D1557" s="31" t="n">
        <f aca="false">IF(AND('Raw Orders'!C1554="Product",'Raw Orders'!K1554="Fulfilled",COUNTIFS('Raw Orders'!$A$2:$A1554,'Raw Orders'!A1554,'Raw Orders'!$C$2:$C1554,"Product",'Raw Orders'!$K$2:$K1554,"Fulfilled")=1),1,0)</f>
        <v>1</v>
      </c>
      <c r="E1557" s="31" t="n">
        <f aca="false">IF(AND('Raw Orders'!C1554="Product",'Raw Orders'!K1554="Fulfilled"),'Raw Orders'!E1554,0)</f>
        <v>2</v>
      </c>
      <c r="F1557" s="32" t="n">
        <f aca="false">IF('Raw Orders'!K1554="Refunded",'Raw Orders'!G1554,0)</f>
        <v>0</v>
      </c>
    </row>
    <row r="1558" customFormat="false" ht="15" hidden="false" customHeight="false" outlineLevel="0" collapsed="false">
      <c r="A1558" s="36" t="n">
        <f aca="false">IF('Raw Orders'!B1555="","",IF(MID('Raw Orders'!B1555,5,1)="-",DATE(VALUE(LEFT('Raw Orders'!B1555,4)),VALUE(MID('Raw Orders'!B1555,6,2)),VALUE(MID('Raw Orders'!B1555,9,2))),DATE(VALUE(MID('Raw Orders'!B1555,7,4)),VALUE(MID('Raw Orders'!B1555,4,2)),VALUE(LEFT('Raw Orders'!B1555,2)))))</f>
        <v>46231</v>
      </c>
      <c r="B1558" s="36" t="n">
        <f aca="false">IF(A1558="","",A1558-WEEKDAY(A1558,3))</f>
        <v>46230</v>
      </c>
      <c r="C1558" s="32" t="n">
        <f aca="false">IF(OR('Raw Orders'!C1555&lt;&gt;"Product",'Raw Orders'!K1555="Cancelled"),0,'Raw Orders'!G1555)</f>
        <v>75</v>
      </c>
      <c r="D1558" s="31" t="n">
        <f aca="false">IF(AND('Raw Orders'!C1555="Product",'Raw Orders'!K1555="Fulfilled",COUNTIFS('Raw Orders'!$A$2:$A1555,'Raw Orders'!A1555,'Raw Orders'!$C$2:$C1555,"Product",'Raw Orders'!$K$2:$K1555,"Fulfilled")=1),1,0)</f>
        <v>1</v>
      </c>
      <c r="E1558" s="31" t="n">
        <f aca="false">IF(AND('Raw Orders'!C1555="Product",'Raw Orders'!K1555="Fulfilled"),'Raw Orders'!E1555,0)</f>
        <v>1</v>
      </c>
      <c r="F1558" s="32" t="n">
        <f aca="false">IF('Raw Orders'!K1555="Refunded",'Raw Orders'!G1555,0)</f>
        <v>0</v>
      </c>
    </row>
    <row r="1559" customFormat="false" ht="15" hidden="false" customHeight="false" outlineLevel="0" collapsed="false">
      <c r="A1559" s="36" t="n">
        <f aca="false">IF('Raw Orders'!B1556="","",IF(MID('Raw Orders'!B1556,5,1)="-",DATE(VALUE(LEFT('Raw Orders'!B1556,4)),VALUE(MID('Raw Orders'!B1556,6,2)),VALUE(MID('Raw Orders'!B1556,9,2))),DATE(VALUE(MID('Raw Orders'!B1556,7,4)),VALUE(MID('Raw Orders'!B1556,4,2)),VALUE(LEFT('Raw Orders'!B1556,2)))))</f>
        <v>46231</v>
      </c>
      <c r="B1559" s="36" t="n">
        <f aca="false">IF(A1559="","",A1559-WEEKDAY(A1559,3))</f>
        <v>46230</v>
      </c>
      <c r="C1559" s="32" t="n">
        <f aca="false">IF(OR('Raw Orders'!C1556&lt;&gt;"Product",'Raw Orders'!K1556="Cancelled"),0,'Raw Orders'!G1556)</f>
        <v>0</v>
      </c>
      <c r="D1559" s="31" t="n">
        <f aca="false">IF(AND('Raw Orders'!C1556="Product",'Raw Orders'!K1556="Fulfilled",COUNTIFS('Raw Orders'!$A$2:$A1556,'Raw Orders'!A1556,'Raw Orders'!$C$2:$C1556,"Product",'Raw Orders'!$K$2:$K1556,"Fulfilled")=1),1,0)</f>
        <v>0</v>
      </c>
      <c r="E1559" s="31" t="n">
        <f aca="false">IF(AND('Raw Orders'!C1556="Product",'Raw Orders'!K1556="Fulfilled"),'Raw Orders'!E1556,0)</f>
        <v>0</v>
      </c>
      <c r="F1559" s="32" t="n">
        <f aca="false">IF('Raw Orders'!K1556="Refunded",'Raw Orders'!G1556,0)</f>
        <v>0</v>
      </c>
    </row>
    <row r="1560" customFormat="false" ht="15" hidden="false" customHeight="false" outlineLevel="0" collapsed="false">
      <c r="A1560" s="36" t="n">
        <f aca="false">IF('Raw Orders'!B1557="","",IF(MID('Raw Orders'!B1557,5,1)="-",DATE(VALUE(LEFT('Raw Orders'!B1557,4)),VALUE(MID('Raw Orders'!B1557,6,2)),VALUE(MID('Raw Orders'!B1557,9,2))),DATE(VALUE(MID('Raw Orders'!B1557,7,4)),VALUE(MID('Raw Orders'!B1557,4,2)),VALUE(LEFT('Raw Orders'!B1557,2)))))</f>
        <v>46231</v>
      </c>
      <c r="B1560" s="36" t="n">
        <f aca="false">IF(A1560="","",A1560-WEEKDAY(A1560,3))</f>
        <v>46230</v>
      </c>
      <c r="C1560" s="32" t="n">
        <f aca="false">IF(OR('Raw Orders'!C1557&lt;&gt;"Product",'Raw Orders'!K1557="Cancelled"),0,'Raw Orders'!G1557)</f>
        <v>0</v>
      </c>
      <c r="D1560" s="31" t="n">
        <f aca="false">IF(AND('Raw Orders'!C1557="Product",'Raw Orders'!K1557="Fulfilled",COUNTIFS('Raw Orders'!$A$2:$A1557,'Raw Orders'!A1557,'Raw Orders'!$C$2:$C1557,"Product",'Raw Orders'!$K$2:$K1557,"Fulfilled")=1),1,0)</f>
        <v>0</v>
      </c>
      <c r="E1560" s="31" t="n">
        <f aca="false">IF(AND('Raw Orders'!C1557="Product",'Raw Orders'!K1557="Fulfilled"),'Raw Orders'!E1557,0)</f>
        <v>0</v>
      </c>
      <c r="F1560" s="32" t="n">
        <f aca="false">IF('Raw Orders'!K1557="Refunded",'Raw Orders'!G1557,0)</f>
        <v>0</v>
      </c>
    </row>
    <row r="1561" customFormat="false" ht="15" hidden="false" customHeight="false" outlineLevel="0" collapsed="false">
      <c r="A1561" s="36" t="n">
        <f aca="false">IF('Raw Orders'!B1558="","",IF(MID('Raw Orders'!B1558,5,1)="-",DATE(VALUE(LEFT('Raw Orders'!B1558,4)),VALUE(MID('Raw Orders'!B1558,6,2)),VALUE(MID('Raw Orders'!B1558,9,2))),DATE(VALUE(MID('Raw Orders'!B1558,7,4)),VALUE(MID('Raw Orders'!B1558,4,2)),VALUE(LEFT('Raw Orders'!B1558,2)))))</f>
        <v>46231</v>
      </c>
      <c r="B1561" s="36" t="n">
        <f aca="false">IF(A1561="","",A1561-WEEKDAY(A1561,3))</f>
        <v>46230</v>
      </c>
      <c r="C1561" s="32" t="n">
        <f aca="false">IF(OR('Raw Orders'!C1558&lt;&gt;"Product",'Raw Orders'!K1558="Cancelled"),0,'Raw Orders'!G1558)</f>
        <v>58</v>
      </c>
      <c r="D1561" s="31" t="n">
        <f aca="false">IF(AND('Raw Orders'!C1558="Product",'Raw Orders'!K1558="Fulfilled",COUNTIFS('Raw Orders'!$A$2:$A1558,'Raw Orders'!A1558,'Raw Orders'!$C$2:$C1558,"Product",'Raw Orders'!$K$2:$K1558,"Fulfilled")=1),1,0)</f>
        <v>1</v>
      </c>
      <c r="E1561" s="31" t="n">
        <f aca="false">IF(AND('Raw Orders'!C1558="Product",'Raw Orders'!K1558="Fulfilled"),'Raw Orders'!E1558,0)</f>
        <v>2</v>
      </c>
      <c r="F1561" s="32" t="n">
        <f aca="false">IF('Raw Orders'!K1558="Refunded",'Raw Orders'!G1558,0)</f>
        <v>0</v>
      </c>
    </row>
    <row r="1562" customFormat="false" ht="15" hidden="false" customHeight="false" outlineLevel="0" collapsed="false">
      <c r="A1562" s="36" t="n">
        <f aca="false">IF('Raw Orders'!B1559="","",IF(MID('Raw Orders'!B1559,5,1)="-",DATE(VALUE(LEFT('Raw Orders'!B1559,4)),VALUE(MID('Raw Orders'!B1559,6,2)),VALUE(MID('Raw Orders'!B1559,9,2))),DATE(VALUE(MID('Raw Orders'!B1559,7,4)),VALUE(MID('Raw Orders'!B1559,4,2)),VALUE(LEFT('Raw Orders'!B1559,2)))))</f>
        <v>46231</v>
      </c>
      <c r="B1562" s="36" t="n">
        <f aca="false">IF(A1562="","",A1562-WEEKDAY(A1562,3))</f>
        <v>46230</v>
      </c>
      <c r="C1562" s="32" t="n">
        <f aca="false">IF(OR('Raw Orders'!C1559&lt;&gt;"Product",'Raw Orders'!K1559="Cancelled"),0,'Raw Orders'!G1559)</f>
        <v>55.2</v>
      </c>
      <c r="D1562" s="31" t="n">
        <f aca="false">IF(AND('Raw Orders'!C1559="Product",'Raw Orders'!K1559="Fulfilled",COUNTIFS('Raw Orders'!$A$2:$A1559,'Raw Orders'!A1559,'Raw Orders'!$C$2:$C1559,"Product",'Raw Orders'!$K$2:$K1559,"Fulfilled")=1),1,0)</f>
        <v>1</v>
      </c>
      <c r="E1562" s="31" t="n">
        <f aca="false">IF(AND('Raw Orders'!C1559="Product",'Raw Orders'!K1559="Fulfilled"),'Raw Orders'!E1559,0)</f>
        <v>1</v>
      </c>
      <c r="F1562" s="32" t="n">
        <f aca="false">IF('Raw Orders'!K1559="Refunded",'Raw Orders'!G1559,0)</f>
        <v>0</v>
      </c>
    </row>
    <row r="1563" customFormat="false" ht="15" hidden="false" customHeight="false" outlineLevel="0" collapsed="false">
      <c r="A1563" s="36" t="n">
        <f aca="false">IF('Raw Orders'!B1560="","",IF(MID('Raw Orders'!B1560,5,1)="-",DATE(VALUE(LEFT('Raw Orders'!B1560,4)),VALUE(MID('Raw Orders'!B1560,6,2)),VALUE(MID('Raw Orders'!B1560,9,2))),DATE(VALUE(MID('Raw Orders'!B1560,7,4)),VALUE(MID('Raw Orders'!B1560,4,2)),VALUE(LEFT('Raw Orders'!B1560,2)))))</f>
        <v>46231</v>
      </c>
      <c r="B1563" s="36" t="n">
        <f aca="false">IF(A1563="","",A1563-WEEKDAY(A1563,3))</f>
        <v>46230</v>
      </c>
      <c r="C1563" s="32" t="n">
        <f aca="false">IF(OR('Raw Orders'!C1560&lt;&gt;"Product",'Raw Orders'!K1560="Cancelled"),0,'Raw Orders'!G1560)</f>
        <v>0</v>
      </c>
      <c r="D1563" s="31" t="n">
        <f aca="false">IF(AND('Raw Orders'!C1560="Product",'Raw Orders'!K1560="Fulfilled",COUNTIFS('Raw Orders'!$A$2:$A1560,'Raw Orders'!A1560,'Raw Orders'!$C$2:$C1560,"Product",'Raw Orders'!$K$2:$K1560,"Fulfilled")=1),1,0)</f>
        <v>0</v>
      </c>
      <c r="E1563" s="31" t="n">
        <f aca="false">IF(AND('Raw Orders'!C1560="Product",'Raw Orders'!K1560="Fulfilled"),'Raw Orders'!E1560,0)</f>
        <v>0</v>
      </c>
      <c r="F1563" s="32" t="n">
        <f aca="false">IF('Raw Orders'!K1560="Refunded",'Raw Orders'!G1560,0)</f>
        <v>0</v>
      </c>
    </row>
    <row r="1564" customFormat="false" ht="15" hidden="false" customHeight="false" outlineLevel="0" collapsed="false">
      <c r="A1564" s="36" t="n">
        <f aca="false">IF('Raw Orders'!B1561="","",IF(MID('Raw Orders'!B1561,5,1)="-",DATE(VALUE(LEFT('Raw Orders'!B1561,4)),VALUE(MID('Raw Orders'!B1561,6,2)),VALUE(MID('Raw Orders'!B1561,9,2))),DATE(VALUE(MID('Raw Orders'!B1561,7,4)),VALUE(MID('Raw Orders'!B1561,4,2)),VALUE(LEFT('Raw Orders'!B1561,2)))))</f>
        <v>46231</v>
      </c>
      <c r="B1564" s="36" t="n">
        <f aca="false">IF(A1564="","",A1564-WEEKDAY(A1564,3))</f>
        <v>46230</v>
      </c>
      <c r="C1564" s="32" t="n">
        <f aca="false">IF(OR('Raw Orders'!C1561&lt;&gt;"Product",'Raw Orders'!K1561="Cancelled"),0,'Raw Orders'!G1561)</f>
        <v>14</v>
      </c>
      <c r="D1564" s="31" t="n">
        <f aca="false">IF(AND('Raw Orders'!C1561="Product",'Raw Orders'!K1561="Fulfilled",COUNTIFS('Raw Orders'!$A$2:$A1561,'Raw Orders'!A1561,'Raw Orders'!$C$2:$C1561,"Product",'Raw Orders'!$K$2:$K1561,"Fulfilled")=1),1,0)</f>
        <v>1</v>
      </c>
      <c r="E1564" s="31" t="n">
        <f aca="false">IF(AND('Raw Orders'!C1561="Product",'Raw Orders'!K1561="Fulfilled"),'Raw Orders'!E1561,0)</f>
        <v>1</v>
      </c>
      <c r="F1564" s="32" t="n">
        <f aca="false">IF('Raw Orders'!K1561="Refunded",'Raw Orders'!G1561,0)</f>
        <v>0</v>
      </c>
    </row>
    <row r="1565" customFormat="false" ht="15" hidden="false" customHeight="false" outlineLevel="0" collapsed="false">
      <c r="A1565" s="36" t="n">
        <f aca="false">IF('Raw Orders'!B1562="","",IF(MID('Raw Orders'!B1562,5,1)="-",DATE(VALUE(LEFT('Raw Orders'!B1562,4)),VALUE(MID('Raw Orders'!B1562,6,2)),VALUE(MID('Raw Orders'!B1562,9,2))),DATE(VALUE(MID('Raw Orders'!B1562,7,4)),VALUE(MID('Raw Orders'!B1562,4,2)),VALUE(LEFT('Raw Orders'!B1562,2)))))</f>
        <v>46231</v>
      </c>
      <c r="B1565" s="36" t="n">
        <f aca="false">IF(A1565="","",A1565-WEEKDAY(A1565,3))</f>
        <v>46230</v>
      </c>
      <c r="C1565" s="32" t="n">
        <f aca="false">IF(OR('Raw Orders'!C1562&lt;&gt;"Product",'Raw Orders'!K1562="Cancelled"),0,'Raw Orders'!G1562)</f>
        <v>39</v>
      </c>
      <c r="D1565" s="31" t="n">
        <f aca="false">IF(AND('Raw Orders'!C1562="Product",'Raw Orders'!K1562="Fulfilled",COUNTIFS('Raw Orders'!$A$2:$A1562,'Raw Orders'!A1562,'Raw Orders'!$C$2:$C1562,"Product",'Raw Orders'!$K$2:$K1562,"Fulfilled")=1),1,0)</f>
        <v>1</v>
      </c>
      <c r="E1565" s="31" t="n">
        <f aca="false">IF(AND('Raw Orders'!C1562="Product",'Raw Orders'!K1562="Fulfilled"),'Raw Orders'!E1562,0)</f>
        <v>1</v>
      </c>
      <c r="F1565" s="32" t="n">
        <f aca="false">IF('Raw Orders'!K1562="Refunded",'Raw Orders'!G1562,0)</f>
        <v>0</v>
      </c>
    </row>
    <row r="1566" customFormat="false" ht="15" hidden="false" customHeight="false" outlineLevel="0" collapsed="false">
      <c r="A1566" s="36" t="n">
        <f aca="false">IF('Raw Orders'!B1563="","",IF(MID('Raw Orders'!B1563,5,1)="-",DATE(VALUE(LEFT('Raw Orders'!B1563,4)),VALUE(MID('Raw Orders'!B1563,6,2)),VALUE(MID('Raw Orders'!B1563,9,2))),DATE(VALUE(MID('Raw Orders'!B1563,7,4)),VALUE(MID('Raw Orders'!B1563,4,2)),VALUE(LEFT('Raw Orders'!B1563,2)))))</f>
        <v>46231</v>
      </c>
      <c r="B1566" s="36" t="n">
        <f aca="false">IF(A1566="","",A1566-WEEKDAY(A1566,3))</f>
        <v>46230</v>
      </c>
      <c r="C1566" s="32" t="n">
        <f aca="false">IF(OR('Raw Orders'!C1563&lt;&gt;"Product",'Raw Orders'!K1563="Cancelled"),0,'Raw Orders'!G1563)</f>
        <v>75</v>
      </c>
      <c r="D1566" s="31" t="n">
        <f aca="false">IF(AND('Raw Orders'!C1563="Product",'Raw Orders'!K1563="Fulfilled",COUNTIFS('Raw Orders'!$A$2:$A1563,'Raw Orders'!A1563,'Raw Orders'!$C$2:$C1563,"Product",'Raw Orders'!$K$2:$K1563,"Fulfilled")=1),1,0)</f>
        <v>0</v>
      </c>
      <c r="E1566" s="31" t="n">
        <f aca="false">IF(AND('Raw Orders'!C1563="Product",'Raw Orders'!K1563="Fulfilled"),'Raw Orders'!E1563,0)</f>
        <v>1</v>
      </c>
      <c r="F1566" s="32" t="n">
        <f aca="false">IF('Raw Orders'!K1563="Refunded",'Raw Orders'!G1563,0)</f>
        <v>0</v>
      </c>
    </row>
    <row r="1567" customFormat="false" ht="15" hidden="false" customHeight="false" outlineLevel="0" collapsed="false">
      <c r="A1567" s="36" t="n">
        <f aca="false">IF('Raw Orders'!B1564="","",IF(MID('Raw Orders'!B1564,5,1)="-",DATE(VALUE(LEFT('Raw Orders'!B1564,4)),VALUE(MID('Raw Orders'!B1564,6,2)),VALUE(MID('Raw Orders'!B1564,9,2))),DATE(VALUE(MID('Raw Orders'!B1564,7,4)),VALUE(MID('Raw Orders'!B1564,4,2)),VALUE(LEFT('Raw Orders'!B1564,2)))))</f>
        <v>46231</v>
      </c>
      <c r="B1567" s="36" t="n">
        <f aca="false">IF(A1567="","",A1567-WEEKDAY(A1567,3))</f>
        <v>46230</v>
      </c>
      <c r="C1567" s="32" t="n">
        <f aca="false">IF(OR('Raw Orders'!C1564&lt;&gt;"Product",'Raw Orders'!K1564="Cancelled"),0,'Raw Orders'!G1564)</f>
        <v>0</v>
      </c>
      <c r="D1567" s="31" t="n">
        <f aca="false">IF(AND('Raw Orders'!C1564="Product",'Raw Orders'!K1564="Fulfilled",COUNTIFS('Raw Orders'!$A$2:$A1564,'Raw Orders'!A1564,'Raw Orders'!$C$2:$C1564,"Product",'Raw Orders'!$K$2:$K1564,"Fulfilled")=1),1,0)</f>
        <v>0</v>
      </c>
      <c r="E1567" s="31" t="n">
        <f aca="false">IF(AND('Raw Orders'!C1564="Product",'Raw Orders'!K1564="Fulfilled"),'Raw Orders'!E1564,0)</f>
        <v>0</v>
      </c>
      <c r="F1567" s="32" t="n">
        <f aca="false">IF('Raw Orders'!K1564="Refunded",'Raw Orders'!G1564,0)</f>
        <v>0</v>
      </c>
    </row>
    <row r="1568" customFormat="false" ht="15" hidden="false" customHeight="false" outlineLevel="0" collapsed="false">
      <c r="A1568" s="36" t="n">
        <f aca="false">IF('Raw Orders'!B1565="","",IF(MID('Raw Orders'!B1565,5,1)="-",DATE(VALUE(LEFT('Raw Orders'!B1565,4)),VALUE(MID('Raw Orders'!B1565,6,2)),VALUE(MID('Raw Orders'!B1565,9,2))),DATE(VALUE(MID('Raw Orders'!B1565,7,4)),VALUE(MID('Raw Orders'!B1565,4,2)),VALUE(LEFT('Raw Orders'!B1565,2)))))</f>
        <v>46231</v>
      </c>
      <c r="B1568" s="36" t="n">
        <f aca="false">IF(A1568="","",A1568-WEEKDAY(A1568,3))</f>
        <v>46230</v>
      </c>
      <c r="C1568" s="32" t="n">
        <f aca="false">IF(OR('Raw Orders'!C1565&lt;&gt;"Product",'Raw Orders'!K1565="Cancelled"),0,'Raw Orders'!G1565)</f>
        <v>138</v>
      </c>
      <c r="D1568" s="31" t="n">
        <f aca="false">IF(AND('Raw Orders'!C1565="Product",'Raw Orders'!K1565="Fulfilled",COUNTIFS('Raw Orders'!$A$2:$A1565,'Raw Orders'!A1565,'Raw Orders'!$C$2:$C1565,"Product",'Raw Orders'!$K$2:$K1565,"Fulfilled")=1),1,0)</f>
        <v>1</v>
      </c>
      <c r="E1568" s="31" t="n">
        <f aca="false">IF(AND('Raw Orders'!C1565="Product",'Raw Orders'!K1565="Fulfilled"),'Raw Orders'!E1565,0)</f>
        <v>2</v>
      </c>
      <c r="F1568" s="32" t="n">
        <f aca="false">IF('Raw Orders'!K1565="Refunded",'Raw Orders'!G1565,0)</f>
        <v>0</v>
      </c>
    </row>
    <row r="1569" customFormat="false" ht="15" hidden="false" customHeight="false" outlineLevel="0" collapsed="false">
      <c r="A1569" s="36" t="n">
        <f aca="false">IF('Raw Orders'!B1566="","",IF(MID('Raw Orders'!B1566,5,1)="-",DATE(VALUE(LEFT('Raw Orders'!B1566,4)),VALUE(MID('Raw Orders'!B1566,6,2)),VALUE(MID('Raw Orders'!B1566,9,2))),DATE(VALUE(MID('Raw Orders'!B1566,7,4)),VALUE(MID('Raw Orders'!B1566,4,2)),VALUE(LEFT('Raw Orders'!B1566,2)))))</f>
        <v>46231</v>
      </c>
      <c r="B1569" s="36" t="n">
        <f aca="false">IF(A1569="","",A1569-WEEKDAY(A1569,3))</f>
        <v>46230</v>
      </c>
      <c r="C1569" s="32" t="n">
        <f aca="false">IF(OR('Raw Orders'!C1566&lt;&gt;"Product",'Raw Orders'!K1566="Cancelled"),0,'Raw Orders'!G1566)</f>
        <v>29</v>
      </c>
      <c r="D1569" s="31" t="n">
        <f aca="false">IF(AND('Raw Orders'!C1566="Product",'Raw Orders'!K1566="Fulfilled",COUNTIFS('Raw Orders'!$A$2:$A1566,'Raw Orders'!A1566,'Raw Orders'!$C$2:$C1566,"Product",'Raw Orders'!$K$2:$K1566,"Fulfilled")=1),1,0)</f>
        <v>1</v>
      </c>
      <c r="E1569" s="31" t="n">
        <f aca="false">IF(AND('Raw Orders'!C1566="Product",'Raw Orders'!K1566="Fulfilled"),'Raw Orders'!E1566,0)</f>
        <v>1</v>
      </c>
      <c r="F1569" s="32" t="n">
        <f aca="false">IF('Raw Orders'!K1566="Refunded",'Raw Orders'!G1566,0)</f>
        <v>0</v>
      </c>
    </row>
    <row r="1570" customFormat="false" ht="15" hidden="false" customHeight="false" outlineLevel="0" collapsed="false">
      <c r="A1570" s="36" t="n">
        <f aca="false">IF('Raw Orders'!B1567="","",IF(MID('Raw Orders'!B1567,5,1)="-",DATE(VALUE(LEFT('Raw Orders'!B1567,4)),VALUE(MID('Raw Orders'!B1567,6,2)),VALUE(MID('Raw Orders'!B1567,9,2))),DATE(VALUE(MID('Raw Orders'!B1567,7,4)),VALUE(MID('Raw Orders'!B1567,4,2)),VALUE(LEFT('Raw Orders'!B1567,2)))))</f>
        <v>46231</v>
      </c>
      <c r="B1570" s="36" t="n">
        <f aca="false">IF(A1570="","",A1570-WEEKDAY(A1570,3))</f>
        <v>46230</v>
      </c>
      <c r="C1570" s="32" t="n">
        <f aca="false">IF(OR('Raw Orders'!C1567&lt;&gt;"Product",'Raw Orders'!K1567="Cancelled"),0,'Raw Orders'!G1567)</f>
        <v>35</v>
      </c>
      <c r="D1570" s="31" t="n">
        <f aca="false">IF(AND('Raw Orders'!C1567="Product",'Raw Orders'!K1567="Fulfilled",COUNTIFS('Raw Orders'!$A$2:$A1567,'Raw Orders'!A1567,'Raw Orders'!$C$2:$C1567,"Product",'Raw Orders'!$K$2:$K1567,"Fulfilled")=1),1,0)</f>
        <v>0</v>
      </c>
      <c r="E1570" s="31" t="n">
        <f aca="false">IF(AND('Raw Orders'!C1567="Product",'Raw Orders'!K1567="Fulfilled"),'Raw Orders'!E1567,0)</f>
        <v>1</v>
      </c>
      <c r="F1570" s="32" t="n">
        <f aca="false">IF('Raw Orders'!K1567="Refunded",'Raw Orders'!G1567,0)</f>
        <v>0</v>
      </c>
    </row>
    <row r="1571" customFormat="false" ht="15" hidden="false" customHeight="false" outlineLevel="0" collapsed="false">
      <c r="A1571" s="36" t="n">
        <f aca="false">IF('Raw Orders'!B1568="","",IF(MID('Raw Orders'!B1568,5,1)="-",DATE(VALUE(LEFT('Raw Orders'!B1568,4)),VALUE(MID('Raw Orders'!B1568,6,2)),VALUE(MID('Raw Orders'!B1568,9,2))),DATE(VALUE(MID('Raw Orders'!B1568,7,4)),VALUE(MID('Raw Orders'!B1568,4,2)),VALUE(LEFT('Raw Orders'!B1568,2)))))</f>
        <v>46231</v>
      </c>
      <c r="B1571" s="36" t="n">
        <f aca="false">IF(A1571="","",A1571-WEEKDAY(A1571,3))</f>
        <v>46230</v>
      </c>
      <c r="C1571" s="32" t="n">
        <f aca="false">IF(OR('Raw Orders'!C1568&lt;&gt;"Product",'Raw Orders'!K1568="Cancelled"),0,'Raw Orders'!G1568)</f>
        <v>89</v>
      </c>
      <c r="D1571" s="31" t="n">
        <f aca="false">IF(AND('Raw Orders'!C1568="Product",'Raw Orders'!K1568="Fulfilled",COUNTIFS('Raw Orders'!$A$2:$A1568,'Raw Orders'!A1568,'Raw Orders'!$C$2:$C1568,"Product",'Raw Orders'!$K$2:$K1568,"Fulfilled")=1),1,0)</f>
        <v>0</v>
      </c>
      <c r="E1571" s="31" t="n">
        <f aca="false">IF(AND('Raw Orders'!C1568="Product",'Raw Orders'!K1568="Fulfilled"),'Raw Orders'!E1568,0)</f>
        <v>1</v>
      </c>
      <c r="F1571" s="32" t="n">
        <f aca="false">IF('Raw Orders'!K1568="Refunded",'Raw Orders'!G1568,0)</f>
        <v>0</v>
      </c>
    </row>
    <row r="1572" customFormat="false" ht="15" hidden="false" customHeight="false" outlineLevel="0" collapsed="false">
      <c r="A1572" s="36" t="n">
        <f aca="false">IF('Raw Orders'!B1569="","",IF(MID('Raw Orders'!B1569,5,1)="-",DATE(VALUE(LEFT('Raw Orders'!B1569,4)),VALUE(MID('Raw Orders'!B1569,6,2)),VALUE(MID('Raw Orders'!B1569,9,2))),DATE(VALUE(MID('Raw Orders'!B1569,7,4)),VALUE(MID('Raw Orders'!B1569,4,2)),VALUE(LEFT('Raw Orders'!B1569,2)))))</f>
        <v>46231</v>
      </c>
      <c r="B1572" s="36" t="n">
        <f aca="false">IF(A1572="","",A1572-WEEKDAY(A1572,3))</f>
        <v>46230</v>
      </c>
      <c r="C1572" s="32" t="n">
        <f aca="false">IF(OR('Raw Orders'!C1569&lt;&gt;"Product",'Raw Orders'!K1569="Cancelled"),0,'Raw Orders'!G1569)</f>
        <v>0</v>
      </c>
      <c r="D1572" s="31" t="n">
        <f aca="false">IF(AND('Raw Orders'!C1569="Product",'Raw Orders'!K1569="Fulfilled",COUNTIFS('Raw Orders'!$A$2:$A1569,'Raw Orders'!A1569,'Raw Orders'!$C$2:$C1569,"Product",'Raw Orders'!$K$2:$K1569,"Fulfilled")=1),1,0)</f>
        <v>0</v>
      </c>
      <c r="E1572" s="31" t="n">
        <f aca="false">IF(AND('Raw Orders'!C1569="Product",'Raw Orders'!K1569="Fulfilled"),'Raw Orders'!E1569,0)</f>
        <v>0</v>
      </c>
      <c r="F1572" s="32" t="n">
        <f aca="false">IF('Raw Orders'!K1569="Refunded",'Raw Orders'!G1569,0)</f>
        <v>0</v>
      </c>
    </row>
    <row r="1573" customFormat="false" ht="15" hidden="false" customHeight="false" outlineLevel="0" collapsed="false">
      <c r="A1573" s="36" t="n">
        <f aca="false">IF('Raw Orders'!B1570="","",IF(MID('Raw Orders'!B1570,5,1)="-",DATE(VALUE(LEFT('Raw Orders'!B1570,4)),VALUE(MID('Raw Orders'!B1570,6,2)),VALUE(MID('Raw Orders'!B1570,9,2))),DATE(VALUE(MID('Raw Orders'!B1570,7,4)),VALUE(MID('Raw Orders'!B1570,4,2)),VALUE(LEFT('Raw Orders'!B1570,2)))))</f>
        <v>46232</v>
      </c>
      <c r="B1573" s="36" t="n">
        <f aca="false">IF(A1573="","",A1573-WEEKDAY(A1573,3))</f>
        <v>46230</v>
      </c>
      <c r="C1573" s="32" t="n">
        <f aca="false">IF(OR('Raw Orders'!C1570&lt;&gt;"Product",'Raw Orders'!K1570="Cancelled"),0,'Raw Orders'!G1570)</f>
        <v>75</v>
      </c>
      <c r="D1573" s="31" t="n">
        <f aca="false">IF(AND('Raw Orders'!C1570="Product",'Raw Orders'!K1570="Fulfilled",COUNTIFS('Raw Orders'!$A$2:$A1570,'Raw Orders'!A1570,'Raw Orders'!$C$2:$C1570,"Product",'Raw Orders'!$K$2:$K1570,"Fulfilled")=1),1,0)</f>
        <v>1</v>
      </c>
      <c r="E1573" s="31" t="n">
        <f aca="false">IF(AND('Raw Orders'!C1570="Product",'Raw Orders'!K1570="Fulfilled"),'Raw Orders'!E1570,0)</f>
        <v>1</v>
      </c>
      <c r="F1573" s="32" t="n">
        <f aca="false">IF('Raw Orders'!K1570="Refunded",'Raw Orders'!G1570,0)</f>
        <v>0</v>
      </c>
    </row>
    <row r="1574" customFormat="false" ht="15" hidden="false" customHeight="false" outlineLevel="0" collapsed="false">
      <c r="A1574" s="36" t="n">
        <f aca="false">IF('Raw Orders'!B1571="","",IF(MID('Raw Orders'!B1571,5,1)="-",DATE(VALUE(LEFT('Raw Orders'!B1571,4)),VALUE(MID('Raw Orders'!B1571,6,2)),VALUE(MID('Raw Orders'!B1571,9,2))),DATE(VALUE(MID('Raw Orders'!B1571,7,4)),VALUE(MID('Raw Orders'!B1571,4,2)),VALUE(LEFT('Raw Orders'!B1571,2)))))</f>
        <v>46232</v>
      </c>
      <c r="B1574" s="36" t="n">
        <f aca="false">IF(A1574="","",A1574-WEEKDAY(A1574,3))</f>
        <v>46230</v>
      </c>
      <c r="C1574" s="32" t="n">
        <f aca="false">IF(OR('Raw Orders'!C1571&lt;&gt;"Product",'Raw Orders'!K1571="Cancelled"),0,'Raw Orders'!G1571)</f>
        <v>89</v>
      </c>
      <c r="D1574" s="31" t="n">
        <f aca="false">IF(AND('Raw Orders'!C1571="Product",'Raw Orders'!K1571="Fulfilled",COUNTIFS('Raw Orders'!$A$2:$A1571,'Raw Orders'!A1571,'Raw Orders'!$C$2:$C1571,"Product",'Raw Orders'!$K$2:$K1571,"Fulfilled")=1),1,0)</f>
        <v>0</v>
      </c>
      <c r="E1574" s="31" t="n">
        <f aca="false">IF(AND('Raw Orders'!C1571="Product",'Raw Orders'!K1571="Fulfilled"),'Raw Orders'!E1571,0)</f>
        <v>1</v>
      </c>
      <c r="F1574" s="32" t="n">
        <f aca="false">IF('Raw Orders'!K1571="Refunded",'Raw Orders'!G1571,0)</f>
        <v>0</v>
      </c>
    </row>
    <row r="1575" customFormat="false" ht="15" hidden="false" customHeight="false" outlineLevel="0" collapsed="false">
      <c r="A1575" s="36" t="n">
        <f aca="false">IF('Raw Orders'!B1572="","",IF(MID('Raw Orders'!B1572,5,1)="-",DATE(VALUE(LEFT('Raw Orders'!B1572,4)),VALUE(MID('Raw Orders'!B1572,6,2)),VALUE(MID('Raw Orders'!B1572,9,2))),DATE(VALUE(MID('Raw Orders'!B1572,7,4)),VALUE(MID('Raw Orders'!B1572,4,2)),VALUE(LEFT('Raw Orders'!B1572,2)))))</f>
        <v>46232</v>
      </c>
      <c r="B1575" s="36" t="n">
        <f aca="false">IF(A1575="","",A1575-WEEKDAY(A1575,3))</f>
        <v>46230</v>
      </c>
      <c r="C1575" s="32" t="n">
        <f aca="false">IF(OR('Raw Orders'!C1572&lt;&gt;"Product",'Raw Orders'!K1572="Cancelled"),0,'Raw Orders'!G1572)</f>
        <v>32</v>
      </c>
      <c r="D1575" s="31" t="n">
        <f aca="false">IF(AND('Raw Orders'!C1572="Product",'Raw Orders'!K1572="Fulfilled",COUNTIFS('Raw Orders'!$A$2:$A1572,'Raw Orders'!A1572,'Raw Orders'!$C$2:$C1572,"Product",'Raw Orders'!$K$2:$K1572,"Fulfilled")=1),1,0)</f>
        <v>1</v>
      </c>
      <c r="E1575" s="31" t="n">
        <f aca="false">IF(AND('Raw Orders'!C1572="Product",'Raw Orders'!K1572="Fulfilled"),'Raw Orders'!E1572,0)</f>
        <v>1</v>
      </c>
      <c r="F1575" s="32" t="n">
        <f aca="false">IF('Raw Orders'!K1572="Refunded",'Raw Orders'!G1572,0)</f>
        <v>0</v>
      </c>
    </row>
    <row r="1576" customFormat="false" ht="15" hidden="false" customHeight="false" outlineLevel="0" collapsed="false">
      <c r="A1576" s="36" t="n">
        <f aca="false">IF('Raw Orders'!B1573="","",IF(MID('Raw Orders'!B1573,5,1)="-",DATE(VALUE(LEFT('Raw Orders'!B1573,4)),VALUE(MID('Raw Orders'!B1573,6,2)),VALUE(MID('Raw Orders'!B1573,9,2))),DATE(VALUE(MID('Raw Orders'!B1573,7,4)),VALUE(MID('Raw Orders'!B1573,4,2)),VALUE(LEFT('Raw Orders'!B1573,2)))))</f>
        <v>46232</v>
      </c>
      <c r="B1576" s="36" t="n">
        <f aca="false">IF(A1576="","",A1576-WEEKDAY(A1576,3))</f>
        <v>46230</v>
      </c>
      <c r="C1576" s="32" t="n">
        <f aca="false">IF(OR('Raw Orders'!C1573&lt;&gt;"Product",'Raw Orders'!K1573="Cancelled"),0,'Raw Orders'!G1573)</f>
        <v>0</v>
      </c>
      <c r="D1576" s="31" t="n">
        <f aca="false">IF(AND('Raw Orders'!C1573="Product",'Raw Orders'!K1573="Fulfilled",COUNTIFS('Raw Orders'!$A$2:$A1573,'Raw Orders'!A1573,'Raw Orders'!$C$2:$C1573,"Product",'Raw Orders'!$K$2:$K1573,"Fulfilled")=1),1,0)</f>
        <v>0</v>
      </c>
      <c r="E1576" s="31" t="n">
        <f aca="false">IF(AND('Raw Orders'!C1573="Product",'Raw Orders'!K1573="Fulfilled"),'Raw Orders'!E1573,0)</f>
        <v>0</v>
      </c>
      <c r="F1576" s="32" t="n">
        <f aca="false">IF('Raw Orders'!K1573="Refunded",'Raw Orders'!G1573,0)</f>
        <v>0</v>
      </c>
    </row>
    <row r="1577" customFormat="false" ht="15" hidden="false" customHeight="false" outlineLevel="0" collapsed="false">
      <c r="A1577" s="36" t="n">
        <f aca="false">IF('Raw Orders'!B1574="","",IF(MID('Raw Orders'!B1574,5,1)="-",DATE(VALUE(LEFT('Raw Orders'!B1574,4)),VALUE(MID('Raw Orders'!B1574,6,2)),VALUE(MID('Raw Orders'!B1574,9,2))),DATE(VALUE(MID('Raw Orders'!B1574,7,4)),VALUE(MID('Raw Orders'!B1574,4,2)),VALUE(LEFT('Raw Orders'!B1574,2)))))</f>
        <v>46232</v>
      </c>
      <c r="B1577" s="36" t="n">
        <f aca="false">IF(A1577="","",A1577-WEEKDAY(A1577,3))</f>
        <v>46230</v>
      </c>
      <c r="C1577" s="32" t="n">
        <f aca="false">IF(OR('Raw Orders'!C1574&lt;&gt;"Product",'Raw Orders'!K1574="Cancelled"),0,'Raw Orders'!G1574)</f>
        <v>178</v>
      </c>
      <c r="D1577" s="31" t="n">
        <f aca="false">IF(AND('Raw Orders'!C1574="Product",'Raw Orders'!K1574="Fulfilled",COUNTIFS('Raw Orders'!$A$2:$A1574,'Raw Orders'!A1574,'Raw Orders'!$C$2:$C1574,"Product",'Raw Orders'!$K$2:$K1574,"Fulfilled")=1),1,0)</f>
        <v>1</v>
      </c>
      <c r="E1577" s="31" t="n">
        <f aca="false">IF(AND('Raw Orders'!C1574="Product",'Raw Orders'!K1574="Fulfilled"),'Raw Orders'!E1574,0)</f>
        <v>2</v>
      </c>
      <c r="F1577" s="32" t="n">
        <f aca="false">IF('Raw Orders'!K1574="Refunded",'Raw Orders'!G1574,0)</f>
        <v>0</v>
      </c>
    </row>
    <row r="1578" customFormat="false" ht="15" hidden="false" customHeight="false" outlineLevel="0" collapsed="false">
      <c r="A1578" s="36" t="n">
        <f aca="false">IF('Raw Orders'!B1575="","",IF(MID('Raw Orders'!B1575,5,1)="-",DATE(VALUE(LEFT('Raw Orders'!B1575,4)),VALUE(MID('Raw Orders'!B1575,6,2)),VALUE(MID('Raw Orders'!B1575,9,2))),DATE(VALUE(MID('Raw Orders'!B1575,7,4)),VALUE(MID('Raw Orders'!B1575,4,2)),VALUE(LEFT('Raw Orders'!B1575,2)))))</f>
        <v>46232</v>
      </c>
      <c r="B1578" s="36" t="n">
        <f aca="false">IF(A1578="","",A1578-WEEKDAY(A1578,3))</f>
        <v>46230</v>
      </c>
      <c r="C1578" s="32" t="n">
        <f aca="false">IF(OR('Raw Orders'!C1575&lt;&gt;"Product",'Raw Orders'!K1575="Cancelled"),0,'Raw Orders'!G1575)</f>
        <v>58</v>
      </c>
      <c r="D1578" s="31" t="n">
        <f aca="false">IF(AND('Raw Orders'!C1575="Product",'Raw Orders'!K1575="Fulfilled",COUNTIFS('Raw Orders'!$A$2:$A1575,'Raw Orders'!A1575,'Raw Orders'!$C$2:$C1575,"Product",'Raw Orders'!$K$2:$K1575,"Fulfilled")=1),1,0)</f>
        <v>0</v>
      </c>
      <c r="E1578" s="31" t="n">
        <f aca="false">IF(AND('Raw Orders'!C1575="Product",'Raw Orders'!K1575="Fulfilled"),'Raw Orders'!E1575,0)</f>
        <v>2</v>
      </c>
      <c r="F1578" s="32" t="n">
        <f aca="false">IF('Raw Orders'!K1575="Refunded",'Raw Orders'!G1575,0)</f>
        <v>0</v>
      </c>
    </row>
    <row r="1579" customFormat="false" ht="15" hidden="false" customHeight="false" outlineLevel="0" collapsed="false">
      <c r="A1579" s="36" t="n">
        <f aca="false">IF('Raw Orders'!B1576="","",IF(MID('Raw Orders'!B1576,5,1)="-",DATE(VALUE(LEFT('Raw Orders'!B1576,4)),VALUE(MID('Raw Orders'!B1576,6,2)),VALUE(MID('Raw Orders'!B1576,9,2))),DATE(VALUE(MID('Raw Orders'!B1576,7,4)),VALUE(MID('Raw Orders'!B1576,4,2)),VALUE(LEFT('Raw Orders'!B1576,2)))))</f>
        <v>46232</v>
      </c>
      <c r="B1579" s="36" t="n">
        <f aca="false">IF(A1579="","",A1579-WEEKDAY(A1579,3))</f>
        <v>46230</v>
      </c>
      <c r="C1579" s="32" t="n">
        <f aca="false">IF(OR('Raw Orders'!C1576&lt;&gt;"Product",'Raw Orders'!K1576="Cancelled"),0,'Raw Orders'!G1576)</f>
        <v>0</v>
      </c>
      <c r="D1579" s="31" t="n">
        <f aca="false">IF(AND('Raw Orders'!C1576="Product",'Raw Orders'!K1576="Fulfilled",COUNTIFS('Raw Orders'!$A$2:$A1576,'Raw Orders'!A1576,'Raw Orders'!$C$2:$C1576,"Product",'Raw Orders'!$K$2:$K1576,"Fulfilled")=1),1,0)</f>
        <v>0</v>
      </c>
      <c r="E1579" s="31" t="n">
        <f aca="false">IF(AND('Raw Orders'!C1576="Product",'Raw Orders'!K1576="Fulfilled"),'Raw Orders'!E1576,0)</f>
        <v>0</v>
      </c>
      <c r="F1579" s="32" t="n">
        <f aca="false">IF('Raw Orders'!K1576="Refunded",'Raw Orders'!G1576,0)</f>
        <v>0</v>
      </c>
    </row>
    <row r="1580" customFormat="false" ht="15" hidden="false" customHeight="false" outlineLevel="0" collapsed="false">
      <c r="A1580" s="36" t="n">
        <f aca="false">IF('Raw Orders'!B1577="","",IF(MID('Raw Orders'!B1577,5,1)="-",DATE(VALUE(LEFT('Raw Orders'!B1577,4)),VALUE(MID('Raw Orders'!B1577,6,2)),VALUE(MID('Raw Orders'!B1577,9,2))),DATE(VALUE(MID('Raw Orders'!B1577,7,4)),VALUE(MID('Raw Orders'!B1577,4,2)),VALUE(LEFT('Raw Orders'!B1577,2)))))</f>
        <v>46232</v>
      </c>
      <c r="B1580" s="36" t="n">
        <f aca="false">IF(A1580="","",A1580-WEEKDAY(A1580,3))</f>
        <v>46230</v>
      </c>
      <c r="C1580" s="32" t="n">
        <f aca="false">IF(OR('Raw Orders'!C1577&lt;&gt;"Product",'Raw Orders'!K1577="Cancelled"),0,'Raw Orders'!G1577)</f>
        <v>32</v>
      </c>
      <c r="D1580" s="31" t="n">
        <f aca="false">IF(AND('Raw Orders'!C1577="Product",'Raw Orders'!K1577="Fulfilled",COUNTIFS('Raw Orders'!$A$2:$A1577,'Raw Orders'!A1577,'Raw Orders'!$C$2:$C1577,"Product",'Raw Orders'!$K$2:$K1577,"Fulfilled")=1),1,0)</f>
        <v>0</v>
      </c>
      <c r="E1580" s="31" t="n">
        <f aca="false">IF(AND('Raw Orders'!C1577="Product",'Raw Orders'!K1577="Fulfilled"),'Raw Orders'!E1577,0)</f>
        <v>1</v>
      </c>
      <c r="F1580" s="32" t="n">
        <f aca="false">IF('Raw Orders'!K1577="Refunded",'Raw Orders'!G1577,0)</f>
        <v>0</v>
      </c>
    </row>
    <row r="1581" customFormat="false" ht="15" hidden="false" customHeight="false" outlineLevel="0" collapsed="false">
      <c r="A1581" s="36" t="n">
        <f aca="false">IF('Raw Orders'!B1578="","",IF(MID('Raw Orders'!B1578,5,1)="-",DATE(VALUE(LEFT('Raw Orders'!B1578,4)),VALUE(MID('Raw Orders'!B1578,6,2)),VALUE(MID('Raw Orders'!B1578,9,2))),DATE(VALUE(MID('Raw Orders'!B1578,7,4)),VALUE(MID('Raw Orders'!B1578,4,2)),VALUE(LEFT('Raw Orders'!B1578,2)))))</f>
        <v>46232</v>
      </c>
      <c r="B1581" s="36" t="n">
        <f aca="false">IF(A1581="","",A1581-WEEKDAY(A1581,3))</f>
        <v>46230</v>
      </c>
      <c r="C1581" s="32" t="n">
        <f aca="false">IF(OR('Raw Orders'!C1578&lt;&gt;"Product",'Raw Orders'!K1578="Cancelled"),0,'Raw Orders'!G1578)</f>
        <v>29</v>
      </c>
      <c r="D1581" s="31" t="n">
        <f aca="false">IF(AND('Raw Orders'!C1578="Product",'Raw Orders'!K1578="Fulfilled",COUNTIFS('Raw Orders'!$A$2:$A1578,'Raw Orders'!A1578,'Raw Orders'!$C$2:$C1578,"Product",'Raw Orders'!$K$2:$K1578,"Fulfilled")=1),1,0)</f>
        <v>1</v>
      </c>
      <c r="E1581" s="31" t="n">
        <f aca="false">IF(AND('Raw Orders'!C1578="Product",'Raw Orders'!K1578="Fulfilled"),'Raw Orders'!E1578,0)</f>
        <v>1</v>
      </c>
      <c r="F1581" s="32" t="n">
        <f aca="false">IF('Raw Orders'!K1578="Refunded",'Raw Orders'!G1578,0)</f>
        <v>0</v>
      </c>
    </row>
    <row r="1582" customFormat="false" ht="15" hidden="false" customHeight="false" outlineLevel="0" collapsed="false">
      <c r="A1582" s="36" t="n">
        <f aca="false">IF('Raw Orders'!B1579="","",IF(MID('Raw Orders'!B1579,5,1)="-",DATE(VALUE(LEFT('Raw Orders'!B1579,4)),VALUE(MID('Raw Orders'!B1579,6,2)),VALUE(MID('Raw Orders'!B1579,9,2))),DATE(VALUE(MID('Raw Orders'!B1579,7,4)),VALUE(MID('Raw Orders'!B1579,4,2)),VALUE(LEFT('Raw Orders'!B1579,2)))))</f>
        <v>46232</v>
      </c>
      <c r="B1582" s="36" t="n">
        <f aca="false">IF(A1582="","",A1582-WEEKDAY(A1582,3))</f>
        <v>46230</v>
      </c>
      <c r="C1582" s="32" t="n">
        <f aca="false">IF(OR('Raw Orders'!C1579&lt;&gt;"Product",'Raw Orders'!K1579="Cancelled"),0,'Raw Orders'!G1579)</f>
        <v>0</v>
      </c>
      <c r="D1582" s="31" t="n">
        <f aca="false">IF(AND('Raw Orders'!C1579="Product",'Raw Orders'!K1579="Fulfilled",COUNTIFS('Raw Orders'!$A$2:$A1579,'Raw Orders'!A1579,'Raw Orders'!$C$2:$C1579,"Product",'Raw Orders'!$K$2:$K1579,"Fulfilled")=1),1,0)</f>
        <v>0</v>
      </c>
      <c r="E1582" s="31" t="n">
        <f aca="false">IF(AND('Raw Orders'!C1579="Product",'Raw Orders'!K1579="Fulfilled"),'Raw Orders'!E1579,0)</f>
        <v>0</v>
      </c>
      <c r="F1582" s="32" t="n">
        <f aca="false">IF('Raw Orders'!K1579="Refunded",'Raw Orders'!G1579,0)</f>
        <v>0</v>
      </c>
    </row>
    <row r="1583" customFormat="false" ht="15" hidden="false" customHeight="false" outlineLevel="0" collapsed="false">
      <c r="A1583" s="36" t="n">
        <f aca="false">IF('Raw Orders'!B1580="","",IF(MID('Raw Orders'!B1580,5,1)="-",DATE(VALUE(LEFT('Raw Orders'!B1580,4)),VALUE(MID('Raw Orders'!B1580,6,2)),VALUE(MID('Raw Orders'!B1580,9,2))),DATE(VALUE(MID('Raw Orders'!B1580,7,4)),VALUE(MID('Raw Orders'!B1580,4,2)),VALUE(LEFT('Raw Orders'!B1580,2)))))</f>
        <v>46232</v>
      </c>
      <c r="B1583" s="36" t="n">
        <f aca="false">IF(A1583="","",A1583-WEEKDAY(A1583,3))</f>
        <v>46230</v>
      </c>
      <c r="C1583" s="32" t="n">
        <f aca="false">IF(OR('Raw Orders'!C1580&lt;&gt;"Product",'Raw Orders'!K1580="Cancelled"),0,'Raw Orders'!G1580)</f>
        <v>89</v>
      </c>
      <c r="D1583" s="31" t="n">
        <f aca="false">IF(AND('Raw Orders'!C1580="Product",'Raw Orders'!K1580="Fulfilled",COUNTIFS('Raw Orders'!$A$2:$A1580,'Raw Orders'!A1580,'Raw Orders'!$C$2:$C1580,"Product",'Raw Orders'!$K$2:$K1580,"Fulfilled")=1),1,0)</f>
        <v>0</v>
      </c>
      <c r="E1583" s="31" t="n">
        <f aca="false">IF(AND('Raw Orders'!C1580="Product",'Raw Orders'!K1580="Fulfilled"),'Raw Orders'!E1580,0)</f>
        <v>1</v>
      </c>
      <c r="F1583" s="32" t="n">
        <f aca="false">IF('Raw Orders'!K1580="Refunded",'Raw Orders'!G1580,0)</f>
        <v>0</v>
      </c>
    </row>
    <row r="1584" customFormat="false" ht="15" hidden="false" customHeight="false" outlineLevel="0" collapsed="false">
      <c r="A1584" s="36" t="n">
        <f aca="false">IF('Raw Orders'!B1581="","",IF(MID('Raw Orders'!B1581,5,1)="-",DATE(VALUE(LEFT('Raw Orders'!B1581,4)),VALUE(MID('Raw Orders'!B1581,6,2)),VALUE(MID('Raw Orders'!B1581,9,2))),DATE(VALUE(MID('Raw Orders'!B1581,7,4)),VALUE(MID('Raw Orders'!B1581,4,2)),VALUE(LEFT('Raw Orders'!B1581,2)))))</f>
        <v>46232</v>
      </c>
      <c r="B1584" s="36" t="n">
        <f aca="false">IF(A1584="","",A1584-WEEKDAY(A1584,3))</f>
        <v>46230</v>
      </c>
      <c r="C1584" s="32" t="n">
        <f aca="false">IF(OR('Raw Orders'!C1581&lt;&gt;"Product",'Raw Orders'!K1581="Cancelled"),0,'Raw Orders'!G1581)</f>
        <v>32</v>
      </c>
      <c r="D1584" s="31" t="n">
        <f aca="false">IF(AND('Raw Orders'!C1581="Product",'Raw Orders'!K1581="Fulfilled",COUNTIFS('Raw Orders'!$A$2:$A1581,'Raw Orders'!A1581,'Raw Orders'!$C$2:$C1581,"Product",'Raw Orders'!$K$2:$K1581,"Fulfilled")=1),1,0)</f>
        <v>0</v>
      </c>
      <c r="E1584" s="31" t="n">
        <f aca="false">IF(AND('Raw Orders'!C1581="Product",'Raw Orders'!K1581="Fulfilled"),'Raw Orders'!E1581,0)</f>
        <v>1</v>
      </c>
      <c r="F1584" s="32" t="n">
        <f aca="false">IF('Raw Orders'!K1581="Refunded",'Raw Orders'!G1581,0)</f>
        <v>0</v>
      </c>
    </row>
    <row r="1585" customFormat="false" ht="15" hidden="false" customHeight="false" outlineLevel="0" collapsed="false">
      <c r="A1585" s="36" t="n">
        <f aca="false">IF('Raw Orders'!B1582="","",IF(MID('Raw Orders'!B1582,5,1)="-",DATE(VALUE(LEFT('Raw Orders'!B1582,4)),VALUE(MID('Raw Orders'!B1582,6,2)),VALUE(MID('Raw Orders'!B1582,9,2))),DATE(VALUE(MID('Raw Orders'!B1582,7,4)),VALUE(MID('Raw Orders'!B1582,4,2)),VALUE(LEFT('Raw Orders'!B1582,2)))))</f>
        <v>46232</v>
      </c>
      <c r="B1585" s="36" t="n">
        <f aca="false">IF(A1585="","",A1585-WEEKDAY(A1585,3))</f>
        <v>46230</v>
      </c>
      <c r="C1585" s="32" t="n">
        <f aca="false">IF(OR('Raw Orders'!C1582&lt;&gt;"Product",'Raw Orders'!K1582="Cancelled"),0,'Raw Orders'!G1582)</f>
        <v>78</v>
      </c>
      <c r="D1585" s="31" t="n">
        <f aca="false">IF(AND('Raw Orders'!C1582="Product",'Raw Orders'!K1582="Fulfilled",COUNTIFS('Raw Orders'!$A$2:$A1582,'Raw Orders'!A1582,'Raw Orders'!$C$2:$C1582,"Product",'Raw Orders'!$K$2:$K1582,"Fulfilled")=1),1,0)</f>
        <v>1</v>
      </c>
      <c r="E1585" s="31" t="n">
        <f aca="false">IF(AND('Raw Orders'!C1582="Product",'Raw Orders'!K1582="Fulfilled"),'Raw Orders'!E1582,0)</f>
        <v>2</v>
      </c>
      <c r="F1585" s="32" t="n">
        <f aca="false">IF('Raw Orders'!K1582="Refunded",'Raw Orders'!G1582,0)</f>
        <v>0</v>
      </c>
    </row>
    <row r="1586" customFormat="false" ht="15" hidden="false" customHeight="false" outlineLevel="0" collapsed="false">
      <c r="A1586" s="36" t="n">
        <f aca="false">IF('Raw Orders'!B1583="","",IF(MID('Raw Orders'!B1583,5,1)="-",DATE(VALUE(LEFT('Raw Orders'!B1583,4)),VALUE(MID('Raw Orders'!B1583,6,2)),VALUE(MID('Raw Orders'!B1583,9,2))),DATE(VALUE(MID('Raw Orders'!B1583,7,4)),VALUE(MID('Raw Orders'!B1583,4,2)),VALUE(LEFT('Raw Orders'!B1583,2)))))</f>
        <v>46232</v>
      </c>
      <c r="B1586" s="36" t="n">
        <f aca="false">IF(A1586="","",A1586-WEEKDAY(A1586,3))</f>
        <v>46230</v>
      </c>
      <c r="C1586" s="32" t="n">
        <f aca="false">IF(OR('Raw Orders'!C1583&lt;&gt;"Product",'Raw Orders'!K1583="Cancelled"),0,'Raw Orders'!G1583)</f>
        <v>0</v>
      </c>
      <c r="D1586" s="31" t="n">
        <f aca="false">IF(AND('Raw Orders'!C1583="Product",'Raw Orders'!K1583="Fulfilled",COUNTIFS('Raw Orders'!$A$2:$A1583,'Raw Orders'!A1583,'Raw Orders'!$C$2:$C1583,"Product",'Raw Orders'!$K$2:$K1583,"Fulfilled")=1),1,0)</f>
        <v>0</v>
      </c>
      <c r="E1586" s="31" t="n">
        <f aca="false">IF(AND('Raw Orders'!C1583="Product",'Raw Orders'!K1583="Fulfilled"),'Raw Orders'!E1583,0)</f>
        <v>0</v>
      </c>
      <c r="F1586" s="32" t="n">
        <f aca="false">IF('Raw Orders'!K1583="Refunded",'Raw Orders'!G1583,0)</f>
        <v>0</v>
      </c>
    </row>
    <row r="1587" customFormat="false" ht="15" hidden="false" customHeight="false" outlineLevel="0" collapsed="false">
      <c r="A1587" s="36" t="n">
        <f aca="false">IF('Raw Orders'!B1584="","",IF(MID('Raw Orders'!B1584,5,1)="-",DATE(VALUE(LEFT('Raw Orders'!B1584,4)),VALUE(MID('Raw Orders'!B1584,6,2)),VALUE(MID('Raw Orders'!B1584,9,2))),DATE(VALUE(MID('Raw Orders'!B1584,7,4)),VALUE(MID('Raw Orders'!B1584,4,2)),VALUE(LEFT('Raw Orders'!B1584,2)))))</f>
        <v>46232</v>
      </c>
      <c r="B1587" s="36" t="n">
        <f aca="false">IF(A1587="","",A1587-WEEKDAY(A1587,3))</f>
        <v>46230</v>
      </c>
      <c r="C1587" s="32" t="n">
        <f aca="false">IF(OR('Raw Orders'!C1584&lt;&gt;"Product",'Raw Orders'!K1584="Cancelled"),0,'Raw Orders'!G1584)</f>
        <v>0</v>
      </c>
      <c r="D1587" s="31" t="n">
        <f aca="false">IF(AND('Raw Orders'!C1584="Product",'Raw Orders'!K1584="Fulfilled",COUNTIFS('Raw Orders'!$A$2:$A1584,'Raw Orders'!A1584,'Raw Orders'!$C$2:$C1584,"Product",'Raw Orders'!$K$2:$K1584,"Fulfilled")=1),1,0)</f>
        <v>0</v>
      </c>
      <c r="E1587" s="31" t="n">
        <f aca="false">IF(AND('Raw Orders'!C1584="Product",'Raw Orders'!K1584="Fulfilled"),'Raw Orders'!E1584,0)</f>
        <v>0</v>
      </c>
      <c r="F1587" s="32" t="n">
        <f aca="false">IF('Raw Orders'!K1584="Refunded",'Raw Orders'!G1584,0)</f>
        <v>0</v>
      </c>
    </row>
    <row r="1588" customFormat="false" ht="15" hidden="false" customHeight="false" outlineLevel="0" collapsed="false">
      <c r="A1588" s="36" t="n">
        <f aca="false">IF('Raw Orders'!B1585="","",IF(MID('Raw Orders'!B1585,5,1)="-",DATE(VALUE(LEFT('Raw Orders'!B1585,4)),VALUE(MID('Raw Orders'!B1585,6,2)),VALUE(MID('Raw Orders'!B1585,9,2))),DATE(VALUE(MID('Raw Orders'!B1585,7,4)),VALUE(MID('Raw Orders'!B1585,4,2)),VALUE(LEFT('Raw Orders'!B1585,2)))))</f>
        <v>46232</v>
      </c>
      <c r="B1588" s="36" t="n">
        <f aca="false">IF(A1588="","",A1588-WEEKDAY(A1588,3))</f>
        <v>46230</v>
      </c>
      <c r="C1588" s="32" t="n">
        <f aca="false">IF(OR('Raw Orders'!C1585&lt;&gt;"Product",'Raw Orders'!K1585="Cancelled"),0,'Raw Orders'!G1585)</f>
        <v>39</v>
      </c>
      <c r="D1588" s="31" t="n">
        <f aca="false">IF(AND('Raw Orders'!C1585="Product",'Raw Orders'!K1585="Fulfilled",COUNTIFS('Raw Orders'!$A$2:$A1585,'Raw Orders'!A1585,'Raw Orders'!$C$2:$C1585,"Product",'Raw Orders'!$K$2:$K1585,"Fulfilled")=1),1,0)</f>
        <v>1</v>
      </c>
      <c r="E1588" s="31" t="n">
        <f aca="false">IF(AND('Raw Orders'!C1585="Product",'Raw Orders'!K1585="Fulfilled"),'Raw Orders'!E1585,0)</f>
        <v>1</v>
      </c>
      <c r="F1588" s="32" t="n">
        <f aca="false">IF('Raw Orders'!K1585="Refunded",'Raw Orders'!G1585,0)</f>
        <v>0</v>
      </c>
    </row>
    <row r="1589" customFormat="false" ht="15" hidden="false" customHeight="false" outlineLevel="0" collapsed="false">
      <c r="A1589" s="36" t="n">
        <f aca="false">IF('Raw Orders'!B1586="","",IF(MID('Raw Orders'!B1586,5,1)="-",DATE(VALUE(LEFT('Raw Orders'!B1586,4)),VALUE(MID('Raw Orders'!B1586,6,2)),VALUE(MID('Raw Orders'!B1586,9,2))),DATE(VALUE(MID('Raw Orders'!B1586,7,4)),VALUE(MID('Raw Orders'!B1586,4,2)),VALUE(LEFT('Raw Orders'!B1586,2)))))</f>
        <v>46232</v>
      </c>
      <c r="B1589" s="36" t="n">
        <f aca="false">IF(A1589="","",A1589-WEEKDAY(A1589,3))</f>
        <v>46230</v>
      </c>
      <c r="C1589" s="32" t="n">
        <f aca="false">IF(OR('Raw Orders'!C1586&lt;&gt;"Product",'Raw Orders'!K1586="Cancelled"),0,'Raw Orders'!G1586)</f>
        <v>89</v>
      </c>
      <c r="D1589" s="31" t="n">
        <f aca="false">IF(AND('Raw Orders'!C1586="Product",'Raw Orders'!K1586="Fulfilled",COUNTIFS('Raw Orders'!$A$2:$A1586,'Raw Orders'!A1586,'Raw Orders'!$C$2:$C1586,"Product",'Raw Orders'!$K$2:$K1586,"Fulfilled")=1),1,0)</f>
        <v>0</v>
      </c>
      <c r="E1589" s="31" t="n">
        <f aca="false">IF(AND('Raw Orders'!C1586="Product",'Raw Orders'!K1586="Fulfilled"),'Raw Orders'!E1586,0)</f>
        <v>1</v>
      </c>
      <c r="F1589" s="32" t="n">
        <f aca="false">IF('Raw Orders'!K1586="Refunded",'Raw Orders'!G1586,0)</f>
        <v>0</v>
      </c>
    </row>
    <row r="1590" customFormat="false" ht="15" hidden="false" customHeight="false" outlineLevel="0" collapsed="false">
      <c r="A1590" s="36" t="n">
        <f aca="false">IF('Raw Orders'!B1587="","",IF(MID('Raw Orders'!B1587,5,1)="-",DATE(VALUE(LEFT('Raw Orders'!B1587,4)),VALUE(MID('Raw Orders'!B1587,6,2)),VALUE(MID('Raw Orders'!B1587,9,2))),DATE(VALUE(MID('Raw Orders'!B1587,7,4)),VALUE(MID('Raw Orders'!B1587,4,2)),VALUE(LEFT('Raw Orders'!B1587,2)))))</f>
        <v>46232</v>
      </c>
      <c r="B1590" s="36" t="n">
        <f aca="false">IF(A1590="","",A1590-WEEKDAY(A1590,3))</f>
        <v>46230</v>
      </c>
      <c r="C1590" s="32" t="n">
        <f aca="false">IF(OR('Raw Orders'!C1587&lt;&gt;"Product",'Raw Orders'!K1587="Cancelled"),0,'Raw Orders'!G1587)</f>
        <v>76.5</v>
      </c>
      <c r="D1590" s="31" t="n">
        <f aca="false">IF(AND('Raw Orders'!C1587="Product",'Raw Orders'!K1587="Fulfilled",COUNTIFS('Raw Orders'!$A$2:$A1587,'Raw Orders'!A1587,'Raw Orders'!$C$2:$C1587,"Product",'Raw Orders'!$K$2:$K1587,"Fulfilled")=1),1,0)</f>
        <v>1</v>
      </c>
      <c r="E1590" s="31" t="n">
        <f aca="false">IF(AND('Raw Orders'!C1587="Product",'Raw Orders'!K1587="Fulfilled"),'Raw Orders'!E1587,0)</f>
        <v>2</v>
      </c>
      <c r="F1590" s="32" t="n">
        <f aca="false">IF('Raw Orders'!K1587="Refunded",'Raw Orders'!G1587,0)</f>
        <v>0</v>
      </c>
    </row>
    <row r="1591" customFormat="false" ht="15" hidden="false" customHeight="false" outlineLevel="0" collapsed="false">
      <c r="A1591" s="36" t="n">
        <f aca="false">IF('Raw Orders'!B1588="","",IF(MID('Raw Orders'!B1588,5,1)="-",DATE(VALUE(LEFT('Raw Orders'!B1588,4)),VALUE(MID('Raw Orders'!B1588,6,2)),VALUE(MID('Raw Orders'!B1588,9,2))),DATE(VALUE(MID('Raw Orders'!B1588,7,4)),VALUE(MID('Raw Orders'!B1588,4,2)),VALUE(LEFT('Raw Orders'!B1588,2)))))</f>
        <v>46232</v>
      </c>
      <c r="B1591" s="36" t="n">
        <f aca="false">IF(A1591="","",A1591-WEEKDAY(A1591,3))</f>
        <v>46230</v>
      </c>
      <c r="C1591" s="32" t="n">
        <f aca="false">IF(OR('Raw Orders'!C1588&lt;&gt;"Product",'Raw Orders'!K1588="Cancelled"),0,'Raw Orders'!G1588)</f>
        <v>39</v>
      </c>
      <c r="D1591" s="31" t="n">
        <f aca="false">IF(AND('Raw Orders'!C1588="Product",'Raw Orders'!K1588="Fulfilled",COUNTIFS('Raw Orders'!$A$2:$A1588,'Raw Orders'!A1588,'Raw Orders'!$C$2:$C1588,"Product",'Raw Orders'!$K$2:$K1588,"Fulfilled")=1),1,0)</f>
        <v>0</v>
      </c>
      <c r="E1591" s="31" t="n">
        <f aca="false">IF(AND('Raw Orders'!C1588="Product",'Raw Orders'!K1588="Fulfilled"),'Raw Orders'!E1588,0)</f>
        <v>1</v>
      </c>
      <c r="F1591" s="32" t="n">
        <f aca="false">IF('Raw Orders'!K1588="Refunded",'Raw Orders'!G1588,0)</f>
        <v>0</v>
      </c>
    </row>
    <row r="1592" customFormat="false" ht="15" hidden="false" customHeight="false" outlineLevel="0" collapsed="false">
      <c r="A1592" s="36" t="n">
        <f aca="false">IF('Raw Orders'!B1589="","",IF(MID('Raw Orders'!B1589,5,1)="-",DATE(VALUE(LEFT('Raw Orders'!B1589,4)),VALUE(MID('Raw Orders'!B1589,6,2)),VALUE(MID('Raw Orders'!B1589,9,2))),DATE(VALUE(MID('Raw Orders'!B1589,7,4)),VALUE(MID('Raw Orders'!B1589,4,2)),VALUE(LEFT('Raw Orders'!B1589,2)))))</f>
        <v>46232</v>
      </c>
      <c r="B1592" s="36" t="n">
        <f aca="false">IF(A1592="","",A1592-WEEKDAY(A1592,3))</f>
        <v>46230</v>
      </c>
      <c r="C1592" s="32" t="n">
        <f aca="false">IF(OR('Raw Orders'!C1589&lt;&gt;"Product",'Raw Orders'!K1589="Cancelled"),0,'Raw Orders'!G1589)</f>
        <v>0</v>
      </c>
      <c r="D1592" s="31" t="n">
        <f aca="false">IF(AND('Raw Orders'!C1589="Product",'Raw Orders'!K1589="Fulfilled",COUNTIFS('Raw Orders'!$A$2:$A1589,'Raw Orders'!A1589,'Raw Orders'!$C$2:$C1589,"Product",'Raw Orders'!$K$2:$K1589,"Fulfilled")=1),1,0)</f>
        <v>0</v>
      </c>
      <c r="E1592" s="31" t="n">
        <f aca="false">IF(AND('Raw Orders'!C1589="Product",'Raw Orders'!K1589="Fulfilled"),'Raw Orders'!E1589,0)</f>
        <v>0</v>
      </c>
      <c r="F1592" s="32" t="n">
        <f aca="false">IF('Raw Orders'!K1589="Refunded",'Raw Orders'!G1589,0)</f>
        <v>0</v>
      </c>
    </row>
    <row r="1593" customFormat="false" ht="15" hidden="false" customHeight="false" outlineLevel="0" collapsed="false">
      <c r="A1593" s="36" t="n">
        <f aca="false">IF('Raw Orders'!B1590="","",IF(MID('Raw Orders'!B1590,5,1)="-",DATE(VALUE(LEFT('Raw Orders'!B1590,4)),VALUE(MID('Raw Orders'!B1590,6,2)),VALUE(MID('Raw Orders'!B1590,9,2))),DATE(VALUE(MID('Raw Orders'!B1590,7,4)),VALUE(MID('Raw Orders'!B1590,4,2)),VALUE(LEFT('Raw Orders'!B1590,2)))))</f>
        <v>46232</v>
      </c>
      <c r="B1593" s="36" t="n">
        <f aca="false">IF(A1593="","",A1593-WEEKDAY(A1593,3))</f>
        <v>46230</v>
      </c>
      <c r="C1593" s="32" t="n">
        <f aca="false">IF(OR('Raw Orders'!C1590&lt;&gt;"Product",'Raw Orders'!K1590="Cancelled"),0,'Raw Orders'!G1590)</f>
        <v>89</v>
      </c>
      <c r="D1593" s="31" t="n">
        <f aca="false">IF(AND('Raw Orders'!C1590="Product",'Raw Orders'!K1590="Fulfilled",COUNTIFS('Raw Orders'!$A$2:$A1590,'Raw Orders'!A1590,'Raw Orders'!$C$2:$C1590,"Product",'Raw Orders'!$K$2:$K1590,"Fulfilled")=1),1,0)</f>
        <v>1</v>
      </c>
      <c r="E1593" s="31" t="n">
        <f aca="false">IF(AND('Raw Orders'!C1590="Product",'Raw Orders'!K1590="Fulfilled"),'Raw Orders'!E1590,0)</f>
        <v>1</v>
      </c>
      <c r="F1593" s="32" t="n">
        <f aca="false">IF('Raw Orders'!K1590="Refunded",'Raw Orders'!G1590,0)</f>
        <v>0</v>
      </c>
    </row>
    <row r="1594" customFormat="false" ht="15" hidden="false" customHeight="false" outlineLevel="0" collapsed="false">
      <c r="A1594" s="36" t="n">
        <f aca="false">IF('Raw Orders'!B1591="","",IF(MID('Raw Orders'!B1591,5,1)="-",DATE(VALUE(LEFT('Raw Orders'!B1591,4)),VALUE(MID('Raw Orders'!B1591,6,2)),VALUE(MID('Raw Orders'!B1591,9,2))),DATE(VALUE(MID('Raw Orders'!B1591,7,4)),VALUE(MID('Raw Orders'!B1591,4,2)),VALUE(LEFT('Raw Orders'!B1591,2)))))</f>
        <v>46233</v>
      </c>
      <c r="B1594" s="36" t="n">
        <f aca="false">IF(A1594="","",A1594-WEEKDAY(A1594,3))</f>
        <v>46230</v>
      </c>
      <c r="C1594" s="32" t="n">
        <f aca="false">IF(OR('Raw Orders'!C1591&lt;&gt;"Product",'Raw Orders'!K1591="Cancelled"),0,'Raw Orders'!G1591)</f>
        <v>90</v>
      </c>
      <c r="D1594" s="31" t="n">
        <f aca="false">IF(AND('Raw Orders'!C1591="Product",'Raw Orders'!K1591="Fulfilled",COUNTIFS('Raw Orders'!$A$2:$A1591,'Raw Orders'!A1591,'Raw Orders'!$C$2:$C1591,"Product",'Raw Orders'!$K$2:$K1591,"Fulfilled")=1),1,0)</f>
        <v>1</v>
      </c>
      <c r="E1594" s="31" t="n">
        <f aca="false">IF(AND('Raw Orders'!C1591="Product",'Raw Orders'!K1591="Fulfilled"),'Raw Orders'!E1591,0)</f>
        <v>2</v>
      </c>
      <c r="F1594" s="32" t="n">
        <f aca="false">IF('Raw Orders'!K1591="Refunded",'Raw Orders'!G1591,0)</f>
        <v>0</v>
      </c>
    </row>
    <row r="1595" customFormat="false" ht="15" hidden="false" customHeight="false" outlineLevel="0" collapsed="false">
      <c r="A1595" s="36" t="n">
        <f aca="false">IF('Raw Orders'!B1592="","",IF(MID('Raw Orders'!B1592,5,1)="-",DATE(VALUE(LEFT('Raw Orders'!B1592,4)),VALUE(MID('Raw Orders'!B1592,6,2)),VALUE(MID('Raw Orders'!B1592,9,2))),DATE(VALUE(MID('Raw Orders'!B1592,7,4)),VALUE(MID('Raw Orders'!B1592,4,2)),VALUE(LEFT('Raw Orders'!B1592,2)))))</f>
        <v>46233</v>
      </c>
      <c r="B1595" s="36" t="n">
        <f aca="false">IF(A1595="","",A1595-WEEKDAY(A1595,3))</f>
        <v>46230</v>
      </c>
      <c r="C1595" s="32" t="n">
        <f aca="false">IF(OR('Raw Orders'!C1592&lt;&gt;"Product",'Raw Orders'!K1592="Cancelled"),0,'Raw Orders'!G1592)</f>
        <v>39</v>
      </c>
      <c r="D1595" s="31" t="n">
        <f aca="false">IF(AND('Raw Orders'!C1592="Product",'Raw Orders'!K1592="Fulfilled",COUNTIFS('Raw Orders'!$A$2:$A1592,'Raw Orders'!A1592,'Raw Orders'!$C$2:$C1592,"Product",'Raw Orders'!$K$2:$K1592,"Fulfilled")=1),1,0)</f>
        <v>0</v>
      </c>
      <c r="E1595" s="31" t="n">
        <f aca="false">IF(AND('Raw Orders'!C1592="Product",'Raw Orders'!K1592="Fulfilled"),'Raw Orders'!E1592,0)</f>
        <v>1</v>
      </c>
      <c r="F1595" s="32" t="n">
        <f aca="false">IF('Raw Orders'!K1592="Refunded",'Raw Orders'!G1592,0)</f>
        <v>0</v>
      </c>
    </row>
    <row r="1596" customFormat="false" ht="15" hidden="false" customHeight="false" outlineLevel="0" collapsed="false">
      <c r="A1596" s="36" t="n">
        <f aca="false">IF('Raw Orders'!B1593="","",IF(MID('Raw Orders'!B1593,5,1)="-",DATE(VALUE(LEFT('Raw Orders'!B1593,4)),VALUE(MID('Raw Orders'!B1593,6,2)),VALUE(MID('Raw Orders'!B1593,9,2))),DATE(VALUE(MID('Raw Orders'!B1593,7,4)),VALUE(MID('Raw Orders'!B1593,4,2)),VALUE(LEFT('Raw Orders'!B1593,2)))))</f>
        <v>46233</v>
      </c>
      <c r="B1596" s="36" t="n">
        <f aca="false">IF(A1596="","",A1596-WEEKDAY(A1596,3))</f>
        <v>46230</v>
      </c>
      <c r="C1596" s="32" t="n">
        <f aca="false">IF(OR('Raw Orders'!C1593&lt;&gt;"Product",'Raw Orders'!K1593="Cancelled"),0,'Raw Orders'!G1593)</f>
        <v>29</v>
      </c>
      <c r="D1596" s="31" t="n">
        <f aca="false">IF(AND('Raw Orders'!C1593="Product",'Raw Orders'!K1593="Fulfilled",COUNTIFS('Raw Orders'!$A$2:$A1593,'Raw Orders'!A1593,'Raw Orders'!$C$2:$C1593,"Product",'Raw Orders'!$K$2:$K1593,"Fulfilled")=1),1,0)</f>
        <v>1</v>
      </c>
      <c r="E1596" s="31" t="n">
        <f aca="false">IF(AND('Raw Orders'!C1593="Product",'Raw Orders'!K1593="Fulfilled"),'Raw Orders'!E1593,0)</f>
        <v>1</v>
      </c>
      <c r="F1596" s="32" t="n">
        <f aca="false">IF('Raw Orders'!K1593="Refunded",'Raw Orders'!G1593,0)</f>
        <v>0</v>
      </c>
    </row>
    <row r="1597" customFormat="false" ht="15" hidden="false" customHeight="false" outlineLevel="0" collapsed="false">
      <c r="A1597" s="36" t="n">
        <f aca="false">IF('Raw Orders'!B1594="","",IF(MID('Raw Orders'!B1594,5,1)="-",DATE(VALUE(LEFT('Raw Orders'!B1594,4)),VALUE(MID('Raw Orders'!B1594,6,2)),VALUE(MID('Raw Orders'!B1594,9,2))),DATE(VALUE(MID('Raw Orders'!B1594,7,4)),VALUE(MID('Raw Orders'!B1594,4,2)),VALUE(LEFT('Raw Orders'!B1594,2)))))</f>
        <v>46233</v>
      </c>
      <c r="B1597" s="36" t="n">
        <f aca="false">IF(A1597="","",A1597-WEEKDAY(A1597,3))</f>
        <v>46230</v>
      </c>
      <c r="C1597" s="32" t="n">
        <f aca="false">IF(OR('Raw Orders'!C1594&lt;&gt;"Product",'Raw Orders'!K1594="Cancelled"),0,'Raw Orders'!G1594)</f>
        <v>89</v>
      </c>
      <c r="D1597" s="31" t="n">
        <f aca="false">IF(AND('Raw Orders'!C1594="Product",'Raw Orders'!K1594="Fulfilled",COUNTIFS('Raw Orders'!$A$2:$A1594,'Raw Orders'!A1594,'Raw Orders'!$C$2:$C1594,"Product",'Raw Orders'!$K$2:$K1594,"Fulfilled")=1),1,0)</f>
        <v>0</v>
      </c>
      <c r="E1597" s="31" t="n">
        <f aca="false">IF(AND('Raw Orders'!C1594="Product",'Raw Orders'!K1594="Fulfilled"),'Raw Orders'!E1594,0)</f>
        <v>1</v>
      </c>
      <c r="F1597" s="32" t="n">
        <f aca="false">IF('Raw Orders'!K1594="Refunded",'Raw Orders'!G1594,0)</f>
        <v>0</v>
      </c>
    </row>
    <row r="1598" customFormat="false" ht="15" hidden="false" customHeight="false" outlineLevel="0" collapsed="false">
      <c r="A1598" s="36" t="n">
        <f aca="false">IF('Raw Orders'!B1595="","",IF(MID('Raw Orders'!B1595,5,1)="-",DATE(VALUE(LEFT('Raw Orders'!B1595,4)),VALUE(MID('Raw Orders'!B1595,6,2)),VALUE(MID('Raw Orders'!B1595,9,2))),DATE(VALUE(MID('Raw Orders'!B1595,7,4)),VALUE(MID('Raw Orders'!B1595,4,2)),VALUE(LEFT('Raw Orders'!B1595,2)))))</f>
        <v>46233</v>
      </c>
      <c r="B1598" s="36" t="n">
        <f aca="false">IF(A1598="","",A1598-WEEKDAY(A1598,3))</f>
        <v>46230</v>
      </c>
      <c r="C1598" s="32" t="n">
        <f aca="false">IF(OR('Raw Orders'!C1595&lt;&gt;"Product",'Raw Orders'!K1595="Cancelled"),0,'Raw Orders'!G1595)</f>
        <v>0</v>
      </c>
      <c r="D1598" s="31" t="n">
        <f aca="false">IF(AND('Raw Orders'!C1595="Product",'Raw Orders'!K1595="Fulfilled",COUNTIFS('Raw Orders'!$A$2:$A1595,'Raw Orders'!A1595,'Raw Orders'!$C$2:$C1595,"Product",'Raw Orders'!$K$2:$K1595,"Fulfilled")=1),1,0)</f>
        <v>0</v>
      </c>
      <c r="E1598" s="31" t="n">
        <f aca="false">IF(AND('Raw Orders'!C1595="Product",'Raw Orders'!K1595="Fulfilled"),'Raw Orders'!E1595,0)</f>
        <v>0</v>
      </c>
      <c r="F1598" s="32" t="n">
        <f aca="false">IF('Raw Orders'!K1595="Refunded",'Raw Orders'!G1595,0)</f>
        <v>0</v>
      </c>
    </row>
    <row r="1599" customFormat="false" ht="15" hidden="false" customHeight="false" outlineLevel="0" collapsed="false">
      <c r="A1599" s="36" t="n">
        <f aca="false">IF('Raw Orders'!B1596="","",IF(MID('Raw Orders'!B1596,5,1)="-",DATE(VALUE(LEFT('Raw Orders'!B1596,4)),VALUE(MID('Raw Orders'!B1596,6,2)),VALUE(MID('Raw Orders'!B1596,9,2))),DATE(VALUE(MID('Raw Orders'!B1596,7,4)),VALUE(MID('Raw Orders'!B1596,4,2)),VALUE(LEFT('Raw Orders'!B1596,2)))))</f>
        <v>46233</v>
      </c>
      <c r="B1599" s="36" t="n">
        <f aca="false">IF(A1599="","",A1599-WEEKDAY(A1599,3))</f>
        <v>46230</v>
      </c>
      <c r="C1599" s="32" t="n">
        <f aca="false">IF(OR('Raw Orders'!C1596&lt;&gt;"Product",'Raw Orders'!K1596="Cancelled"),0,'Raw Orders'!G1596)</f>
        <v>32</v>
      </c>
      <c r="D1599" s="31" t="n">
        <f aca="false">IF(AND('Raw Orders'!C1596="Product",'Raw Orders'!K1596="Fulfilled",COUNTIFS('Raw Orders'!$A$2:$A1596,'Raw Orders'!A1596,'Raw Orders'!$C$2:$C1596,"Product",'Raw Orders'!$K$2:$K1596,"Fulfilled")=1),1,0)</f>
        <v>1</v>
      </c>
      <c r="E1599" s="31" t="n">
        <f aca="false">IF(AND('Raw Orders'!C1596="Product",'Raw Orders'!K1596="Fulfilled"),'Raw Orders'!E1596,0)</f>
        <v>1</v>
      </c>
      <c r="F1599" s="32" t="n">
        <f aca="false">IF('Raw Orders'!K1596="Refunded",'Raw Orders'!G1596,0)</f>
        <v>0</v>
      </c>
    </row>
    <row r="1600" customFormat="false" ht="15" hidden="false" customHeight="false" outlineLevel="0" collapsed="false">
      <c r="A1600" s="36" t="n">
        <f aca="false">IF('Raw Orders'!B1597="","",IF(MID('Raw Orders'!B1597,5,1)="-",DATE(VALUE(LEFT('Raw Orders'!B1597,4)),VALUE(MID('Raw Orders'!B1597,6,2)),VALUE(MID('Raw Orders'!B1597,9,2))),DATE(VALUE(MID('Raw Orders'!B1597,7,4)),VALUE(MID('Raw Orders'!B1597,4,2)),VALUE(LEFT('Raw Orders'!B1597,2)))))</f>
        <v>46233</v>
      </c>
      <c r="B1600" s="36" t="n">
        <f aca="false">IF(A1600="","",A1600-WEEKDAY(A1600,3))</f>
        <v>46230</v>
      </c>
      <c r="C1600" s="32" t="n">
        <f aca="false">IF(OR('Raw Orders'!C1597&lt;&gt;"Product",'Raw Orders'!K1597="Cancelled"),0,'Raw Orders'!G1597)</f>
        <v>0</v>
      </c>
      <c r="D1600" s="31" t="n">
        <f aca="false">IF(AND('Raw Orders'!C1597="Product",'Raw Orders'!K1597="Fulfilled",COUNTIFS('Raw Orders'!$A$2:$A1597,'Raw Orders'!A1597,'Raw Orders'!$C$2:$C1597,"Product",'Raw Orders'!$K$2:$K1597,"Fulfilled")=1),1,0)</f>
        <v>0</v>
      </c>
      <c r="E1600" s="31" t="n">
        <f aca="false">IF(AND('Raw Orders'!C1597="Product",'Raw Orders'!K1597="Fulfilled"),'Raw Orders'!E1597,0)</f>
        <v>0</v>
      </c>
      <c r="F1600" s="32" t="n">
        <f aca="false">IF('Raw Orders'!K1597="Refunded",'Raw Orders'!G1597,0)</f>
        <v>0</v>
      </c>
    </row>
    <row r="1601" customFormat="false" ht="15" hidden="false" customHeight="false" outlineLevel="0" collapsed="false">
      <c r="A1601" s="36" t="n">
        <f aca="false">IF('Raw Orders'!B1598="","",IF(MID('Raw Orders'!B1598,5,1)="-",DATE(VALUE(LEFT('Raw Orders'!B1598,4)),VALUE(MID('Raw Orders'!B1598,6,2)),VALUE(MID('Raw Orders'!B1598,9,2))),DATE(VALUE(MID('Raw Orders'!B1598,7,4)),VALUE(MID('Raw Orders'!B1598,4,2)),VALUE(LEFT('Raw Orders'!B1598,2)))))</f>
        <v>46233</v>
      </c>
      <c r="B1601" s="36" t="n">
        <f aca="false">IF(A1601="","",A1601-WEEKDAY(A1601,3))</f>
        <v>46230</v>
      </c>
      <c r="C1601" s="32" t="n">
        <f aca="false">IF(OR('Raw Orders'!C1598&lt;&gt;"Product",'Raw Orders'!K1598="Cancelled"),0,'Raw Orders'!G1598)</f>
        <v>45</v>
      </c>
      <c r="D1601" s="31" t="n">
        <f aca="false">IF(AND('Raw Orders'!C1598="Product",'Raw Orders'!K1598="Fulfilled",COUNTIFS('Raw Orders'!$A$2:$A1598,'Raw Orders'!A1598,'Raw Orders'!$C$2:$C1598,"Product",'Raw Orders'!$K$2:$K1598,"Fulfilled")=1),1,0)</f>
        <v>1</v>
      </c>
      <c r="E1601" s="31" t="n">
        <f aca="false">IF(AND('Raw Orders'!C1598="Product",'Raw Orders'!K1598="Fulfilled"),'Raw Orders'!E1598,0)</f>
        <v>1</v>
      </c>
      <c r="F1601" s="32" t="n">
        <f aca="false">IF('Raw Orders'!K1598="Refunded",'Raw Orders'!G1598,0)</f>
        <v>0</v>
      </c>
    </row>
    <row r="1602" customFormat="false" ht="15" hidden="false" customHeight="false" outlineLevel="0" collapsed="false">
      <c r="A1602" s="36" t="n">
        <f aca="false">IF('Raw Orders'!B1599="","",IF(MID('Raw Orders'!B1599,5,1)="-",DATE(VALUE(LEFT('Raw Orders'!B1599,4)),VALUE(MID('Raw Orders'!B1599,6,2)),VALUE(MID('Raw Orders'!B1599,9,2))),DATE(VALUE(MID('Raw Orders'!B1599,7,4)),VALUE(MID('Raw Orders'!B1599,4,2)),VALUE(LEFT('Raw Orders'!B1599,2)))))</f>
        <v>46233</v>
      </c>
      <c r="B1602" s="36" t="n">
        <f aca="false">IF(A1602="","",A1602-WEEKDAY(A1602,3))</f>
        <v>46230</v>
      </c>
      <c r="C1602" s="32" t="n">
        <f aca="false">IF(OR('Raw Orders'!C1599&lt;&gt;"Product",'Raw Orders'!K1599="Cancelled"),0,'Raw Orders'!G1599)</f>
        <v>0</v>
      </c>
      <c r="D1602" s="31" t="n">
        <f aca="false">IF(AND('Raw Orders'!C1599="Product",'Raw Orders'!K1599="Fulfilled",COUNTIFS('Raw Orders'!$A$2:$A1599,'Raw Orders'!A1599,'Raw Orders'!$C$2:$C1599,"Product",'Raw Orders'!$K$2:$K1599,"Fulfilled")=1),1,0)</f>
        <v>0</v>
      </c>
      <c r="E1602" s="31" t="n">
        <f aca="false">IF(AND('Raw Orders'!C1599="Product",'Raw Orders'!K1599="Fulfilled"),'Raw Orders'!E1599,0)</f>
        <v>0</v>
      </c>
      <c r="F1602" s="32" t="n">
        <f aca="false">IF('Raw Orders'!K1599="Refunded",'Raw Orders'!G1599,0)</f>
        <v>0</v>
      </c>
    </row>
    <row r="1603" customFormat="false" ht="15" hidden="false" customHeight="false" outlineLevel="0" collapsed="false">
      <c r="A1603" s="36" t="n">
        <f aca="false">IF('Raw Orders'!B1600="","",IF(MID('Raw Orders'!B1600,5,1)="-",DATE(VALUE(LEFT('Raw Orders'!B1600,4)),VALUE(MID('Raw Orders'!B1600,6,2)),VALUE(MID('Raw Orders'!B1600,9,2))),DATE(VALUE(MID('Raw Orders'!B1600,7,4)),VALUE(MID('Raw Orders'!B1600,4,2)),VALUE(LEFT('Raw Orders'!B1600,2)))))</f>
        <v>46233</v>
      </c>
      <c r="B1603" s="36" t="n">
        <f aca="false">IF(A1603="","",A1603-WEEKDAY(A1603,3))</f>
        <v>46230</v>
      </c>
      <c r="C1603" s="32" t="n">
        <f aca="false">IF(OR('Raw Orders'!C1600&lt;&gt;"Product",'Raw Orders'!K1600="Cancelled"),0,'Raw Orders'!G1600)</f>
        <v>64</v>
      </c>
      <c r="D1603" s="31" t="n">
        <f aca="false">IF(AND('Raw Orders'!C1600="Product",'Raw Orders'!K1600="Fulfilled",COUNTIFS('Raw Orders'!$A$2:$A1600,'Raw Orders'!A1600,'Raw Orders'!$C$2:$C1600,"Product",'Raw Orders'!$K$2:$K1600,"Fulfilled")=1),1,0)</f>
        <v>1</v>
      </c>
      <c r="E1603" s="31" t="n">
        <f aca="false">IF(AND('Raw Orders'!C1600="Product",'Raw Orders'!K1600="Fulfilled"),'Raw Orders'!E1600,0)</f>
        <v>2</v>
      </c>
      <c r="F1603" s="32" t="n">
        <f aca="false">IF('Raw Orders'!K1600="Refunded",'Raw Orders'!G1600,0)</f>
        <v>0</v>
      </c>
    </row>
    <row r="1604" customFormat="false" ht="15" hidden="false" customHeight="false" outlineLevel="0" collapsed="false">
      <c r="A1604" s="36" t="n">
        <f aca="false">IF('Raw Orders'!B1601="","",IF(MID('Raw Orders'!B1601,5,1)="-",DATE(VALUE(LEFT('Raw Orders'!B1601,4)),VALUE(MID('Raw Orders'!B1601,6,2)),VALUE(MID('Raw Orders'!B1601,9,2))),DATE(VALUE(MID('Raw Orders'!B1601,7,4)),VALUE(MID('Raw Orders'!B1601,4,2)),VALUE(LEFT('Raw Orders'!B1601,2)))))</f>
        <v>46233</v>
      </c>
      <c r="B1604" s="36" t="n">
        <f aca="false">IF(A1604="","",A1604-WEEKDAY(A1604,3))</f>
        <v>46230</v>
      </c>
      <c r="C1604" s="32" t="n">
        <f aca="false">IF(OR('Raw Orders'!C1601&lt;&gt;"Product",'Raw Orders'!K1601="Cancelled"),0,'Raw Orders'!G1601)</f>
        <v>0</v>
      </c>
      <c r="D1604" s="31" t="n">
        <f aca="false">IF(AND('Raw Orders'!C1601="Product",'Raw Orders'!K1601="Fulfilled",COUNTIFS('Raw Orders'!$A$2:$A1601,'Raw Orders'!A1601,'Raw Orders'!$C$2:$C1601,"Product",'Raw Orders'!$K$2:$K1601,"Fulfilled")=1),1,0)</f>
        <v>0</v>
      </c>
      <c r="E1604" s="31" t="n">
        <f aca="false">IF(AND('Raw Orders'!C1601="Product",'Raw Orders'!K1601="Fulfilled"),'Raw Orders'!E1601,0)</f>
        <v>0</v>
      </c>
      <c r="F1604" s="32" t="n">
        <f aca="false">IF('Raw Orders'!K1601="Refunded",'Raw Orders'!G1601,0)</f>
        <v>0</v>
      </c>
    </row>
    <row r="1605" customFormat="false" ht="15" hidden="false" customHeight="false" outlineLevel="0" collapsed="false">
      <c r="A1605" s="36" t="n">
        <f aca="false">IF('Raw Orders'!B1602="","",IF(MID('Raw Orders'!B1602,5,1)="-",DATE(VALUE(LEFT('Raw Orders'!B1602,4)),VALUE(MID('Raw Orders'!B1602,6,2)),VALUE(MID('Raw Orders'!B1602,9,2))),DATE(VALUE(MID('Raw Orders'!B1602,7,4)),VALUE(MID('Raw Orders'!B1602,4,2)),VALUE(LEFT('Raw Orders'!B1602,2)))))</f>
        <v>46233</v>
      </c>
      <c r="B1605" s="36" t="n">
        <f aca="false">IF(A1605="","",A1605-WEEKDAY(A1605,3))</f>
        <v>46230</v>
      </c>
      <c r="C1605" s="32" t="n">
        <f aca="false">IF(OR('Raw Orders'!C1602&lt;&gt;"Product",'Raw Orders'!K1602="Cancelled"),0,'Raw Orders'!G1602)</f>
        <v>35</v>
      </c>
      <c r="D1605" s="31" t="n">
        <f aca="false">IF(AND('Raw Orders'!C1602="Product",'Raw Orders'!K1602="Fulfilled",COUNTIFS('Raw Orders'!$A$2:$A1602,'Raw Orders'!A1602,'Raw Orders'!$C$2:$C1602,"Product",'Raw Orders'!$K$2:$K1602,"Fulfilled")=1),1,0)</f>
        <v>1</v>
      </c>
      <c r="E1605" s="31" t="n">
        <f aca="false">IF(AND('Raw Orders'!C1602="Product",'Raw Orders'!K1602="Fulfilled"),'Raw Orders'!E1602,0)</f>
        <v>1</v>
      </c>
      <c r="F1605" s="32" t="n">
        <f aca="false">IF('Raw Orders'!K1602="Refunded",'Raw Orders'!G1602,0)</f>
        <v>0</v>
      </c>
    </row>
    <row r="1606" customFormat="false" ht="15" hidden="false" customHeight="false" outlineLevel="0" collapsed="false">
      <c r="A1606" s="36" t="n">
        <f aca="false">IF('Raw Orders'!B1603="","",IF(MID('Raw Orders'!B1603,5,1)="-",DATE(VALUE(LEFT('Raw Orders'!B1603,4)),VALUE(MID('Raw Orders'!B1603,6,2)),VALUE(MID('Raw Orders'!B1603,9,2))),DATE(VALUE(MID('Raw Orders'!B1603,7,4)),VALUE(MID('Raw Orders'!B1603,4,2)),VALUE(LEFT('Raw Orders'!B1603,2)))))</f>
        <v>46233</v>
      </c>
      <c r="B1606" s="36" t="n">
        <f aca="false">IF(A1606="","",A1606-WEEKDAY(A1606,3))</f>
        <v>46230</v>
      </c>
      <c r="C1606" s="32" t="n">
        <f aca="false">IF(OR('Raw Orders'!C1603&lt;&gt;"Product",'Raw Orders'!K1603="Cancelled"),0,'Raw Orders'!G1603)</f>
        <v>45</v>
      </c>
      <c r="D1606" s="31" t="n">
        <f aca="false">IF(AND('Raw Orders'!C1603="Product",'Raw Orders'!K1603="Fulfilled",COUNTIFS('Raw Orders'!$A$2:$A1603,'Raw Orders'!A1603,'Raw Orders'!$C$2:$C1603,"Product",'Raw Orders'!$K$2:$K1603,"Fulfilled")=1),1,0)</f>
        <v>0</v>
      </c>
      <c r="E1606" s="31" t="n">
        <f aca="false">IF(AND('Raw Orders'!C1603="Product",'Raw Orders'!K1603="Fulfilled"),'Raw Orders'!E1603,0)</f>
        <v>1</v>
      </c>
      <c r="F1606" s="32" t="n">
        <f aca="false">IF('Raw Orders'!K1603="Refunded",'Raw Orders'!G1603,0)</f>
        <v>0</v>
      </c>
    </row>
    <row r="1607" customFormat="false" ht="15" hidden="false" customHeight="false" outlineLevel="0" collapsed="false">
      <c r="A1607" s="36" t="n">
        <f aca="false">IF('Raw Orders'!B1604="","",IF(MID('Raw Orders'!B1604,5,1)="-",DATE(VALUE(LEFT('Raw Orders'!B1604,4)),VALUE(MID('Raw Orders'!B1604,6,2)),VALUE(MID('Raw Orders'!B1604,9,2))),DATE(VALUE(MID('Raw Orders'!B1604,7,4)),VALUE(MID('Raw Orders'!B1604,4,2)),VALUE(LEFT('Raw Orders'!B1604,2)))))</f>
        <v>46233</v>
      </c>
      <c r="B1607" s="36" t="n">
        <f aca="false">IF(A1607="","",A1607-WEEKDAY(A1607,3))</f>
        <v>46230</v>
      </c>
      <c r="C1607" s="32" t="n">
        <f aca="false">IF(OR('Raw Orders'!C1604&lt;&gt;"Product",'Raw Orders'!K1604="Cancelled"),0,'Raw Orders'!G1604)</f>
        <v>0</v>
      </c>
      <c r="D1607" s="31" t="n">
        <f aca="false">IF(AND('Raw Orders'!C1604="Product",'Raw Orders'!K1604="Fulfilled",COUNTIFS('Raw Orders'!$A$2:$A1604,'Raw Orders'!A1604,'Raw Orders'!$C$2:$C1604,"Product",'Raw Orders'!$K$2:$K1604,"Fulfilled")=1),1,0)</f>
        <v>0</v>
      </c>
      <c r="E1607" s="31" t="n">
        <f aca="false">IF(AND('Raw Orders'!C1604="Product",'Raw Orders'!K1604="Fulfilled"),'Raw Orders'!E1604,0)</f>
        <v>0</v>
      </c>
      <c r="F1607" s="32" t="n">
        <f aca="false">IF('Raw Orders'!K1604="Refunded",'Raw Orders'!G1604,0)</f>
        <v>0</v>
      </c>
    </row>
    <row r="1608" customFormat="false" ht="15" hidden="false" customHeight="false" outlineLevel="0" collapsed="false">
      <c r="A1608" s="36" t="n">
        <f aca="false">IF('Raw Orders'!B1605="","",IF(MID('Raw Orders'!B1605,5,1)="-",DATE(VALUE(LEFT('Raw Orders'!B1605,4)),VALUE(MID('Raw Orders'!B1605,6,2)),VALUE(MID('Raw Orders'!B1605,9,2))),DATE(VALUE(MID('Raw Orders'!B1605,7,4)),VALUE(MID('Raw Orders'!B1605,4,2)),VALUE(LEFT('Raw Orders'!B1605,2)))))</f>
        <v>46233</v>
      </c>
      <c r="B1608" s="36" t="n">
        <f aca="false">IF(A1608="","",A1608-WEEKDAY(A1608,3))</f>
        <v>46230</v>
      </c>
      <c r="C1608" s="32" t="n">
        <f aca="false">IF(OR('Raw Orders'!C1605&lt;&gt;"Product",'Raw Orders'!K1605="Cancelled"),0,'Raw Orders'!G1605)</f>
        <v>69</v>
      </c>
      <c r="D1608" s="31" t="n">
        <f aca="false">IF(AND('Raw Orders'!C1605="Product",'Raw Orders'!K1605="Fulfilled",COUNTIFS('Raw Orders'!$A$2:$A1605,'Raw Orders'!A1605,'Raw Orders'!$C$2:$C1605,"Product",'Raw Orders'!$K$2:$K1605,"Fulfilled")=1),1,0)</f>
        <v>1</v>
      </c>
      <c r="E1608" s="31" t="n">
        <f aca="false">IF(AND('Raw Orders'!C1605="Product",'Raw Orders'!K1605="Fulfilled"),'Raw Orders'!E1605,0)</f>
        <v>1</v>
      </c>
      <c r="F1608" s="32" t="n">
        <f aca="false">IF('Raw Orders'!K1605="Refunded",'Raw Orders'!G1605,0)</f>
        <v>0</v>
      </c>
    </row>
    <row r="1609" customFormat="false" ht="15" hidden="false" customHeight="false" outlineLevel="0" collapsed="false">
      <c r="A1609" s="36" t="n">
        <f aca="false">IF('Raw Orders'!B1606="","",IF(MID('Raw Orders'!B1606,5,1)="-",DATE(VALUE(LEFT('Raw Orders'!B1606,4)),VALUE(MID('Raw Orders'!B1606,6,2)),VALUE(MID('Raw Orders'!B1606,9,2))),DATE(VALUE(MID('Raw Orders'!B1606,7,4)),VALUE(MID('Raw Orders'!B1606,4,2)),VALUE(LEFT('Raw Orders'!B1606,2)))))</f>
        <v>46233</v>
      </c>
      <c r="B1609" s="36" t="n">
        <f aca="false">IF(A1609="","",A1609-WEEKDAY(A1609,3))</f>
        <v>46230</v>
      </c>
      <c r="C1609" s="32" t="n">
        <f aca="false">IF(OR('Raw Orders'!C1606&lt;&gt;"Product",'Raw Orders'!K1606="Cancelled"),0,'Raw Orders'!G1606)</f>
        <v>0</v>
      </c>
      <c r="D1609" s="31" t="n">
        <f aca="false">IF(AND('Raw Orders'!C1606="Product",'Raw Orders'!K1606="Fulfilled",COUNTIFS('Raw Orders'!$A$2:$A1606,'Raw Orders'!A1606,'Raw Orders'!$C$2:$C1606,"Product",'Raw Orders'!$K$2:$K1606,"Fulfilled")=1),1,0)</f>
        <v>0</v>
      </c>
      <c r="E1609" s="31" t="n">
        <f aca="false">IF(AND('Raw Orders'!C1606="Product",'Raw Orders'!K1606="Fulfilled"),'Raw Orders'!E1606,0)</f>
        <v>0</v>
      </c>
      <c r="F1609" s="32" t="n">
        <f aca="false">IF('Raw Orders'!K1606="Refunded",'Raw Orders'!G1606,0)</f>
        <v>0</v>
      </c>
    </row>
    <row r="1610" customFormat="false" ht="15" hidden="false" customHeight="false" outlineLevel="0" collapsed="false">
      <c r="A1610" s="36" t="n">
        <f aca="false">IF('Raw Orders'!B1607="","",IF(MID('Raw Orders'!B1607,5,1)="-",DATE(VALUE(LEFT('Raw Orders'!B1607,4)),VALUE(MID('Raw Orders'!B1607,6,2)),VALUE(MID('Raw Orders'!B1607,9,2))),DATE(VALUE(MID('Raw Orders'!B1607,7,4)),VALUE(MID('Raw Orders'!B1607,4,2)),VALUE(LEFT('Raw Orders'!B1607,2)))))</f>
        <v>46233</v>
      </c>
      <c r="B1610" s="36" t="n">
        <f aca="false">IF(A1610="","",A1610-WEEKDAY(A1610,3))</f>
        <v>46230</v>
      </c>
      <c r="C1610" s="32" t="n">
        <f aca="false">IF(OR('Raw Orders'!C1607&lt;&gt;"Product",'Raw Orders'!K1607="Cancelled"),0,'Raw Orders'!G1607)</f>
        <v>75</v>
      </c>
      <c r="D1610" s="31" t="n">
        <f aca="false">IF(AND('Raw Orders'!C1607="Product",'Raw Orders'!K1607="Fulfilled",COUNTIFS('Raw Orders'!$A$2:$A1607,'Raw Orders'!A1607,'Raw Orders'!$C$2:$C1607,"Product",'Raw Orders'!$K$2:$K1607,"Fulfilled")=1),1,0)</f>
        <v>1</v>
      </c>
      <c r="E1610" s="31" t="n">
        <f aca="false">IF(AND('Raw Orders'!C1607="Product",'Raw Orders'!K1607="Fulfilled"),'Raw Orders'!E1607,0)</f>
        <v>1</v>
      </c>
      <c r="F1610" s="32" t="n">
        <f aca="false">IF('Raw Orders'!K1607="Refunded",'Raw Orders'!G1607,0)</f>
        <v>0</v>
      </c>
    </row>
    <row r="1611" customFormat="false" ht="15" hidden="false" customHeight="false" outlineLevel="0" collapsed="false">
      <c r="A1611" s="36" t="n">
        <f aca="false">IF('Raw Orders'!B1608="","",IF(MID('Raw Orders'!B1608,5,1)="-",DATE(VALUE(LEFT('Raw Orders'!B1608,4)),VALUE(MID('Raw Orders'!B1608,6,2)),VALUE(MID('Raw Orders'!B1608,9,2))),DATE(VALUE(MID('Raw Orders'!B1608,7,4)),VALUE(MID('Raw Orders'!B1608,4,2)),VALUE(LEFT('Raw Orders'!B1608,2)))))</f>
        <v>46233</v>
      </c>
      <c r="B1611" s="36" t="n">
        <f aca="false">IF(A1611="","",A1611-WEEKDAY(A1611,3))</f>
        <v>46230</v>
      </c>
      <c r="C1611" s="32" t="n">
        <f aca="false">IF(OR('Raw Orders'!C1608&lt;&gt;"Product",'Raw Orders'!K1608="Cancelled"),0,'Raw Orders'!G1608)</f>
        <v>90</v>
      </c>
      <c r="D1611" s="31" t="n">
        <f aca="false">IF(AND('Raw Orders'!C1608="Product",'Raw Orders'!K1608="Fulfilled",COUNTIFS('Raw Orders'!$A$2:$A1608,'Raw Orders'!A1608,'Raw Orders'!$C$2:$C1608,"Product",'Raw Orders'!$K$2:$K1608,"Fulfilled")=1),1,0)</f>
        <v>0</v>
      </c>
      <c r="E1611" s="31" t="n">
        <f aca="false">IF(AND('Raw Orders'!C1608="Product",'Raw Orders'!K1608="Fulfilled"),'Raw Orders'!E1608,0)</f>
        <v>2</v>
      </c>
      <c r="F1611" s="32" t="n">
        <f aca="false">IF('Raw Orders'!K1608="Refunded",'Raw Orders'!G1608,0)</f>
        <v>0</v>
      </c>
    </row>
    <row r="1612" customFormat="false" ht="15" hidden="false" customHeight="false" outlineLevel="0" collapsed="false">
      <c r="A1612" s="36" t="n">
        <f aca="false">IF('Raw Orders'!B1609="","",IF(MID('Raw Orders'!B1609,5,1)="-",DATE(VALUE(LEFT('Raw Orders'!B1609,4)),VALUE(MID('Raw Orders'!B1609,6,2)),VALUE(MID('Raw Orders'!B1609,9,2))),DATE(VALUE(MID('Raw Orders'!B1609,7,4)),VALUE(MID('Raw Orders'!B1609,4,2)),VALUE(LEFT('Raw Orders'!B1609,2)))))</f>
        <v>46233</v>
      </c>
      <c r="B1612" s="36" t="n">
        <f aca="false">IF(A1612="","",A1612-WEEKDAY(A1612,3))</f>
        <v>46230</v>
      </c>
      <c r="C1612" s="32" t="n">
        <f aca="false">IF(OR('Raw Orders'!C1609&lt;&gt;"Product",'Raw Orders'!K1609="Cancelled"),0,'Raw Orders'!G1609)</f>
        <v>45</v>
      </c>
      <c r="D1612" s="31" t="n">
        <f aca="false">IF(AND('Raw Orders'!C1609="Product",'Raw Orders'!K1609="Fulfilled",COUNTIFS('Raw Orders'!$A$2:$A1609,'Raw Orders'!A1609,'Raw Orders'!$C$2:$C1609,"Product",'Raw Orders'!$K$2:$K1609,"Fulfilled")=1),1,0)</f>
        <v>1</v>
      </c>
      <c r="E1612" s="31" t="n">
        <f aca="false">IF(AND('Raw Orders'!C1609="Product",'Raw Orders'!K1609="Fulfilled"),'Raw Orders'!E1609,0)</f>
        <v>1</v>
      </c>
      <c r="F1612" s="32" t="n">
        <f aca="false">IF('Raw Orders'!K1609="Refunded",'Raw Orders'!G1609,0)</f>
        <v>0</v>
      </c>
    </row>
    <row r="1613" customFormat="false" ht="15" hidden="false" customHeight="false" outlineLevel="0" collapsed="false">
      <c r="A1613" s="36" t="n">
        <f aca="false">IF('Raw Orders'!B1610="","",IF(MID('Raw Orders'!B1610,5,1)="-",DATE(VALUE(LEFT('Raw Orders'!B1610,4)),VALUE(MID('Raw Orders'!B1610,6,2)),VALUE(MID('Raw Orders'!B1610,9,2))),DATE(VALUE(MID('Raw Orders'!B1610,7,4)),VALUE(MID('Raw Orders'!B1610,4,2)),VALUE(LEFT('Raw Orders'!B1610,2)))))</f>
        <v>46233</v>
      </c>
      <c r="B1613" s="36" t="n">
        <f aca="false">IF(A1613="","",A1613-WEEKDAY(A1613,3))</f>
        <v>46230</v>
      </c>
      <c r="C1613" s="32" t="n">
        <f aca="false">IF(OR('Raw Orders'!C1610&lt;&gt;"Product",'Raw Orders'!K1610="Cancelled"),0,'Raw Orders'!G1610)</f>
        <v>69</v>
      </c>
      <c r="D1613" s="31" t="n">
        <f aca="false">IF(AND('Raw Orders'!C1610="Product",'Raw Orders'!K1610="Fulfilled",COUNTIFS('Raw Orders'!$A$2:$A1610,'Raw Orders'!A1610,'Raw Orders'!$C$2:$C1610,"Product",'Raw Orders'!$K$2:$K1610,"Fulfilled")=1),1,0)</f>
        <v>1</v>
      </c>
      <c r="E1613" s="31" t="n">
        <f aca="false">IF(AND('Raw Orders'!C1610="Product",'Raw Orders'!K1610="Fulfilled"),'Raw Orders'!E1610,0)</f>
        <v>1</v>
      </c>
      <c r="F1613" s="32" t="n">
        <f aca="false">IF('Raw Orders'!K1610="Refunded",'Raw Orders'!G1610,0)</f>
        <v>0</v>
      </c>
    </row>
    <row r="1614" customFormat="false" ht="15" hidden="false" customHeight="false" outlineLevel="0" collapsed="false">
      <c r="A1614" s="36" t="n">
        <f aca="false">IF('Raw Orders'!B1611="","",IF(MID('Raw Orders'!B1611,5,1)="-",DATE(VALUE(LEFT('Raw Orders'!B1611,4)),VALUE(MID('Raw Orders'!B1611,6,2)),VALUE(MID('Raw Orders'!B1611,9,2))),DATE(VALUE(MID('Raw Orders'!B1611,7,4)),VALUE(MID('Raw Orders'!B1611,4,2)),VALUE(LEFT('Raw Orders'!B1611,2)))))</f>
        <v>46233</v>
      </c>
      <c r="B1614" s="36" t="n">
        <f aca="false">IF(A1614="","",A1614-WEEKDAY(A1614,3))</f>
        <v>46230</v>
      </c>
      <c r="C1614" s="32" t="n">
        <f aca="false">IF(OR('Raw Orders'!C1611&lt;&gt;"Product",'Raw Orders'!K1611="Cancelled"),0,'Raw Orders'!G1611)</f>
        <v>35</v>
      </c>
      <c r="D1614" s="31" t="n">
        <f aca="false">IF(AND('Raw Orders'!C1611="Product",'Raw Orders'!K1611="Fulfilled",COUNTIFS('Raw Orders'!$A$2:$A1611,'Raw Orders'!A1611,'Raw Orders'!$C$2:$C1611,"Product",'Raw Orders'!$K$2:$K1611,"Fulfilled")=1),1,0)</f>
        <v>0</v>
      </c>
      <c r="E1614" s="31" t="n">
        <f aca="false">IF(AND('Raw Orders'!C1611="Product",'Raw Orders'!K1611="Fulfilled"),'Raw Orders'!E1611,0)</f>
        <v>1</v>
      </c>
      <c r="F1614" s="32" t="n">
        <f aca="false">IF('Raw Orders'!K1611="Refunded",'Raw Orders'!G1611,0)</f>
        <v>0</v>
      </c>
    </row>
    <row r="1615" customFormat="false" ht="15" hidden="false" customHeight="false" outlineLevel="0" collapsed="false">
      <c r="A1615" s="36" t="n">
        <f aca="false">IF('Raw Orders'!B1612="","",IF(MID('Raw Orders'!B1612,5,1)="-",DATE(VALUE(LEFT('Raw Orders'!B1612,4)),VALUE(MID('Raw Orders'!B1612,6,2)),VALUE(MID('Raw Orders'!B1612,9,2))),DATE(VALUE(MID('Raw Orders'!B1612,7,4)),VALUE(MID('Raw Orders'!B1612,4,2)),VALUE(LEFT('Raw Orders'!B1612,2)))))</f>
        <v>46233</v>
      </c>
      <c r="B1615" s="36" t="n">
        <f aca="false">IF(A1615="","",A1615-WEEKDAY(A1615,3))</f>
        <v>46230</v>
      </c>
      <c r="C1615" s="32" t="n">
        <f aca="false">IF(OR('Raw Orders'!C1612&lt;&gt;"Product",'Raw Orders'!K1612="Cancelled"),0,'Raw Orders'!G1612)</f>
        <v>0</v>
      </c>
      <c r="D1615" s="31" t="n">
        <f aca="false">IF(AND('Raw Orders'!C1612="Product",'Raw Orders'!K1612="Fulfilled",COUNTIFS('Raw Orders'!$A$2:$A1612,'Raw Orders'!A1612,'Raw Orders'!$C$2:$C1612,"Product",'Raw Orders'!$K$2:$K1612,"Fulfilled")=1),1,0)</f>
        <v>0</v>
      </c>
      <c r="E1615" s="31" t="n">
        <f aca="false">IF(AND('Raw Orders'!C1612="Product",'Raw Orders'!K1612="Fulfilled"),'Raw Orders'!E1612,0)</f>
        <v>0</v>
      </c>
      <c r="F1615" s="32" t="n">
        <f aca="false">IF('Raw Orders'!K1612="Refunded",'Raw Orders'!G1612,0)</f>
        <v>0</v>
      </c>
    </row>
    <row r="1616" customFormat="false" ht="15" hidden="false" customHeight="false" outlineLevel="0" collapsed="false">
      <c r="A1616" s="36" t="n">
        <f aca="false">IF('Raw Orders'!B1613="","",IF(MID('Raw Orders'!B1613,5,1)="-",DATE(VALUE(LEFT('Raw Orders'!B1613,4)),VALUE(MID('Raw Orders'!B1613,6,2)),VALUE(MID('Raw Orders'!B1613,9,2))),DATE(VALUE(MID('Raw Orders'!B1613,7,4)),VALUE(MID('Raw Orders'!B1613,4,2)),VALUE(LEFT('Raw Orders'!B1613,2)))))</f>
        <v>46234</v>
      </c>
      <c r="B1616" s="36" t="n">
        <f aca="false">IF(A1616="","",A1616-WEEKDAY(A1616,3))</f>
        <v>46230</v>
      </c>
      <c r="C1616" s="32" t="n">
        <f aca="false">IF(OR('Raw Orders'!C1613&lt;&gt;"Product",'Raw Orders'!K1613="Cancelled"),0,'Raw Orders'!G1613)</f>
        <v>0</v>
      </c>
      <c r="D1616" s="31" t="n">
        <f aca="false">IF(AND('Raw Orders'!C1613="Product",'Raw Orders'!K1613="Fulfilled",COUNTIFS('Raw Orders'!$A$2:$A1613,'Raw Orders'!A1613,'Raw Orders'!$C$2:$C1613,"Product",'Raw Orders'!$K$2:$K1613,"Fulfilled")=1),1,0)</f>
        <v>0</v>
      </c>
      <c r="E1616" s="31" t="n">
        <f aca="false">IF(AND('Raw Orders'!C1613="Product",'Raw Orders'!K1613="Fulfilled"),'Raw Orders'!E1613,0)</f>
        <v>0</v>
      </c>
      <c r="F1616" s="32" t="n">
        <f aca="false">IF('Raw Orders'!K1613="Refunded",'Raw Orders'!G1613,0)</f>
        <v>0</v>
      </c>
    </row>
    <row r="1617" customFormat="false" ht="15" hidden="false" customHeight="false" outlineLevel="0" collapsed="false">
      <c r="A1617" s="36" t="n">
        <f aca="false">IF('Raw Orders'!B1614="","",IF(MID('Raw Orders'!B1614,5,1)="-",DATE(VALUE(LEFT('Raw Orders'!B1614,4)),VALUE(MID('Raw Orders'!B1614,6,2)),VALUE(MID('Raw Orders'!B1614,9,2))),DATE(VALUE(MID('Raw Orders'!B1614,7,4)),VALUE(MID('Raw Orders'!B1614,4,2)),VALUE(LEFT('Raw Orders'!B1614,2)))))</f>
        <v>46234</v>
      </c>
      <c r="B1617" s="36" t="n">
        <f aca="false">IF(A1617="","",A1617-WEEKDAY(A1617,3))</f>
        <v>46230</v>
      </c>
      <c r="C1617" s="32" t="n">
        <f aca="false">IF(OR('Raw Orders'!C1614&lt;&gt;"Product",'Raw Orders'!K1614="Cancelled"),0,'Raw Orders'!G1614)</f>
        <v>69</v>
      </c>
      <c r="D1617" s="31" t="n">
        <f aca="false">IF(AND('Raw Orders'!C1614="Product",'Raw Orders'!K1614="Fulfilled",COUNTIFS('Raw Orders'!$A$2:$A1614,'Raw Orders'!A1614,'Raw Orders'!$C$2:$C1614,"Product",'Raw Orders'!$K$2:$K1614,"Fulfilled")=1),1,0)</f>
        <v>1</v>
      </c>
      <c r="E1617" s="31" t="n">
        <f aca="false">IF(AND('Raw Orders'!C1614="Product",'Raw Orders'!K1614="Fulfilled"),'Raw Orders'!E1614,0)</f>
        <v>1</v>
      </c>
      <c r="F1617" s="32" t="n">
        <f aca="false">IF('Raw Orders'!K1614="Refunded",'Raw Orders'!G1614,0)</f>
        <v>0</v>
      </c>
    </row>
    <row r="1618" customFormat="false" ht="15" hidden="false" customHeight="false" outlineLevel="0" collapsed="false">
      <c r="A1618" s="36" t="n">
        <f aca="false">IF('Raw Orders'!B1615="","",IF(MID('Raw Orders'!B1615,5,1)="-",DATE(VALUE(LEFT('Raw Orders'!B1615,4)),VALUE(MID('Raw Orders'!B1615,6,2)),VALUE(MID('Raw Orders'!B1615,9,2))),DATE(VALUE(MID('Raw Orders'!B1615,7,4)),VALUE(MID('Raw Orders'!B1615,4,2)),VALUE(LEFT('Raw Orders'!B1615,2)))))</f>
        <v>46234</v>
      </c>
      <c r="B1618" s="36" t="n">
        <f aca="false">IF(A1618="","",A1618-WEEKDAY(A1618,3))</f>
        <v>46230</v>
      </c>
      <c r="C1618" s="32" t="n">
        <f aca="false">IF(OR('Raw Orders'!C1615&lt;&gt;"Product",'Raw Orders'!K1615="Cancelled"),0,'Raw Orders'!G1615)</f>
        <v>0</v>
      </c>
      <c r="D1618" s="31" t="n">
        <f aca="false">IF(AND('Raw Orders'!C1615="Product",'Raw Orders'!K1615="Fulfilled",COUNTIFS('Raw Orders'!$A$2:$A1615,'Raw Orders'!A1615,'Raw Orders'!$C$2:$C1615,"Product",'Raw Orders'!$K$2:$K1615,"Fulfilled")=1),1,0)</f>
        <v>0</v>
      </c>
      <c r="E1618" s="31" t="n">
        <f aca="false">IF(AND('Raw Orders'!C1615="Product",'Raw Orders'!K1615="Fulfilled"),'Raw Orders'!E1615,0)</f>
        <v>0</v>
      </c>
      <c r="F1618" s="32" t="n">
        <f aca="false">IF('Raw Orders'!K1615="Refunded",'Raw Orders'!G1615,0)</f>
        <v>0</v>
      </c>
    </row>
    <row r="1619" customFormat="false" ht="15" hidden="false" customHeight="false" outlineLevel="0" collapsed="false">
      <c r="A1619" s="36" t="n">
        <f aca="false">IF('Raw Orders'!B1616="","",IF(MID('Raw Orders'!B1616,5,1)="-",DATE(VALUE(LEFT('Raw Orders'!B1616,4)),VALUE(MID('Raw Orders'!B1616,6,2)),VALUE(MID('Raw Orders'!B1616,9,2))),DATE(VALUE(MID('Raw Orders'!B1616,7,4)),VALUE(MID('Raw Orders'!B1616,4,2)),VALUE(LEFT('Raw Orders'!B1616,2)))))</f>
        <v>46234</v>
      </c>
      <c r="B1619" s="36" t="n">
        <f aca="false">IF(A1619="","",A1619-WEEKDAY(A1619,3))</f>
        <v>46230</v>
      </c>
      <c r="C1619" s="32" t="n">
        <f aca="false">IF(OR('Raw Orders'!C1616&lt;&gt;"Product",'Raw Orders'!K1616="Cancelled"),0,'Raw Orders'!G1616)</f>
        <v>39</v>
      </c>
      <c r="D1619" s="31" t="n">
        <f aca="false">IF(AND('Raw Orders'!C1616="Product",'Raw Orders'!K1616="Fulfilled",COUNTIFS('Raw Orders'!$A$2:$A1616,'Raw Orders'!A1616,'Raw Orders'!$C$2:$C1616,"Product",'Raw Orders'!$K$2:$K1616,"Fulfilled")=1),1,0)</f>
        <v>1</v>
      </c>
      <c r="E1619" s="31" t="n">
        <f aca="false">IF(AND('Raw Orders'!C1616="Product",'Raw Orders'!K1616="Fulfilled"),'Raw Orders'!E1616,0)</f>
        <v>1</v>
      </c>
      <c r="F1619" s="32" t="n">
        <f aca="false">IF('Raw Orders'!K1616="Refunded",'Raw Orders'!G1616,0)</f>
        <v>0</v>
      </c>
    </row>
    <row r="1620" customFormat="false" ht="15" hidden="false" customHeight="false" outlineLevel="0" collapsed="false">
      <c r="A1620" s="36" t="n">
        <f aca="false">IF('Raw Orders'!B1617="","",IF(MID('Raw Orders'!B1617,5,1)="-",DATE(VALUE(LEFT('Raw Orders'!B1617,4)),VALUE(MID('Raw Orders'!B1617,6,2)),VALUE(MID('Raw Orders'!B1617,9,2))),DATE(VALUE(MID('Raw Orders'!B1617,7,4)),VALUE(MID('Raw Orders'!B1617,4,2)),VALUE(LEFT('Raw Orders'!B1617,2)))))</f>
        <v>46234</v>
      </c>
      <c r="B1620" s="36" t="n">
        <f aca="false">IF(A1620="","",A1620-WEEKDAY(A1620,3))</f>
        <v>46230</v>
      </c>
      <c r="C1620" s="32" t="n">
        <f aca="false">IF(OR('Raw Orders'!C1617&lt;&gt;"Product",'Raw Orders'!K1617="Cancelled"),0,'Raw Orders'!G1617)</f>
        <v>45</v>
      </c>
      <c r="D1620" s="31" t="n">
        <f aca="false">IF(AND('Raw Orders'!C1617="Product",'Raw Orders'!K1617="Fulfilled",COUNTIFS('Raw Orders'!$A$2:$A1617,'Raw Orders'!A1617,'Raw Orders'!$C$2:$C1617,"Product",'Raw Orders'!$K$2:$K1617,"Fulfilled")=1),1,0)</f>
        <v>1</v>
      </c>
      <c r="E1620" s="31" t="n">
        <f aca="false">IF(AND('Raw Orders'!C1617="Product",'Raw Orders'!K1617="Fulfilled"),'Raw Orders'!E1617,0)</f>
        <v>1</v>
      </c>
      <c r="F1620" s="32" t="n">
        <f aca="false">IF('Raw Orders'!K1617="Refunded",'Raw Orders'!G1617,0)</f>
        <v>0</v>
      </c>
    </row>
    <row r="1621" customFormat="false" ht="15" hidden="false" customHeight="false" outlineLevel="0" collapsed="false">
      <c r="A1621" s="36" t="n">
        <f aca="false">IF('Raw Orders'!B1618="","",IF(MID('Raw Orders'!B1618,5,1)="-",DATE(VALUE(LEFT('Raw Orders'!B1618,4)),VALUE(MID('Raw Orders'!B1618,6,2)),VALUE(MID('Raw Orders'!B1618,9,2))),DATE(VALUE(MID('Raw Orders'!B1618,7,4)),VALUE(MID('Raw Orders'!B1618,4,2)),VALUE(LEFT('Raw Orders'!B1618,2)))))</f>
        <v>46234</v>
      </c>
      <c r="B1621" s="36" t="n">
        <f aca="false">IF(A1621="","",A1621-WEEKDAY(A1621,3))</f>
        <v>46230</v>
      </c>
      <c r="C1621" s="32" t="n">
        <f aca="false">IF(OR('Raw Orders'!C1618&lt;&gt;"Product",'Raw Orders'!K1618="Cancelled"),0,'Raw Orders'!G1618)</f>
        <v>0</v>
      </c>
      <c r="D1621" s="31" t="n">
        <f aca="false">IF(AND('Raw Orders'!C1618="Product",'Raw Orders'!K1618="Fulfilled",COUNTIFS('Raw Orders'!$A$2:$A1618,'Raw Orders'!A1618,'Raw Orders'!$C$2:$C1618,"Product",'Raw Orders'!$K$2:$K1618,"Fulfilled")=1),1,0)</f>
        <v>0</v>
      </c>
      <c r="E1621" s="31" t="n">
        <f aca="false">IF(AND('Raw Orders'!C1618="Product",'Raw Orders'!K1618="Fulfilled"),'Raw Orders'!E1618,0)</f>
        <v>0</v>
      </c>
      <c r="F1621" s="32" t="n">
        <f aca="false">IF('Raw Orders'!K1618="Refunded",'Raw Orders'!G1618,0)</f>
        <v>0</v>
      </c>
    </row>
    <row r="1622" customFormat="false" ht="15" hidden="false" customHeight="false" outlineLevel="0" collapsed="false">
      <c r="A1622" s="36" t="n">
        <f aca="false">IF('Raw Orders'!B1619="","",IF(MID('Raw Orders'!B1619,5,1)="-",DATE(VALUE(LEFT('Raw Orders'!B1619,4)),VALUE(MID('Raw Orders'!B1619,6,2)),VALUE(MID('Raw Orders'!B1619,9,2))),DATE(VALUE(MID('Raw Orders'!B1619,7,4)),VALUE(MID('Raw Orders'!B1619,4,2)),VALUE(LEFT('Raw Orders'!B1619,2)))))</f>
        <v>46234</v>
      </c>
      <c r="B1622" s="36" t="n">
        <f aca="false">IF(A1622="","",A1622-WEEKDAY(A1622,3))</f>
        <v>46230</v>
      </c>
      <c r="C1622" s="32" t="n">
        <f aca="false">IF(OR('Raw Orders'!C1619&lt;&gt;"Product",'Raw Orders'!K1619="Cancelled"),0,'Raw Orders'!G1619)</f>
        <v>0</v>
      </c>
      <c r="D1622" s="31" t="n">
        <f aca="false">IF(AND('Raw Orders'!C1619="Product",'Raw Orders'!K1619="Fulfilled",COUNTIFS('Raw Orders'!$A$2:$A1619,'Raw Orders'!A1619,'Raw Orders'!$C$2:$C1619,"Product",'Raw Orders'!$K$2:$K1619,"Fulfilled")=1),1,0)</f>
        <v>0</v>
      </c>
      <c r="E1622" s="31" t="n">
        <f aca="false">IF(AND('Raw Orders'!C1619="Product",'Raw Orders'!K1619="Fulfilled"),'Raw Orders'!E1619,0)</f>
        <v>0</v>
      </c>
      <c r="F1622" s="32" t="n">
        <f aca="false">IF('Raw Orders'!K1619="Refunded",'Raw Orders'!G1619,0)</f>
        <v>0</v>
      </c>
    </row>
    <row r="1623" customFormat="false" ht="15" hidden="false" customHeight="false" outlineLevel="0" collapsed="false">
      <c r="A1623" s="36" t="n">
        <f aca="false">IF('Raw Orders'!B1620="","",IF(MID('Raw Orders'!B1620,5,1)="-",DATE(VALUE(LEFT('Raw Orders'!B1620,4)),VALUE(MID('Raw Orders'!B1620,6,2)),VALUE(MID('Raw Orders'!B1620,9,2))),DATE(VALUE(MID('Raw Orders'!B1620,7,4)),VALUE(MID('Raw Orders'!B1620,4,2)),VALUE(LEFT('Raw Orders'!B1620,2)))))</f>
        <v>46234</v>
      </c>
      <c r="B1623" s="36" t="n">
        <f aca="false">IF(A1623="","",A1623-WEEKDAY(A1623,3))</f>
        <v>46230</v>
      </c>
      <c r="C1623" s="32" t="n">
        <f aca="false">IF(OR('Raw Orders'!C1620&lt;&gt;"Product",'Raw Orders'!K1620="Cancelled"),0,'Raw Orders'!G1620)</f>
        <v>-32</v>
      </c>
      <c r="D1623" s="31" t="n">
        <f aca="false">IF(AND('Raw Orders'!C1620="Product",'Raw Orders'!K1620="Fulfilled",COUNTIFS('Raw Orders'!$A$2:$A1620,'Raw Orders'!A1620,'Raw Orders'!$C$2:$C1620,"Product",'Raw Orders'!$K$2:$K1620,"Fulfilled")=1),1,0)</f>
        <v>0</v>
      </c>
      <c r="E1623" s="31" t="n">
        <f aca="false">IF(AND('Raw Orders'!C1620="Product",'Raw Orders'!K1620="Fulfilled"),'Raw Orders'!E1620,0)</f>
        <v>0</v>
      </c>
      <c r="F1623" s="32" t="n">
        <f aca="false">IF('Raw Orders'!K1620="Refunded",'Raw Orders'!G1620,0)</f>
        <v>-32</v>
      </c>
    </row>
    <row r="1624" customFormat="false" ht="15" hidden="false" customHeight="false" outlineLevel="0" collapsed="false">
      <c r="A1624" s="36" t="n">
        <f aca="false">IF('Raw Orders'!B1621="","",IF(MID('Raw Orders'!B1621,5,1)="-",DATE(VALUE(LEFT('Raw Orders'!B1621,4)),VALUE(MID('Raw Orders'!B1621,6,2)),VALUE(MID('Raw Orders'!B1621,9,2))),DATE(VALUE(MID('Raw Orders'!B1621,7,4)),VALUE(MID('Raw Orders'!B1621,4,2)),VALUE(LEFT('Raw Orders'!B1621,2)))))</f>
        <v>46234</v>
      </c>
      <c r="B1624" s="36" t="n">
        <f aca="false">IF(A1624="","",A1624-WEEKDAY(A1624,3))</f>
        <v>46230</v>
      </c>
      <c r="C1624" s="32" t="n">
        <f aca="false">IF(OR('Raw Orders'!C1621&lt;&gt;"Product",'Raw Orders'!K1621="Cancelled"),0,'Raw Orders'!G1621)</f>
        <v>0</v>
      </c>
      <c r="D1624" s="31" t="n">
        <f aca="false">IF(AND('Raw Orders'!C1621="Product",'Raw Orders'!K1621="Fulfilled",COUNTIFS('Raw Orders'!$A$2:$A1621,'Raw Orders'!A1621,'Raw Orders'!$C$2:$C1621,"Product",'Raw Orders'!$K$2:$K1621,"Fulfilled")=1),1,0)</f>
        <v>0</v>
      </c>
      <c r="E1624" s="31" t="n">
        <f aca="false">IF(AND('Raw Orders'!C1621="Product",'Raw Orders'!K1621="Fulfilled"),'Raw Orders'!E1621,0)</f>
        <v>0</v>
      </c>
      <c r="F1624" s="32" t="n">
        <f aca="false">IF('Raw Orders'!K1621="Refunded",'Raw Orders'!G1621,0)</f>
        <v>0</v>
      </c>
    </row>
    <row r="1625" customFormat="false" ht="15" hidden="false" customHeight="false" outlineLevel="0" collapsed="false">
      <c r="A1625" s="36" t="n">
        <f aca="false">IF('Raw Orders'!B1622="","",IF(MID('Raw Orders'!B1622,5,1)="-",DATE(VALUE(LEFT('Raw Orders'!B1622,4)),VALUE(MID('Raw Orders'!B1622,6,2)),VALUE(MID('Raw Orders'!B1622,9,2))),DATE(VALUE(MID('Raw Orders'!B1622,7,4)),VALUE(MID('Raw Orders'!B1622,4,2)),VALUE(LEFT('Raw Orders'!B1622,2)))))</f>
        <v>46234</v>
      </c>
      <c r="B1625" s="36" t="n">
        <f aca="false">IF(A1625="","",A1625-WEEKDAY(A1625,3))</f>
        <v>46230</v>
      </c>
      <c r="C1625" s="32" t="n">
        <f aca="false">IF(OR('Raw Orders'!C1622&lt;&gt;"Product",'Raw Orders'!K1622="Cancelled"),0,'Raw Orders'!G1622)</f>
        <v>150</v>
      </c>
      <c r="D1625" s="31" t="n">
        <f aca="false">IF(AND('Raw Orders'!C1622="Product",'Raw Orders'!K1622="Fulfilled",COUNTIFS('Raw Orders'!$A$2:$A1622,'Raw Orders'!A1622,'Raw Orders'!$C$2:$C1622,"Product",'Raw Orders'!$K$2:$K1622,"Fulfilled")=1),1,0)</f>
        <v>1</v>
      </c>
      <c r="E1625" s="31" t="n">
        <f aca="false">IF(AND('Raw Orders'!C1622="Product",'Raw Orders'!K1622="Fulfilled"),'Raw Orders'!E1622,0)</f>
        <v>2</v>
      </c>
      <c r="F1625" s="32" t="n">
        <f aca="false">IF('Raw Orders'!K1622="Refunded",'Raw Orders'!G1622,0)</f>
        <v>0</v>
      </c>
    </row>
    <row r="1626" customFormat="false" ht="15" hidden="false" customHeight="false" outlineLevel="0" collapsed="false">
      <c r="A1626" s="36" t="n">
        <f aca="false">IF('Raw Orders'!B1623="","",IF(MID('Raw Orders'!B1623,5,1)="-",DATE(VALUE(LEFT('Raw Orders'!B1623,4)),VALUE(MID('Raw Orders'!B1623,6,2)),VALUE(MID('Raw Orders'!B1623,9,2))),DATE(VALUE(MID('Raw Orders'!B1623,7,4)),VALUE(MID('Raw Orders'!B1623,4,2)),VALUE(LEFT('Raw Orders'!B1623,2)))))</f>
        <v>46234</v>
      </c>
      <c r="B1626" s="36" t="n">
        <f aca="false">IF(A1626="","",A1626-WEEKDAY(A1626,3))</f>
        <v>46230</v>
      </c>
      <c r="C1626" s="32" t="n">
        <f aca="false">IF(OR('Raw Orders'!C1623&lt;&gt;"Product",'Raw Orders'!K1623="Cancelled"),0,'Raw Orders'!G1623)</f>
        <v>58</v>
      </c>
      <c r="D1626" s="31" t="n">
        <f aca="false">IF(AND('Raw Orders'!C1623="Product",'Raw Orders'!K1623="Fulfilled",COUNTIFS('Raw Orders'!$A$2:$A1623,'Raw Orders'!A1623,'Raw Orders'!$C$2:$C1623,"Product",'Raw Orders'!$K$2:$K1623,"Fulfilled")=1),1,0)</f>
        <v>1</v>
      </c>
      <c r="E1626" s="31" t="n">
        <f aca="false">IF(AND('Raw Orders'!C1623="Product",'Raw Orders'!K1623="Fulfilled"),'Raw Orders'!E1623,0)</f>
        <v>2</v>
      </c>
      <c r="F1626" s="32" t="n">
        <f aca="false">IF('Raw Orders'!K1623="Refunded",'Raw Orders'!G1623,0)</f>
        <v>0</v>
      </c>
    </row>
    <row r="1627" customFormat="false" ht="15" hidden="false" customHeight="false" outlineLevel="0" collapsed="false">
      <c r="A1627" s="36" t="n">
        <f aca="false">IF('Raw Orders'!B1624="","",IF(MID('Raw Orders'!B1624,5,1)="-",DATE(VALUE(LEFT('Raw Orders'!B1624,4)),VALUE(MID('Raw Orders'!B1624,6,2)),VALUE(MID('Raw Orders'!B1624,9,2))),DATE(VALUE(MID('Raw Orders'!B1624,7,4)),VALUE(MID('Raw Orders'!B1624,4,2)),VALUE(LEFT('Raw Orders'!B1624,2)))))</f>
        <v>46234</v>
      </c>
      <c r="B1627" s="36" t="n">
        <f aca="false">IF(A1627="","",A1627-WEEKDAY(A1627,3))</f>
        <v>46230</v>
      </c>
      <c r="C1627" s="32" t="n">
        <f aca="false">IF(OR('Raw Orders'!C1624&lt;&gt;"Product",'Raw Orders'!K1624="Cancelled"),0,'Raw Orders'!G1624)</f>
        <v>35</v>
      </c>
      <c r="D1627" s="31" t="n">
        <f aca="false">IF(AND('Raw Orders'!C1624="Product",'Raw Orders'!K1624="Fulfilled",COUNTIFS('Raw Orders'!$A$2:$A1624,'Raw Orders'!A1624,'Raw Orders'!$C$2:$C1624,"Product",'Raw Orders'!$K$2:$K1624,"Fulfilled")=1),1,0)</f>
        <v>0</v>
      </c>
      <c r="E1627" s="31" t="n">
        <f aca="false">IF(AND('Raw Orders'!C1624="Product",'Raw Orders'!K1624="Fulfilled"),'Raw Orders'!E1624,0)</f>
        <v>1</v>
      </c>
      <c r="F1627" s="32" t="n">
        <f aca="false">IF('Raw Orders'!K1624="Refunded",'Raw Orders'!G1624,0)</f>
        <v>0</v>
      </c>
    </row>
    <row r="1628" customFormat="false" ht="15" hidden="false" customHeight="false" outlineLevel="0" collapsed="false">
      <c r="A1628" s="36" t="n">
        <f aca="false">IF('Raw Orders'!B1625="","",IF(MID('Raw Orders'!B1625,5,1)="-",DATE(VALUE(LEFT('Raw Orders'!B1625,4)),VALUE(MID('Raw Orders'!B1625,6,2)),VALUE(MID('Raw Orders'!B1625,9,2))),DATE(VALUE(MID('Raw Orders'!B1625,7,4)),VALUE(MID('Raw Orders'!B1625,4,2)),VALUE(LEFT('Raw Orders'!B1625,2)))))</f>
        <v>46234</v>
      </c>
      <c r="B1628" s="36" t="n">
        <f aca="false">IF(A1628="","",A1628-WEEKDAY(A1628,3))</f>
        <v>46230</v>
      </c>
      <c r="C1628" s="32" t="n">
        <f aca="false">IF(OR('Raw Orders'!C1625&lt;&gt;"Product",'Raw Orders'!K1625="Cancelled"),0,'Raw Orders'!G1625)</f>
        <v>138</v>
      </c>
      <c r="D1628" s="31" t="n">
        <f aca="false">IF(AND('Raw Orders'!C1625="Product",'Raw Orders'!K1625="Fulfilled",COUNTIFS('Raw Orders'!$A$2:$A1625,'Raw Orders'!A1625,'Raw Orders'!$C$2:$C1625,"Product",'Raw Orders'!$K$2:$K1625,"Fulfilled")=1),1,0)</f>
        <v>0</v>
      </c>
      <c r="E1628" s="31" t="n">
        <f aca="false">IF(AND('Raw Orders'!C1625="Product",'Raw Orders'!K1625="Fulfilled"),'Raw Orders'!E1625,0)</f>
        <v>2</v>
      </c>
      <c r="F1628" s="32" t="n">
        <f aca="false">IF('Raw Orders'!K1625="Refunded",'Raw Orders'!G1625,0)</f>
        <v>0</v>
      </c>
    </row>
    <row r="1629" customFormat="false" ht="15" hidden="false" customHeight="false" outlineLevel="0" collapsed="false">
      <c r="A1629" s="36" t="n">
        <f aca="false">IF('Raw Orders'!B1626="","",IF(MID('Raw Orders'!B1626,5,1)="-",DATE(VALUE(LEFT('Raw Orders'!B1626,4)),VALUE(MID('Raw Orders'!B1626,6,2)),VALUE(MID('Raw Orders'!B1626,9,2))),DATE(VALUE(MID('Raw Orders'!B1626,7,4)),VALUE(MID('Raw Orders'!B1626,4,2)),VALUE(LEFT('Raw Orders'!B1626,2)))))</f>
        <v>46235</v>
      </c>
      <c r="B1629" s="36" t="n">
        <f aca="false">IF(A1629="","",A1629-WEEKDAY(A1629,3))</f>
        <v>46230</v>
      </c>
      <c r="C1629" s="32" t="n">
        <f aca="false">IF(OR('Raw Orders'!C1626&lt;&gt;"Product",'Raw Orders'!K1626="Cancelled"),0,'Raw Orders'!G1626)</f>
        <v>28</v>
      </c>
      <c r="D1629" s="31" t="n">
        <f aca="false">IF(AND('Raw Orders'!C1626="Product",'Raw Orders'!K1626="Fulfilled",COUNTIFS('Raw Orders'!$A$2:$A1626,'Raw Orders'!A1626,'Raw Orders'!$C$2:$C1626,"Product",'Raw Orders'!$K$2:$K1626,"Fulfilled")=1),1,0)</f>
        <v>1</v>
      </c>
      <c r="E1629" s="31" t="n">
        <f aca="false">IF(AND('Raw Orders'!C1626="Product",'Raw Orders'!K1626="Fulfilled"),'Raw Orders'!E1626,0)</f>
        <v>2</v>
      </c>
      <c r="F1629" s="32" t="n">
        <f aca="false">IF('Raw Orders'!K1626="Refunded",'Raw Orders'!G1626,0)</f>
        <v>0</v>
      </c>
    </row>
    <row r="1630" customFormat="false" ht="15" hidden="false" customHeight="false" outlineLevel="0" collapsed="false">
      <c r="A1630" s="36" t="n">
        <f aca="false">IF('Raw Orders'!B1627="","",IF(MID('Raw Orders'!B1627,5,1)="-",DATE(VALUE(LEFT('Raw Orders'!B1627,4)),VALUE(MID('Raw Orders'!B1627,6,2)),VALUE(MID('Raw Orders'!B1627,9,2))),DATE(VALUE(MID('Raw Orders'!B1627,7,4)),VALUE(MID('Raw Orders'!B1627,4,2)),VALUE(LEFT('Raw Orders'!B1627,2)))))</f>
        <v>46235</v>
      </c>
      <c r="B1630" s="36" t="n">
        <f aca="false">IF(A1630="","",A1630-WEEKDAY(A1630,3))</f>
        <v>46230</v>
      </c>
      <c r="C1630" s="32" t="n">
        <f aca="false">IF(OR('Raw Orders'!C1627&lt;&gt;"Product",'Raw Orders'!K1627="Cancelled"),0,'Raw Orders'!G1627)</f>
        <v>0</v>
      </c>
      <c r="D1630" s="31" t="n">
        <f aca="false">IF(AND('Raw Orders'!C1627="Product",'Raw Orders'!K1627="Fulfilled",COUNTIFS('Raw Orders'!$A$2:$A1627,'Raw Orders'!A1627,'Raw Orders'!$C$2:$C1627,"Product",'Raw Orders'!$K$2:$K1627,"Fulfilled")=1),1,0)</f>
        <v>0</v>
      </c>
      <c r="E1630" s="31" t="n">
        <f aca="false">IF(AND('Raw Orders'!C1627="Product",'Raw Orders'!K1627="Fulfilled"),'Raw Orders'!E1627,0)</f>
        <v>0</v>
      </c>
      <c r="F1630" s="32" t="n">
        <f aca="false">IF('Raw Orders'!K1627="Refunded",'Raw Orders'!G1627,0)</f>
        <v>0</v>
      </c>
    </row>
    <row r="1631" customFormat="false" ht="15" hidden="false" customHeight="false" outlineLevel="0" collapsed="false">
      <c r="A1631" s="36" t="n">
        <f aca="false">IF('Raw Orders'!B1628="","",IF(MID('Raw Orders'!B1628,5,1)="-",DATE(VALUE(LEFT('Raw Orders'!B1628,4)),VALUE(MID('Raw Orders'!B1628,6,2)),VALUE(MID('Raw Orders'!B1628,9,2))),DATE(VALUE(MID('Raw Orders'!B1628,7,4)),VALUE(MID('Raw Orders'!B1628,4,2)),VALUE(LEFT('Raw Orders'!B1628,2)))))</f>
        <v>46235</v>
      </c>
      <c r="B1631" s="36" t="n">
        <f aca="false">IF(A1631="","",A1631-WEEKDAY(A1631,3))</f>
        <v>46230</v>
      </c>
      <c r="C1631" s="32" t="n">
        <f aca="false">IF(OR('Raw Orders'!C1628&lt;&gt;"Product",'Raw Orders'!K1628="Cancelled"),0,'Raw Orders'!G1628)</f>
        <v>45</v>
      </c>
      <c r="D1631" s="31" t="n">
        <f aca="false">IF(AND('Raw Orders'!C1628="Product",'Raw Orders'!K1628="Fulfilled",COUNTIFS('Raw Orders'!$A$2:$A1628,'Raw Orders'!A1628,'Raw Orders'!$C$2:$C1628,"Product",'Raw Orders'!$K$2:$K1628,"Fulfilled")=1),1,0)</f>
        <v>1</v>
      </c>
      <c r="E1631" s="31" t="n">
        <f aca="false">IF(AND('Raw Orders'!C1628="Product",'Raw Orders'!K1628="Fulfilled"),'Raw Orders'!E1628,0)</f>
        <v>1</v>
      </c>
      <c r="F1631" s="32" t="n">
        <f aca="false">IF('Raw Orders'!K1628="Refunded",'Raw Orders'!G1628,0)</f>
        <v>0</v>
      </c>
    </row>
    <row r="1632" customFormat="false" ht="15" hidden="false" customHeight="false" outlineLevel="0" collapsed="false">
      <c r="A1632" s="36" t="n">
        <f aca="false">IF('Raw Orders'!B1629="","",IF(MID('Raw Orders'!B1629,5,1)="-",DATE(VALUE(LEFT('Raw Orders'!B1629,4)),VALUE(MID('Raw Orders'!B1629,6,2)),VALUE(MID('Raw Orders'!B1629,9,2))),DATE(VALUE(MID('Raw Orders'!B1629,7,4)),VALUE(MID('Raw Orders'!B1629,4,2)),VALUE(LEFT('Raw Orders'!B1629,2)))))</f>
        <v>46235</v>
      </c>
      <c r="B1632" s="36" t="n">
        <f aca="false">IF(A1632="","",A1632-WEEKDAY(A1632,3))</f>
        <v>46230</v>
      </c>
      <c r="C1632" s="32" t="n">
        <f aca="false">IF(OR('Raw Orders'!C1629&lt;&gt;"Product",'Raw Orders'!K1629="Cancelled"),0,'Raw Orders'!G1629)</f>
        <v>39</v>
      </c>
      <c r="D1632" s="31" t="n">
        <f aca="false">IF(AND('Raw Orders'!C1629="Product",'Raw Orders'!K1629="Fulfilled",COUNTIFS('Raw Orders'!$A$2:$A1629,'Raw Orders'!A1629,'Raw Orders'!$C$2:$C1629,"Product",'Raw Orders'!$K$2:$K1629,"Fulfilled")=1),1,0)</f>
        <v>0</v>
      </c>
      <c r="E1632" s="31" t="n">
        <f aca="false">IF(AND('Raw Orders'!C1629="Product",'Raw Orders'!K1629="Fulfilled"),'Raw Orders'!E1629,0)</f>
        <v>1</v>
      </c>
      <c r="F1632" s="32" t="n">
        <f aca="false">IF('Raw Orders'!K1629="Refunded",'Raw Orders'!G1629,0)</f>
        <v>0</v>
      </c>
    </row>
    <row r="1633" customFormat="false" ht="15" hidden="false" customHeight="false" outlineLevel="0" collapsed="false">
      <c r="A1633" s="36" t="n">
        <f aca="false">IF('Raw Orders'!B1630="","",IF(MID('Raw Orders'!B1630,5,1)="-",DATE(VALUE(LEFT('Raw Orders'!B1630,4)),VALUE(MID('Raw Orders'!B1630,6,2)),VALUE(MID('Raw Orders'!B1630,9,2))),DATE(VALUE(MID('Raw Orders'!B1630,7,4)),VALUE(MID('Raw Orders'!B1630,4,2)),VALUE(LEFT('Raw Orders'!B1630,2)))))</f>
        <v>46235</v>
      </c>
      <c r="B1633" s="36" t="n">
        <f aca="false">IF(A1633="","",A1633-WEEKDAY(A1633,3))</f>
        <v>46230</v>
      </c>
      <c r="C1633" s="32" t="n">
        <f aca="false">IF(OR('Raw Orders'!C1630&lt;&gt;"Product",'Raw Orders'!K1630="Cancelled"),0,'Raw Orders'!G1630)</f>
        <v>89</v>
      </c>
      <c r="D1633" s="31" t="n">
        <f aca="false">IF(AND('Raw Orders'!C1630="Product",'Raw Orders'!K1630="Fulfilled",COUNTIFS('Raw Orders'!$A$2:$A1630,'Raw Orders'!A1630,'Raw Orders'!$C$2:$C1630,"Product",'Raw Orders'!$K$2:$K1630,"Fulfilled")=1),1,0)</f>
        <v>0</v>
      </c>
      <c r="E1633" s="31" t="n">
        <f aca="false">IF(AND('Raw Orders'!C1630="Product",'Raw Orders'!K1630="Fulfilled"),'Raw Orders'!E1630,0)</f>
        <v>1</v>
      </c>
      <c r="F1633" s="32" t="n">
        <f aca="false">IF('Raw Orders'!K1630="Refunded",'Raw Orders'!G1630,0)</f>
        <v>0</v>
      </c>
    </row>
    <row r="1634" customFormat="false" ht="15" hidden="false" customHeight="false" outlineLevel="0" collapsed="false">
      <c r="A1634" s="36" t="n">
        <f aca="false">IF('Raw Orders'!B1631="","",IF(MID('Raw Orders'!B1631,5,1)="-",DATE(VALUE(LEFT('Raw Orders'!B1631,4)),VALUE(MID('Raw Orders'!B1631,6,2)),VALUE(MID('Raw Orders'!B1631,9,2))),DATE(VALUE(MID('Raw Orders'!B1631,7,4)),VALUE(MID('Raw Orders'!B1631,4,2)),VALUE(LEFT('Raw Orders'!B1631,2)))))</f>
        <v>46235</v>
      </c>
      <c r="B1634" s="36" t="n">
        <f aca="false">IF(A1634="","",A1634-WEEKDAY(A1634,3))</f>
        <v>46230</v>
      </c>
      <c r="C1634" s="32" t="n">
        <f aca="false">IF(OR('Raw Orders'!C1631&lt;&gt;"Product",'Raw Orders'!K1631="Cancelled"),0,'Raw Orders'!G1631)</f>
        <v>32</v>
      </c>
      <c r="D1634" s="31" t="n">
        <f aca="false">IF(AND('Raw Orders'!C1631="Product",'Raw Orders'!K1631="Fulfilled",COUNTIFS('Raw Orders'!$A$2:$A1631,'Raw Orders'!A1631,'Raw Orders'!$C$2:$C1631,"Product",'Raw Orders'!$K$2:$K1631,"Fulfilled")=1),1,0)</f>
        <v>1</v>
      </c>
      <c r="E1634" s="31" t="n">
        <f aca="false">IF(AND('Raw Orders'!C1631="Product",'Raw Orders'!K1631="Fulfilled"),'Raw Orders'!E1631,0)</f>
        <v>1</v>
      </c>
      <c r="F1634" s="32" t="n">
        <f aca="false">IF('Raw Orders'!K1631="Refunded",'Raw Orders'!G1631,0)</f>
        <v>0</v>
      </c>
    </row>
    <row r="1635" customFormat="false" ht="15" hidden="false" customHeight="false" outlineLevel="0" collapsed="false">
      <c r="A1635" s="36" t="n">
        <f aca="false">IF('Raw Orders'!B1632="","",IF(MID('Raw Orders'!B1632,5,1)="-",DATE(VALUE(LEFT('Raw Orders'!B1632,4)),VALUE(MID('Raw Orders'!B1632,6,2)),VALUE(MID('Raw Orders'!B1632,9,2))),DATE(VALUE(MID('Raw Orders'!B1632,7,4)),VALUE(MID('Raw Orders'!B1632,4,2)),VALUE(LEFT('Raw Orders'!B1632,2)))))</f>
        <v>46235</v>
      </c>
      <c r="B1635" s="36" t="n">
        <f aca="false">IF(A1635="","",A1635-WEEKDAY(A1635,3))</f>
        <v>46230</v>
      </c>
      <c r="C1635" s="32" t="n">
        <f aca="false">IF(OR('Raw Orders'!C1632&lt;&gt;"Product",'Raw Orders'!K1632="Cancelled"),0,'Raw Orders'!G1632)</f>
        <v>0</v>
      </c>
      <c r="D1635" s="31" t="n">
        <f aca="false">IF(AND('Raw Orders'!C1632="Product",'Raw Orders'!K1632="Fulfilled",COUNTIFS('Raw Orders'!$A$2:$A1632,'Raw Orders'!A1632,'Raw Orders'!$C$2:$C1632,"Product",'Raw Orders'!$K$2:$K1632,"Fulfilled")=1),1,0)</f>
        <v>0</v>
      </c>
      <c r="E1635" s="31" t="n">
        <f aca="false">IF(AND('Raw Orders'!C1632="Product",'Raw Orders'!K1632="Fulfilled"),'Raw Orders'!E1632,0)</f>
        <v>0</v>
      </c>
      <c r="F1635" s="32" t="n">
        <f aca="false">IF('Raw Orders'!K1632="Refunded",'Raw Orders'!G1632,0)</f>
        <v>0</v>
      </c>
    </row>
    <row r="1636" customFormat="false" ht="15" hidden="false" customHeight="false" outlineLevel="0" collapsed="false">
      <c r="A1636" s="36" t="n">
        <f aca="false">IF('Raw Orders'!B1633="","",IF(MID('Raw Orders'!B1633,5,1)="-",DATE(VALUE(LEFT('Raw Orders'!B1633,4)),VALUE(MID('Raw Orders'!B1633,6,2)),VALUE(MID('Raw Orders'!B1633,9,2))),DATE(VALUE(MID('Raw Orders'!B1633,7,4)),VALUE(MID('Raw Orders'!B1633,4,2)),VALUE(LEFT('Raw Orders'!B1633,2)))))</f>
        <v>46235</v>
      </c>
      <c r="B1636" s="36" t="n">
        <f aca="false">IF(A1636="","",A1636-WEEKDAY(A1636,3))</f>
        <v>46230</v>
      </c>
      <c r="C1636" s="32" t="n">
        <f aca="false">IF(OR('Raw Orders'!C1633&lt;&gt;"Product",'Raw Orders'!K1633="Cancelled"),0,'Raw Orders'!G1633)</f>
        <v>150</v>
      </c>
      <c r="D1636" s="31" t="n">
        <f aca="false">IF(AND('Raw Orders'!C1633="Product",'Raw Orders'!K1633="Fulfilled",COUNTIFS('Raw Orders'!$A$2:$A1633,'Raw Orders'!A1633,'Raw Orders'!$C$2:$C1633,"Product",'Raw Orders'!$K$2:$K1633,"Fulfilled")=1),1,0)</f>
        <v>0</v>
      </c>
      <c r="E1636" s="31" t="n">
        <f aca="false">IF(AND('Raw Orders'!C1633="Product",'Raw Orders'!K1633="Fulfilled"),'Raw Orders'!E1633,0)</f>
        <v>2</v>
      </c>
      <c r="F1636" s="32" t="n">
        <f aca="false">IF('Raw Orders'!K1633="Refunded",'Raw Orders'!G1633,0)</f>
        <v>0</v>
      </c>
    </row>
    <row r="1637" customFormat="false" ht="15" hidden="false" customHeight="false" outlineLevel="0" collapsed="false">
      <c r="A1637" s="36" t="n">
        <f aca="false">IF('Raw Orders'!B1634="","",IF(MID('Raw Orders'!B1634,5,1)="-",DATE(VALUE(LEFT('Raw Orders'!B1634,4)),VALUE(MID('Raw Orders'!B1634,6,2)),VALUE(MID('Raw Orders'!B1634,9,2))),DATE(VALUE(MID('Raw Orders'!B1634,7,4)),VALUE(MID('Raw Orders'!B1634,4,2)),VALUE(LEFT('Raw Orders'!B1634,2)))))</f>
        <v>46235</v>
      </c>
      <c r="B1637" s="36" t="n">
        <f aca="false">IF(A1637="","",A1637-WEEKDAY(A1637,3))</f>
        <v>46230</v>
      </c>
      <c r="C1637" s="32" t="n">
        <f aca="false">IF(OR('Raw Orders'!C1634&lt;&gt;"Product",'Raw Orders'!K1634="Cancelled"),0,'Raw Orders'!G1634)</f>
        <v>58</v>
      </c>
      <c r="D1637" s="31" t="n">
        <f aca="false">IF(AND('Raw Orders'!C1634="Product",'Raw Orders'!K1634="Fulfilled",COUNTIFS('Raw Orders'!$A$2:$A1634,'Raw Orders'!A1634,'Raw Orders'!$C$2:$C1634,"Product",'Raw Orders'!$K$2:$K1634,"Fulfilled")=1),1,0)</f>
        <v>0</v>
      </c>
      <c r="E1637" s="31" t="n">
        <f aca="false">IF(AND('Raw Orders'!C1634="Product",'Raw Orders'!K1634="Fulfilled"),'Raw Orders'!E1634,0)</f>
        <v>2</v>
      </c>
      <c r="F1637" s="32" t="n">
        <f aca="false">IF('Raw Orders'!K1634="Refunded",'Raw Orders'!G1634,0)</f>
        <v>0</v>
      </c>
    </row>
    <row r="1638" customFormat="false" ht="15" hidden="false" customHeight="false" outlineLevel="0" collapsed="false">
      <c r="A1638" s="36" t="n">
        <f aca="false">IF('Raw Orders'!B1635="","",IF(MID('Raw Orders'!B1635,5,1)="-",DATE(VALUE(LEFT('Raw Orders'!B1635,4)),VALUE(MID('Raw Orders'!B1635,6,2)),VALUE(MID('Raw Orders'!B1635,9,2))),DATE(VALUE(MID('Raw Orders'!B1635,7,4)),VALUE(MID('Raw Orders'!B1635,4,2)),VALUE(LEFT('Raw Orders'!B1635,2)))))</f>
        <v>46235</v>
      </c>
      <c r="B1638" s="36" t="n">
        <f aca="false">IF(A1638="","",A1638-WEEKDAY(A1638,3))</f>
        <v>46230</v>
      </c>
      <c r="C1638" s="32" t="n">
        <f aca="false">IF(OR('Raw Orders'!C1635&lt;&gt;"Product",'Raw Orders'!K1635="Cancelled"),0,'Raw Orders'!G1635)</f>
        <v>0</v>
      </c>
      <c r="D1638" s="31" t="n">
        <f aca="false">IF(AND('Raw Orders'!C1635="Product",'Raw Orders'!K1635="Fulfilled",COUNTIFS('Raw Orders'!$A$2:$A1635,'Raw Orders'!A1635,'Raw Orders'!$C$2:$C1635,"Product",'Raw Orders'!$K$2:$K1635,"Fulfilled")=1),1,0)</f>
        <v>0</v>
      </c>
      <c r="E1638" s="31" t="n">
        <f aca="false">IF(AND('Raw Orders'!C1635="Product",'Raw Orders'!K1635="Fulfilled"),'Raw Orders'!E1635,0)</f>
        <v>0</v>
      </c>
      <c r="F1638" s="32" t="n">
        <f aca="false">IF('Raw Orders'!K1635="Refunded",'Raw Orders'!G1635,0)</f>
        <v>0</v>
      </c>
    </row>
    <row r="1639" customFormat="false" ht="15" hidden="false" customHeight="false" outlineLevel="0" collapsed="false">
      <c r="A1639" s="36" t="n">
        <f aca="false">IF('Raw Orders'!B1636="","",IF(MID('Raw Orders'!B1636,5,1)="-",DATE(VALUE(LEFT('Raw Orders'!B1636,4)),VALUE(MID('Raw Orders'!B1636,6,2)),VALUE(MID('Raw Orders'!B1636,9,2))),DATE(VALUE(MID('Raw Orders'!B1636,7,4)),VALUE(MID('Raw Orders'!B1636,4,2)),VALUE(LEFT('Raw Orders'!B1636,2)))))</f>
        <v>46235</v>
      </c>
      <c r="B1639" s="36" t="n">
        <f aca="false">IF(A1639="","",A1639-WEEKDAY(A1639,3))</f>
        <v>46230</v>
      </c>
      <c r="C1639" s="32" t="n">
        <f aca="false">IF(OR('Raw Orders'!C1636&lt;&gt;"Product",'Raw Orders'!K1636="Cancelled"),0,'Raw Orders'!G1636)</f>
        <v>58</v>
      </c>
      <c r="D1639" s="31" t="n">
        <f aca="false">IF(AND('Raw Orders'!C1636="Product",'Raw Orders'!K1636="Fulfilled",COUNTIFS('Raw Orders'!$A$2:$A1636,'Raw Orders'!A1636,'Raw Orders'!$C$2:$C1636,"Product",'Raw Orders'!$K$2:$K1636,"Fulfilled")=1),1,0)</f>
        <v>1</v>
      </c>
      <c r="E1639" s="31" t="n">
        <f aca="false">IF(AND('Raw Orders'!C1636="Product",'Raw Orders'!K1636="Fulfilled"),'Raw Orders'!E1636,0)</f>
        <v>2</v>
      </c>
      <c r="F1639" s="32" t="n">
        <f aca="false">IF('Raw Orders'!K1636="Refunded",'Raw Orders'!G1636,0)</f>
        <v>0</v>
      </c>
    </row>
    <row r="1640" customFormat="false" ht="15" hidden="false" customHeight="false" outlineLevel="0" collapsed="false">
      <c r="A1640" s="36" t="n">
        <f aca="false">IF('Raw Orders'!B1637="","",IF(MID('Raw Orders'!B1637,5,1)="-",DATE(VALUE(LEFT('Raw Orders'!B1637,4)),VALUE(MID('Raw Orders'!B1637,6,2)),VALUE(MID('Raw Orders'!B1637,9,2))),DATE(VALUE(MID('Raw Orders'!B1637,7,4)),VALUE(MID('Raw Orders'!B1637,4,2)),VALUE(LEFT('Raw Orders'!B1637,2)))))</f>
        <v>46235</v>
      </c>
      <c r="B1640" s="36" t="n">
        <f aca="false">IF(A1640="","",A1640-WEEKDAY(A1640,3))</f>
        <v>46230</v>
      </c>
      <c r="C1640" s="32" t="n">
        <f aca="false">IF(OR('Raw Orders'!C1637&lt;&gt;"Product",'Raw Orders'!K1637="Cancelled"),0,'Raw Orders'!G1637)</f>
        <v>28</v>
      </c>
      <c r="D1640" s="31" t="n">
        <f aca="false">IF(AND('Raw Orders'!C1637="Product",'Raw Orders'!K1637="Fulfilled",COUNTIFS('Raw Orders'!$A$2:$A1637,'Raw Orders'!A1637,'Raw Orders'!$C$2:$C1637,"Product",'Raw Orders'!$K$2:$K1637,"Fulfilled")=1),1,0)</f>
        <v>1</v>
      </c>
      <c r="E1640" s="31" t="n">
        <f aca="false">IF(AND('Raw Orders'!C1637="Product",'Raw Orders'!K1637="Fulfilled"),'Raw Orders'!E1637,0)</f>
        <v>2</v>
      </c>
      <c r="F1640" s="32" t="n">
        <f aca="false">IF('Raw Orders'!K1637="Refunded",'Raw Orders'!G1637,0)</f>
        <v>0</v>
      </c>
    </row>
    <row r="1641" customFormat="false" ht="15" hidden="false" customHeight="false" outlineLevel="0" collapsed="false">
      <c r="A1641" s="36" t="n">
        <f aca="false">IF('Raw Orders'!B1638="","",IF(MID('Raw Orders'!B1638,5,1)="-",DATE(VALUE(LEFT('Raw Orders'!B1638,4)),VALUE(MID('Raw Orders'!B1638,6,2)),VALUE(MID('Raw Orders'!B1638,9,2))),DATE(VALUE(MID('Raw Orders'!B1638,7,4)),VALUE(MID('Raw Orders'!B1638,4,2)),VALUE(LEFT('Raw Orders'!B1638,2)))))</f>
        <v>46235</v>
      </c>
      <c r="B1641" s="36" t="n">
        <f aca="false">IF(A1641="","",A1641-WEEKDAY(A1641,3))</f>
        <v>46230</v>
      </c>
      <c r="C1641" s="32" t="n">
        <f aca="false">IF(OR('Raw Orders'!C1638&lt;&gt;"Product",'Raw Orders'!K1638="Cancelled"),0,'Raw Orders'!G1638)</f>
        <v>0</v>
      </c>
      <c r="D1641" s="31" t="n">
        <f aca="false">IF(AND('Raw Orders'!C1638="Product",'Raw Orders'!K1638="Fulfilled",COUNTIFS('Raw Orders'!$A$2:$A1638,'Raw Orders'!A1638,'Raw Orders'!$C$2:$C1638,"Product",'Raw Orders'!$K$2:$K1638,"Fulfilled")=1),1,0)</f>
        <v>0</v>
      </c>
      <c r="E1641" s="31" t="n">
        <f aca="false">IF(AND('Raw Orders'!C1638="Product",'Raw Orders'!K1638="Fulfilled"),'Raw Orders'!E1638,0)</f>
        <v>0</v>
      </c>
      <c r="F1641" s="32" t="n">
        <f aca="false">IF('Raw Orders'!K1638="Refunded",'Raw Orders'!G1638,0)</f>
        <v>0</v>
      </c>
    </row>
    <row r="1642" customFormat="false" ht="15" hidden="false" customHeight="false" outlineLevel="0" collapsed="false">
      <c r="A1642" s="36" t="n">
        <f aca="false">IF('Raw Orders'!B1639="","",IF(MID('Raw Orders'!B1639,5,1)="-",DATE(VALUE(LEFT('Raw Orders'!B1639,4)),VALUE(MID('Raw Orders'!B1639,6,2)),VALUE(MID('Raw Orders'!B1639,9,2))),DATE(VALUE(MID('Raw Orders'!B1639,7,4)),VALUE(MID('Raw Orders'!B1639,4,2)),VALUE(LEFT('Raw Orders'!B1639,2)))))</f>
        <v>46235</v>
      </c>
      <c r="B1642" s="36" t="n">
        <f aca="false">IF(A1642="","",A1642-WEEKDAY(A1642,3))</f>
        <v>46230</v>
      </c>
      <c r="C1642" s="32" t="n">
        <f aca="false">IF(OR('Raw Orders'!C1639&lt;&gt;"Product",'Raw Orders'!K1639="Cancelled"),0,'Raw Orders'!G1639)</f>
        <v>0</v>
      </c>
      <c r="D1642" s="31" t="n">
        <f aca="false">IF(AND('Raw Orders'!C1639="Product",'Raw Orders'!K1639="Fulfilled",COUNTIFS('Raw Orders'!$A$2:$A1639,'Raw Orders'!A1639,'Raw Orders'!$C$2:$C1639,"Product",'Raw Orders'!$K$2:$K1639,"Fulfilled")=1),1,0)</f>
        <v>0</v>
      </c>
      <c r="E1642" s="31" t="n">
        <f aca="false">IF(AND('Raw Orders'!C1639="Product",'Raw Orders'!K1639="Fulfilled"),'Raw Orders'!E1639,0)</f>
        <v>0</v>
      </c>
      <c r="F1642" s="32" t="n">
        <f aca="false">IF('Raw Orders'!K1639="Refunded",'Raw Orders'!G1639,0)</f>
        <v>0</v>
      </c>
    </row>
    <row r="1643" customFormat="false" ht="15" hidden="false" customHeight="false" outlineLevel="0" collapsed="false">
      <c r="A1643" s="36" t="n">
        <f aca="false">IF('Raw Orders'!B1640="","",IF(MID('Raw Orders'!B1640,5,1)="-",DATE(VALUE(LEFT('Raw Orders'!B1640,4)),VALUE(MID('Raw Orders'!B1640,6,2)),VALUE(MID('Raw Orders'!B1640,9,2))),DATE(VALUE(MID('Raw Orders'!B1640,7,4)),VALUE(MID('Raw Orders'!B1640,4,2)),VALUE(LEFT('Raw Orders'!B1640,2)))))</f>
        <v>46235</v>
      </c>
      <c r="B1643" s="36" t="n">
        <f aca="false">IF(A1643="","",A1643-WEEKDAY(A1643,3))</f>
        <v>46230</v>
      </c>
      <c r="C1643" s="32" t="n">
        <f aca="false">IF(OR('Raw Orders'!C1640&lt;&gt;"Product",'Raw Orders'!K1640="Cancelled"),0,'Raw Orders'!G1640)</f>
        <v>32</v>
      </c>
      <c r="D1643" s="31" t="n">
        <f aca="false">IF(AND('Raw Orders'!C1640="Product",'Raw Orders'!K1640="Fulfilled",COUNTIFS('Raw Orders'!$A$2:$A1640,'Raw Orders'!A1640,'Raw Orders'!$C$2:$C1640,"Product",'Raw Orders'!$K$2:$K1640,"Fulfilled")=1),1,0)</f>
        <v>1</v>
      </c>
      <c r="E1643" s="31" t="n">
        <f aca="false">IF(AND('Raw Orders'!C1640="Product",'Raw Orders'!K1640="Fulfilled"),'Raw Orders'!E1640,0)</f>
        <v>1</v>
      </c>
      <c r="F1643" s="32" t="n">
        <f aca="false">IF('Raw Orders'!K1640="Refunded",'Raw Orders'!G1640,0)</f>
        <v>0</v>
      </c>
    </row>
    <row r="1644" customFormat="false" ht="15" hidden="false" customHeight="false" outlineLevel="0" collapsed="false">
      <c r="A1644" s="36" t="n">
        <f aca="false">IF('Raw Orders'!B1641="","",IF(MID('Raw Orders'!B1641,5,1)="-",DATE(VALUE(LEFT('Raw Orders'!B1641,4)),VALUE(MID('Raw Orders'!B1641,6,2)),VALUE(MID('Raw Orders'!B1641,9,2))),DATE(VALUE(MID('Raw Orders'!B1641,7,4)),VALUE(MID('Raw Orders'!B1641,4,2)),VALUE(LEFT('Raw Orders'!B1641,2)))))</f>
        <v>46235</v>
      </c>
      <c r="B1644" s="36" t="n">
        <f aca="false">IF(A1644="","",A1644-WEEKDAY(A1644,3))</f>
        <v>46230</v>
      </c>
      <c r="C1644" s="32" t="n">
        <f aca="false">IF(OR('Raw Orders'!C1641&lt;&gt;"Product",'Raw Orders'!K1641="Cancelled"),0,'Raw Orders'!G1641)</f>
        <v>14</v>
      </c>
      <c r="D1644" s="31" t="n">
        <f aca="false">IF(AND('Raw Orders'!C1641="Product",'Raw Orders'!K1641="Fulfilled",COUNTIFS('Raw Orders'!$A$2:$A1641,'Raw Orders'!A1641,'Raw Orders'!$C$2:$C1641,"Product",'Raw Orders'!$K$2:$K1641,"Fulfilled")=1),1,0)</f>
        <v>0</v>
      </c>
      <c r="E1644" s="31" t="n">
        <f aca="false">IF(AND('Raw Orders'!C1641="Product",'Raw Orders'!K1641="Fulfilled"),'Raw Orders'!E1641,0)</f>
        <v>1</v>
      </c>
      <c r="F1644" s="32" t="n">
        <f aca="false">IF('Raw Orders'!K1641="Refunded",'Raw Orders'!G1641,0)</f>
        <v>0</v>
      </c>
    </row>
    <row r="1645" customFormat="false" ht="15" hidden="false" customHeight="false" outlineLevel="0" collapsed="false">
      <c r="A1645" s="36" t="n">
        <f aca="false">IF('Raw Orders'!B1642="","",IF(MID('Raw Orders'!B1642,5,1)="-",DATE(VALUE(LEFT('Raw Orders'!B1642,4)),VALUE(MID('Raw Orders'!B1642,6,2)),VALUE(MID('Raw Orders'!B1642,9,2))),DATE(VALUE(MID('Raw Orders'!B1642,7,4)),VALUE(MID('Raw Orders'!B1642,4,2)),VALUE(LEFT('Raw Orders'!B1642,2)))))</f>
        <v>46235</v>
      </c>
      <c r="B1645" s="36" t="n">
        <f aca="false">IF(A1645="","",A1645-WEEKDAY(A1645,3))</f>
        <v>46230</v>
      </c>
      <c r="C1645" s="32" t="n">
        <f aca="false">IF(OR('Raw Orders'!C1642&lt;&gt;"Product",'Raw Orders'!K1642="Cancelled"),0,'Raw Orders'!G1642)</f>
        <v>150</v>
      </c>
      <c r="D1645" s="31" t="n">
        <f aca="false">IF(AND('Raw Orders'!C1642="Product",'Raw Orders'!K1642="Fulfilled",COUNTIFS('Raw Orders'!$A$2:$A1642,'Raw Orders'!A1642,'Raw Orders'!$C$2:$C1642,"Product",'Raw Orders'!$K$2:$K1642,"Fulfilled")=1),1,0)</f>
        <v>1</v>
      </c>
      <c r="E1645" s="31" t="n">
        <f aca="false">IF(AND('Raw Orders'!C1642="Product",'Raw Orders'!K1642="Fulfilled"),'Raw Orders'!E1642,0)</f>
        <v>2</v>
      </c>
      <c r="F1645" s="32" t="n">
        <f aca="false">IF('Raw Orders'!K1642="Refunded",'Raw Orders'!G1642,0)</f>
        <v>0</v>
      </c>
    </row>
    <row r="1646" customFormat="false" ht="15" hidden="false" customHeight="false" outlineLevel="0" collapsed="false">
      <c r="A1646" s="36" t="n">
        <f aca="false">IF('Raw Orders'!B1643="","",IF(MID('Raw Orders'!B1643,5,1)="-",DATE(VALUE(LEFT('Raw Orders'!B1643,4)),VALUE(MID('Raw Orders'!B1643,6,2)),VALUE(MID('Raw Orders'!B1643,9,2))),DATE(VALUE(MID('Raw Orders'!B1643,7,4)),VALUE(MID('Raw Orders'!B1643,4,2)),VALUE(LEFT('Raw Orders'!B1643,2)))))</f>
        <v>46235</v>
      </c>
      <c r="B1646" s="36" t="n">
        <f aca="false">IF(A1646="","",A1646-WEEKDAY(A1646,3))</f>
        <v>46230</v>
      </c>
      <c r="C1646" s="32" t="n">
        <f aca="false">IF(OR('Raw Orders'!C1643&lt;&gt;"Product",'Raw Orders'!K1643="Cancelled"),0,'Raw Orders'!G1643)</f>
        <v>0</v>
      </c>
      <c r="D1646" s="31" t="n">
        <f aca="false">IF(AND('Raw Orders'!C1643="Product",'Raw Orders'!K1643="Fulfilled",COUNTIFS('Raw Orders'!$A$2:$A1643,'Raw Orders'!A1643,'Raw Orders'!$C$2:$C1643,"Product",'Raw Orders'!$K$2:$K1643,"Fulfilled")=1),1,0)</f>
        <v>0</v>
      </c>
      <c r="E1646" s="31" t="n">
        <f aca="false">IF(AND('Raw Orders'!C1643="Product",'Raw Orders'!K1643="Fulfilled"),'Raw Orders'!E1643,0)</f>
        <v>0</v>
      </c>
      <c r="F1646" s="32" t="n">
        <f aca="false">IF('Raw Orders'!K1643="Refunded",'Raw Orders'!G1643,0)</f>
        <v>0</v>
      </c>
    </row>
    <row r="1647" customFormat="false" ht="15" hidden="false" customHeight="false" outlineLevel="0" collapsed="false">
      <c r="A1647" s="36" t="n">
        <f aca="false">IF('Raw Orders'!B1644="","",IF(MID('Raw Orders'!B1644,5,1)="-",DATE(VALUE(LEFT('Raw Orders'!B1644,4)),VALUE(MID('Raw Orders'!B1644,6,2)),VALUE(MID('Raw Orders'!B1644,9,2))),DATE(VALUE(MID('Raw Orders'!B1644,7,4)),VALUE(MID('Raw Orders'!B1644,4,2)),VALUE(LEFT('Raw Orders'!B1644,2)))))</f>
        <v>46235</v>
      </c>
      <c r="B1647" s="36" t="n">
        <f aca="false">IF(A1647="","",A1647-WEEKDAY(A1647,3))</f>
        <v>46230</v>
      </c>
      <c r="C1647" s="32" t="n">
        <f aca="false">IF(OR('Raw Orders'!C1644&lt;&gt;"Product",'Raw Orders'!K1644="Cancelled"),0,'Raw Orders'!G1644)</f>
        <v>104</v>
      </c>
      <c r="D1647" s="31" t="n">
        <f aca="false">IF(AND('Raw Orders'!C1644="Product",'Raw Orders'!K1644="Fulfilled",COUNTIFS('Raw Orders'!$A$2:$A1644,'Raw Orders'!A1644,'Raw Orders'!$C$2:$C1644,"Product",'Raw Orders'!$K$2:$K1644,"Fulfilled")=1),1,0)</f>
        <v>0</v>
      </c>
      <c r="E1647" s="31" t="n">
        <f aca="false">IF(AND('Raw Orders'!C1644="Product",'Raw Orders'!K1644="Fulfilled"),'Raw Orders'!E1644,0)</f>
        <v>4</v>
      </c>
      <c r="F1647" s="32" t="n">
        <f aca="false">IF('Raw Orders'!K1644="Refunded",'Raw Orders'!G1644,0)</f>
        <v>0</v>
      </c>
    </row>
    <row r="1648" customFormat="false" ht="15" hidden="false" customHeight="false" outlineLevel="0" collapsed="false">
      <c r="A1648" s="36" t="n">
        <f aca="false">IF('Raw Orders'!B1645="","",IF(MID('Raw Orders'!B1645,5,1)="-",DATE(VALUE(LEFT('Raw Orders'!B1645,4)),VALUE(MID('Raw Orders'!B1645,6,2)),VALUE(MID('Raw Orders'!B1645,9,2))),DATE(VALUE(MID('Raw Orders'!B1645,7,4)),VALUE(MID('Raw Orders'!B1645,4,2)),VALUE(LEFT('Raw Orders'!B1645,2)))))</f>
        <v>46235</v>
      </c>
      <c r="B1648" s="36" t="n">
        <f aca="false">IF(A1648="","",A1648-WEEKDAY(A1648,3))</f>
        <v>46230</v>
      </c>
      <c r="C1648" s="32" t="n">
        <f aca="false">IF(OR('Raw Orders'!C1645&lt;&gt;"Product",'Raw Orders'!K1645="Cancelled"),0,'Raw Orders'!G1645)</f>
        <v>70</v>
      </c>
      <c r="D1648" s="31" t="n">
        <f aca="false">IF(AND('Raw Orders'!C1645="Product",'Raw Orders'!K1645="Fulfilled",COUNTIFS('Raw Orders'!$A$2:$A1645,'Raw Orders'!A1645,'Raw Orders'!$C$2:$C1645,"Product",'Raw Orders'!$K$2:$K1645,"Fulfilled")=1),1,0)</f>
        <v>0</v>
      </c>
      <c r="E1648" s="31" t="n">
        <f aca="false">IF(AND('Raw Orders'!C1645="Product",'Raw Orders'!K1645="Fulfilled"),'Raw Orders'!E1645,0)</f>
        <v>2</v>
      </c>
      <c r="F1648" s="32" t="n">
        <f aca="false">IF('Raw Orders'!K1645="Refunded",'Raw Orders'!G1645,0)</f>
        <v>0</v>
      </c>
    </row>
    <row r="1649" customFormat="false" ht="15" hidden="false" customHeight="false" outlineLevel="0" collapsed="false">
      <c r="A1649" s="36" t="n">
        <f aca="false">IF('Raw Orders'!B1646="","",IF(MID('Raw Orders'!B1646,5,1)="-",DATE(VALUE(LEFT('Raw Orders'!B1646,4)),VALUE(MID('Raw Orders'!B1646,6,2)),VALUE(MID('Raw Orders'!B1646,9,2))),DATE(VALUE(MID('Raw Orders'!B1646,7,4)),VALUE(MID('Raw Orders'!B1646,4,2)),VALUE(LEFT('Raw Orders'!B1646,2)))))</f>
        <v>46236</v>
      </c>
      <c r="B1649" s="36" t="n">
        <f aca="false">IF(A1649="","",A1649-WEEKDAY(A1649,3))</f>
        <v>46230</v>
      </c>
      <c r="C1649" s="32" t="n">
        <f aca="false">IF(OR('Raw Orders'!C1646&lt;&gt;"Product",'Raw Orders'!K1646="Cancelled"),0,'Raw Orders'!G1646)</f>
        <v>-89</v>
      </c>
      <c r="D1649" s="31" t="n">
        <f aca="false">IF(AND('Raw Orders'!C1646="Product",'Raw Orders'!K1646="Fulfilled",COUNTIFS('Raw Orders'!$A$2:$A1646,'Raw Orders'!A1646,'Raw Orders'!$C$2:$C1646,"Product",'Raw Orders'!$K$2:$K1646,"Fulfilled")=1),1,0)</f>
        <v>0</v>
      </c>
      <c r="E1649" s="31" t="n">
        <f aca="false">IF(AND('Raw Orders'!C1646="Product",'Raw Orders'!K1646="Fulfilled"),'Raw Orders'!E1646,0)</f>
        <v>0</v>
      </c>
      <c r="F1649" s="32" t="n">
        <f aca="false">IF('Raw Orders'!K1646="Refunded",'Raw Orders'!G1646,0)</f>
        <v>-89</v>
      </c>
    </row>
    <row r="1650" customFormat="false" ht="15" hidden="false" customHeight="false" outlineLevel="0" collapsed="false">
      <c r="A1650" s="36" t="n">
        <f aca="false">IF('Raw Orders'!B1647="","",IF(MID('Raw Orders'!B1647,5,1)="-",DATE(VALUE(LEFT('Raw Orders'!B1647,4)),VALUE(MID('Raw Orders'!B1647,6,2)),VALUE(MID('Raw Orders'!B1647,9,2))),DATE(VALUE(MID('Raw Orders'!B1647,7,4)),VALUE(MID('Raw Orders'!B1647,4,2)),VALUE(LEFT('Raw Orders'!B1647,2)))))</f>
        <v>46236</v>
      </c>
      <c r="B1650" s="36" t="n">
        <f aca="false">IF(A1650="","",A1650-WEEKDAY(A1650,3))</f>
        <v>46230</v>
      </c>
      <c r="C1650" s="32" t="n">
        <f aca="false">IF(OR('Raw Orders'!C1647&lt;&gt;"Product",'Raw Orders'!K1647="Cancelled"),0,'Raw Orders'!G1647)</f>
        <v>89</v>
      </c>
      <c r="D1650" s="31" t="n">
        <f aca="false">IF(AND('Raw Orders'!C1647="Product",'Raw Orders'!K1647="Fulfilled",COUNTIFS('Raw Orders'!$A$2:$A1647,'Raw Orders'!A1647,'Raw Orders'!$C$2:$C1647,"Product",'Raw Orders'!$K$2:$K1647,"Fulfilled")=1),1,0)</f>
        <v>1</v>
      </c>
      <c r="E1650" s="31" t="n">
        <f aca="false">IF(AND('Raw Orders'!C1647="Product",'Raw Orders'!K1647="Fulfilled"),'Raw Orders'!E1647,0)</f>
        <v>1</v>
      </c>
      <c r="F1650" s="32" t="n">
        <f aca="false">IF('Raw Orders'!K1647="Refunded",'Raw Orders'!G1647,0)</f>
        <v>0</v>
      </c>
    </row>
    <row r="1651" customFormat="false" ht="15" hidden="false" customHeight="false" outlineLevel="0" collapsed="false">
      <c r="A1651" s="36" t="n">
        <f aca="false">IF('Raw Orders'!B1648="","",IF(MID('Raw Orders'!B1648,5,1)="-",DATE(VALUE(LEFT('Raw Orders'!B1648,4)),VALUE(MID('Raw Orders'!B1648,6,2)),VALUE(MID('Raw Orders'!B1648,9,2))),DATE(VALUE(MID('Raw Orders'!B1648,7,4)),VALUE(MID('Raw Orders'!B1648,4,2)),VALUE(LEFT('Raw Orders'!B1648,2)))))</f>
        <v>46236</v>
      </c>
      <c r="B1651" s="36" t="n">
        <f aca="false">IF(A1651="","",A1651-WEEKDAY(A1651,3))</f>
        <v>46230</v>
      </c>
      <c r="C1651" s="32" t="n">
        <f aca="false">IF(OR('Raw Orders'!C1648&lt;&gt;"Product",'Raw Orders'!K1648="Cancelled"),0,'Raw Orders'!G1648)</f>
        <v>45</v>
      </c>
      <c r="D1651" s="31" t="n">
        <f aca="false">IF(AND('Raw Orders'!C1648="Product",'Raw Orders'!K1648="Fulfilled",COUNTIFS('Raw Orders'!$A$2:$A1648,'Raw Orders'!A1648,'Raw Orders'!$C$2:$C1648,"Product",'Raw Orders'!$K$2:$K1648,"Fulfilled")=1),1,0)</f>
        <v>1</v>
      </c>
      <c r="E1651" s="31" t="n">
        <f aca="false">IF(AND('Raw Orders'!C1648="Product",'Raw Orders'!K1648="Fulfilled"),'Raw Orders'!E1648,0)</f>
        <v>1</v>
      </c>
      <c r="F1651" s="32" t="n">
        <f aca="false">IF('Raw Orders'!K1648="Refunded",'Raw Orders'!G1648,0)</f>
        <v>0</v>
      </c>
    </row>
    <row r="1652" customFormat="false" ht="15" hidden="false" customHeight="false" outlineLevel="0" collapsed="false">
      <c r="A1652" s="36" t="n">
        <f aca="false">IF('Raw Orders'!B1649="","",IF(MID('Raw Orders'!B1649,5,1)="-",DATE(VALUE(LEFT('Raw Orders'!B1649,4)),VALUE(MID('Raw Orders'!B1649,6,2)),VALUE(MID('Raw Orders'!B1649,9,2))),DATE(VALUE(MID('Raw Orders'!B1649,7,4)),VALUE(MID('Raw Orders'!B1649,4,2)),VALUE(LEFT('Raw Orders'!B1649,2)))))</f>
        <v>46236</v>
      </c>
      <c r="B1652" s="36" t="n">
        <f aca="false">IF(A1652="","",A1652-WEEKDAY(A1652,3))</f>
        <v>46230</v>
      </c>
      <c r="C1652" s="32" t="n">
        <f aca="false">IF(OR('Raw Orders'!C1649&lt;&gt;"Product",'Raw Orders'!K1649="Cancelled"),0,'Raw Orders'!G1649)</f>
        <v>20.8</v>
      </c>
      <c r="D1652" s="31" t="n">
        <f aca="false">IF(AND('Raw Orders'!C1649="Product",'Raw Orders'!K1649="Fulfilled",COUNTIFS('Raw Orders'!$A$2:$A1649,'Raw Orders'!A1649,'Raw Orders'!$C$2:$C1649,"Product",'Raw Orders'!$K$2:$K1649,"Fulfilled")=1),1,0)</f>
        <v>0</v>
      </c>
      <c r="E1652" s="31" t="n">
        <f aca="false">IF(AND('Raw Orders'!C1649="Product",'Raw Orders'!K1649="Fulfilled"),'Raw Orders'!E1649,0)</f>
        <v>1</v>
      </c>
      <c r="F1652" s="32" t="n">
        <f aca="false">IF('Raw Orders'!K1649="Refunded",'Raw Orders'!G1649,0)</f>
        <v>0</v>
      </c>
    </row>
    <row r="1653" customFormat="false" ht="15" hidden="false" customHeight="false" outlineLevel="0" collapsed="false">
      <c r="A1653" s="36" t="n">
        <f aca="false">IF('Raw Orders'!B1650="","",IF(MID('Raw Orders'!B1650,5,1)="-",DATE(VALUE(LEFT('Raw Orders'!B1650,4)),VALUE(MID('Raw Orders'!B1650,6,2)),VALUE(MID('Raw Orders'!B1650,9,2))),DATE(VALUE(MID('Raw Orders'!B1650,7,4)),VALUE(MID('Raw Orders'!B1650,4,2)),VALUE(LEFT('Raw Orders'!B1650,2)))))</f>
        <v>46236</v>
      </c>
      <c r="B1653" s="36" t="n">
        <f aca="false">IF(A1653="","",A1653-WEEKDAY(A1653,3))</f>
        <v>46230</v>
      </c>
      <c r="C1653" s="32" t="n">
        <f aca="false">IF(OR('Raw Orders'!C1650&lt;&gt;"Product",'Raw Orders'!K1650="Cancelled"),0,'Raw Orders'!G1650)</f>
        <v>0</v>
      </c>
      <c r="D1653" s="31" t="n">
        <f aca="false">IF(AND('Raw Orders'!C1650="Product",'Raw Orders'!K1650="Fulfilled",COUNTIFS('Raw Orders'!$A$2:$A1650,'Raw Orders'!A1650,'Raw Orders'!$C$2:$C1650,"Product",'Raw Orders'!$K$2:$K1650,"Fulfilled")=1),1,0)</f>
        <v>0</v>
      </c>
      <c r="E1653" s="31" t="n">
        <f aca="false">IF(AND('Raw Orders'!C1650="Product",'Raw Orders'!K1650="Fulfilled"),'Raw Orders'!E1650,0)</f>
        <v>0</v>
      </c>
      <c r="F1653" s="32" t="n">
        <f aca="false">IF('Raw Orders'!K1650="Refunded",'Raw Orders'!G1650,0)</f>
        <v>0</v>
      </c>
    </row>
    <row r="1654" customFormat="false" ht="15" hidden="false" customHeight="false" outlineLevel="0" collapsed="false">
      <c r="A1654" s="36" t="n">
        <f aca="false">IF('Raw Orders'!B1651="","",IF(MID('Raw Orders'!B1651,5,1)="-",DATE(VALUE(LEFT('Raw Orders'!B1651,4)),VALUE(MID('Raw Orders'!B1651,6,2)),VALUE(MID('Raw Orders'!B1651,9,2))),DATE(VALUE(MID('Raw Orders'!B1651,7,4)),VALUE(MID('Raw Orders'!B1651,4,2)),VALUE(LEFT('Raw Orders'!B1651,2)))))</f>
        <v>46236</v>
      </c>
      <c r="B1654" s="36" t="n">
        <f aca="false">IF(A1654="","",A1654-WEEKDAY(A1654,3))</f>
        <v>46230</v>
      </c>
      <c r="C1654" s="32" t="n">
        <f aca="false">IF(OR('Raw Orders'!C1651&lt;&gt;"Product",'Raw Orders'!K1651="Cancelled"),0,'Raw Orders'!G1651)</f>
        <v>0</v>
      </c>
      <c r="D1654" s="31" t="n">
        <f aca="false">IF(AND('Raw Orders'!C1651="Product",'Raw Orders'!K1651="Fulfilled",COUNTIFS('Raw Orders'!$A$2:$A1651,'Raw Orders'!A1651,'Raw Orders'!$C$2:$C1651,"Product",'Raw Orders'!$K$2:$K1651,"Fulfilled")=1),1,0)</f>
        <v>0</v>
      </c>
      <c r="E1654" s="31" t="n">
        <f aca="false">IF(AND('Raw Orders'!C1651="Product",'Raw Orders'!K1651="Fulfilled"),'Raw Orders'!E1651,0)</f>
        <v>0</v>
      </c>
      <c r="F1654" s="32" t="n">
        <f aca="false">IF('Raw Orders'!K1651="Refunded",'Raw Orders'!G1651,0)</f>
        <v>0</v>
      </c>
    </row>
    <row r="1655" customFormat="false" ht="15" hidden="false" customHeight="false" outlineLevel="0" collapsed="false">
      <c r="A1655" s="36" t="n">
        <f aca="false">IF('Raw Orders'!B1652="","",IF(MID('Raw Orders'!B1652,5,1)="-",DATE(VALUE(LEFT('Raw Orders'!B1652,4)),VALUE(MID('Raw Orders'!B1652,6,2)),VALUE(MID('Raw Orders'!B1652,9,2))),DATE(VALUE(MID('Raw Orders'!B1652,7,4)),VALUE(MID('Raw Orders'!B1652,4,2)),VALUE(LEFT('Raw Orders'!B1652,2)))))</f>
        <v>46236</v>
      </c>
      <c r="B1655" s="36" t="n">
        <f aca="false">IF(A1655="","",A1655-WEEKDAY(A1655,3))</f>
        <v>46230</v>
      </c>
      <c r="C1655" s="32" t="n">
        <f aca="false">IF(OR('Raw Orders'!C1652&lt;&gt;"Product",'Raw Orders'!K1652="Cancelled"),0,'Raw Orders'!G1652)</f>
        <v>39</v>
      </c>
      <c r="D1655" s="31" t="n">
        <f aca="false">IF(AND('Raw Orders'!C1652="Product",'Raw Orders'!K1652="Fulfilled",COUNTIFS('Raw Orders'!$A$2:$A1652,'Raw Orders'!A1652,'Raw Orders'!$C$2:$C1652,"Product",'Raw Orders'!$K$2:$K1652,"Fulfilled")=1),1,0)</f>
        <v>1</v>
      </c>
      <c r="E1655" s="31" t="n">
        <f aca="false">IF(AND('Raw Orders'!C1652="Product",'Raw Orders'!K1652="Fulfilled"),'Raw Orders'!E1652,0)</f>
        <v>1</v>
      </c>
      <c r="F1655" s="32" t="n">
        <f aca="false">IF('Raw Orders'!K1652="Refunded",'Raw Orders'!G1652,0)</f>
        <v>0</v>
      </c>
    </row>
    <row r="1656" customFormat="false" ht="15" hidden="false" customHeight="false" outlineLevel="0" collapsed="false">
      <c r="A1656" s="36" t="n">
        <f aca="false">IF('Raw Orders'!B1653="","",IF(MID('Raw Orders'!B1653,5,1)="-",DATE(VALUE(LEFT('Raw Orders'!B1653,4)),VALUE(MID('Raw Orders'!B1653,6,2)),VALUE(MID('Raw Orders'!B1653,9,2))),DATE(VALUE(MID('Raw Orders'!B1653,7,4)),VALUE(MID('Raw Orders'!B1653,4,2)),VALUE(LEFT('Raw Orders'!B1653,2)))))</f>
        <v>46236</v>
      </c>
      <c r="B1656" s="36" t="n">
        <f aca="false">IF(A1656="","",A1656-WEEKDAY(A1656,3))</f>
        <v>46230</v>
      </c>
      <c r="C1656" s="32" t="n">
        <f aca="false">IF(OR('Raw Orders'!C1653&lt;&gt;"Product",'Raw Orders'!K1653="Cancelled"),0,'Raw Orders'!G1653)</f>
        <v>22</v>
      </c>
      <c r="D1656" s="31" t="n">
        <f aca="false">IF(AND('Raw Orders'!C1653="Product",'Raw Orders'!K1653="Fulfilled",COUNTIFS('Raw Orders'!$A$2:$A1653,'Raw Orders'!A1653,'Raw Orders'!$C$2:$C1653,"Product",'Raw Orders'!$K$2:$K1653,"Fulfilled")=1),1,0)</f>
        <v>1</v>
      </c>
      <c r="E1656" s="31" t="n">
        <f aca="false">IF(AND('Raw Orders'!C1653="Product",'Raw Orders'!K1653="Fulfilled"),'Raw Orders'!E1653,0)</f>
        <v>1</v>
      </c>
      <c r="F1656" s="32" t="n">
        <f aca="false">IF('Raw Orders'!K1653="Refunded",'Raw Orders'!G1653,0)</f>
        <v>0</v>
      </c>
    </row>
    <row r="1657" customFormat="false" ht="15" hidden="false" customHeight="false" outlineLevel="0" collapsed="false">
      <c r="A1657" s="36" t="n">
        <f aca="false">IF('Raw Orders'!B1654="","",IF(MID('Raw Orders'!B1654,5,1)="-",DATE(VALUE(LEFT('Raw Orders'!B1654,4)),VALUE(MID('Raw Orders'!B1654,6,2)),VALUE(MID('Raw Orders'!B1654,9,2))),DATE(VALUE(MID('Raw Orders'!B1654,7,4)),VALUE(MID('Raw Orders'!B1654,4,2)),VALUE(LEFT('Raw Orders'!B1654,2)))))</f>
        <v>46236</v>
      </c>
      <c r="B1657" s="36" t="n">
        <f aca="false">IF(A1657="","",A1657-WEEKDAY(A1657,3))</f>
        <v>46230</v>
      </c>
      <c r="C1657" s="32" t="n">
        <f aca="false">IF(OR('Raw Orders'!C1654&lt;&gt;"Product",'Raw Orders'!K1654="Cancelled"),0,'Raw Orders'!G1654)</f>
        <v>75</v>
      </c>
      <c r="D1657" s="31" t="n">
        <f aca="false">IF(AND('Raw Orders'!C1654="Product",'Raw Orders'!K1654="Fulfilled",COUNTIFS('Raw Orders'!$A$2:$A1654,'Raw Orders'!A1654,'Raw Orders'!$C$2:$C1654,"Product",'Raw Orders'!$K$2:$K1654,"Fulfilled")=1),1,0)</f>
        <v>0</v>
      </c>
      <c r="E1657" s="31" t="n">
        <f aca="false">IF(AND('Raw Orders'!C1654="Product",'Raw Orders'!K1654="Fulfilled"),'Raw Orders'!E1654,0)</f>
        <v>1</v>
      </c>
      <c r="F1657" s="32" t="n">
        <f aca="false">IF('Raw Orders'!K1654="Refunded",'Raw Orders'!G1654,0)</f>
        <v>0</v>
      </c>
    </row>
    <row r="1658" customFormat="false" ht="15" hidden="false" customHeight="false" outlineLevel="0" collapsed="false">
      <c r="A1658" s="36" t="n">
        <f aca="false">IF('Raw Orders'!B1655="","",IF(MID('Raw Orders'!B1655,5,1)="-",DATE(VALUE(LEFT('Raw Orders'!B1655,4)),VALUE(MID('Raw Orders'!B1655,6,2)),VALUE(MID('Raw Orders'!B1655,9,2))),DATE(VALUE(MID('Raw Orders'!B1655,7,4)),VALUE(MID('Raw Orders'!B1655,4,2)),VALUE(LEFT('Raw Orders'!B1655,2)))))</f>
        <v>46236</v>
      </c>
      <c r="B1658" s="36" t="n">
        <f aca="false">IF(A1658="","",A1658-WEEKDAY(A1658,3))</f>
        <v>46230</v>
      </c>
      <c r="C1658" s="32" t="n">
        <f aca="false">IF(OR('Raw Orders'!C1655&lt;&gt;"Product",'Raw Orders'!K1655="Cancelled"),0,'Raw Orders'!G1655)</f>
        <v>52</v>
      </c>
      <c r="D1658" s="31" t="n">
        <f aca="false">IF(AND('Raw Orders'!C1655="Product",'Raw Orders'!K1655="Fulfilled",COUNTIFS('Raw Orders'!$A$2:$A1655,'Raw Orders'!A1655,'Raw Orders'!$C$2:$C1655,"Product",'Raw Orders'!$K$2:$K1655,"Fulfilled")=1),1,0)</f>
        <v>1</v>
      </c>
      <c r="E1658" s="31" t="n">
        <f aca="false">IF(AND('Raw Orders'!C1655="Product",'Raw Orders'!K1655="Fulfilled"),'Raw Orders'!E1655,0)</f>
        <v>2</v>
      </c>
      <c r="F1658" s="32" t="n">
        <f aca="false">IF('Raw Orders'!K1655="Refunded",'Raw Orders'!G1655,0)</f>
        <v>0</v>
      </c>
    </row>
    <row r="1659" customFormat="false" ht="15" hidden="false" customHeight="false" outlineLevel="0" collapsed="false">
      <c r="A1659" s="36" t="n">
        <f aca="false">IF('Raw Orders'!B1656="","",IF(MID('Raw Orders'!B1656,5,1)="-",DATE(VALUE(LEFT('Raw Orders'!B1656,4)),VALUE(MID('Raw Orders'!B1656,6,2)),VALUE(MID('Raw Orders'!B1656,9,2))),DATE(VALUE(MID('Raw Orders'!B1656,7,4)),VALUE(MID('Raw Orders'!B1656,4,2)),VALUE(LEFT('Raw Orders'!B1656,2)))))</f>
        <v>46236</v>
      </c>
      <c r="B1659" s="36" t="n">
        <f aca="false">IF(A1659="","",A1659-WEEKDAY(A1659,3))</f>
        <v>46230</v>
      </c>
      <c r="C1659" s="32" t="n">
        <f aca="false">IF(OR('Raw Orders'!C1656&lt;&gt;"Product",'Raw Orders'!K1656="Cancelled"),0,'Raw Orders'!G1656)</f>
        <v>89</v>
      </c>
      <c r="D1659" s="31" t="n">
        <f aca="false">IF(AND('Raw Orders'!C1656="Product",'Raw Orders'!K1656="Fulfilled",COUNTIFS('Raw Orders'!$A$2:$A1656,'Raw Orders'!A1656,'Raw Orders'!$C$2:$C1656,"Product",'Raw Orders'!$K$2:$K1656,"Fulfilled")=1),1,0)</f>
        <v>0</v>
      </c>
      <c r="E1659" s="31" t="n">
        <f aca="false">IF(AND('Raw Orders'!C1656="Product",'Raw Orders'!K1656="Fulfilled"),'Raw Orders'!E1656,0)</f>
        <v>1</v>
      </c>
      <c r="F1659" s="32" t="n">
        <f aca="false">IF('Raw Orders'!K1656="Refunded",'Raw Orders'!G1656,0)</f>
        <v>0</v>
      </c>
    </row>
    <row r="1660" customFormat="false" ht="15" hidden="false" customHeight="false" outlineLevel="0" collapsed="false">
      <c r="A1660" s="36" t="n">
        <f aca="false">IF('Raw Orders'!B1657="","",IF(MID('Raw Orders'!B1657,5,1)="-",DATE(VALUE(LEFT('Raw Orders'!B1657,4)),VALUE(MID('Raw Orders'!B1657,6,2)),VALUE(MID('Raw Orders'!B1657,9,2))),DATE(VALUE(MID('Raw Orders'!B1657,7,4)),VALUE(MID('Raw Orders'!B1657,4,2)),VALUE(LEFT('Raw Orders'!B1657,2)))))</f>
        <v>46236</v>
      </c>
      <c r="B1660" s="36" t="n">
        <f aca="false">IF(A1660="","",A1660-WEEKDAY(A1660,3))</f>
        <v>46230</v>
      </c>
      <c r="C1660" s="32" t="n">
        <f aca="false">IF(OR('Raw Orders'!C1657&lt;&gt;"Product",'Raw Orders'!K1657="Cancelled"),0,'Raw Orders'!G1657)</f>
        <v>0</v>
      </c>
      <c r="D1660" s="31" t="n">
        <f aca="false">IF(AND('Raw Orders'!C1657="Product",'Raw Orders'!K1657="Fulfilled",COUNTIFS('Raw Orders'!$A$2:$A1657,'Raw Orders'!A1657,'Raw Orders'!$C$2:$C1657,"Product",'Raw Orders'!$K$2:$K1657,"Fulfilled")=1),1,0)</f>
        <v>0</v>
      </c>
      <c r="E1660" s="31" t="n">
        <f aca="false">IF(AND('Raw Orders'!C1657="Product",'Raw Orders'!K1657="Fulfilled"),'Raw Orders'!E1657,0)</f>
        <v>0</v>
      </c>
      <c r="F1660" s="32" t="n">
        <f aca="false">IF('Raw Orders'!K1657="Refunded",'Raw Orders'!G1657,0)</f>
        <v>0</v>
      </c>
    </row>
    <row r="1661" customFormat="false" ht="15" hidden="false" customHeight="false" outlineLevel="0" collapsed="false">
      <c r="A1661" s="36" t="n">
        <f aca="false">IF('Raw Orders'!B1658="","",IF(MID('Raw Orders'!B1658,5,1)="-",DATE(VALUE(LEFT('Raw Orders'!B1658,4)),VALUE(MID('Raw Orders'!B1658,6,2)),VALUE(MID('Raw Orders'!B1658,9,2))),DATE(VALUE(MID('Raw Orders'!B1658,7,4)),VALUE(MID('Raw Orders'!B1658,4,2)),VALUE(LEFT('Raw Orders'!B1658,2)))))</f>
        <v>46237</v>
      </c>
      <c r="B1661" s="36" t="n">
        <f aca="false">IF(A1661="","",A1661-WEEKDAY(A1661,3))</f>
        <v>46237</v>
      </c>
      <c r="C1661" s="32" t="n">
        <f aca="false">IF(OR('Raw Orders'!C1658&lt;&gt;"Product",'Raw Orders'!K1658="Cancelled"),0,'Raw Orders'!G1658)</f>
        <v>69</v>
      </c>
      <c r="D1661" s="31" t="n">
        <f aca="false">IF(AND('Raw Orders'!C1658="Product",'Raw Orders'!K1658="Fulfilled",COUNTIFS('Raw Orders'!$A$2:$A1658,'Raw Orders'!A1658,'Raw Orders'!$C$2:$C1658,"Product",'Raw Orders'!$K$2:$K1658,"Fulfilled")=1),1,0)</f>
        <v>1</v>
      </c>
      <c r="E1661" s="31" t="n">
        <f aca="false">IF(AND('Raw Orders'!C1658="Product",'Raw Orders'!K1658="Fulfilled"),'Raw Orders'!E1658,0)</f>
        <v>1</v>
      </c>
      <c r="F1661" s="32" t="n">
        <f aca="false">IF('Raw Orders'!K1658="Refunded",'Raw Orders'!G1658,0)</f>
        <v>0</v>
      </c>
    </row>
    <row r="1662" customFormat="false" ht="15" hidden="false" customHeight="false" outlineLevel="0" collapsed="false">
      <c r="A1662" s="36" t="n">
        <f aca="false">IF('Raw Orders'!B1659="","",IF(MID('Raw Orders'!B1659,5,1)="-",DATE(VALUE(LEFT('Raw Orders'!B1659,4)),VALUE(MID('Raw Orders'!B1659,6,2)),VALUE(MID('Raw Orders'!B1659,9,2))),DATE(VALUE(MID('Raw Orders'!B1659,7,4)),VALUE(MID('Raw Orders'!B1659,4,2)),VALUE(LEFT('Raw Orders'!B1659,2)))))</f>
        <v>46237</v>
      </c>
      <c r="B1662" s="36" t="n">
        <f aca="false">IF(A1662="","",A1662-WEEKDAY(A1662,3))</f>
        <v>46237</v>
      </c>
      <c r="C1662" s="32" t="n">
        <f aca="false">IF(OR('Raw Orders'!C1659&lt;&gt;"Product",'Raw Orders'!K1659="Cancelled"),0,'Raw Orders'!G1659)</f>
        <v>267</v>
      </c>
      <c r="D1662" s="31" t="n">
        <f aca="false">IF(AND('Raw Orders'!C1659="Product",'Raw Orders'!K1659="Fulfilled",COUNTIFS('Raw Orders'!$A$2:$A1659,'Raw Orders'!A1659,'Raw Orders'!$C$2:$C1659,"Product",'Raw Orders'!$K$2:$K1659,"Fulfilled")=1),1,0)</f>
        <v>0</v>
      </c>
      <c r="E1662" s="31" t="n">
        <f aca="false">IF(AND('Raw Orders'!C1659="Product",'Raw Orders'!K1659="Fulfilled"),'Raw Orders'!E1659,0)</f>
        <v>3</v>
      </c>
      <c r="F1662" s="32" t="n">
        <f aca="false">IF('Raw Orders'!K1659="Refunded",'Raw Orders'!G1659,0)</f>
        <v>0</v>
      </c>
    </row>
    <row r="1663" customFormat="false" ht="15" hidden="false" customHeight="false" outlineLevel="0" collapsed="false">
      <c r="A1663" s="36" t="n">
        <f aca="false">IF('Raw Orders'!B1660="","",IF(MID('Raw Orders'!B1660,5,1)="-",DATE(VALUE(LEFT('Raw Orders'!B1660,4)),VALUE(MID('Raw Orders'!B1660,6,2)),VALUE(MID('Raw Orders'!B1660,9,2))),DATE(VALUE(MID('Raw Orders'!B1660,7,4)),VALUE(MID('Raw Orders'!B1660,4,2)),VALUE(LEFT('Raw Orders'!B1660,2)))))</f>
        <v>46237</v>
      </c>
      <c r="B1663" s="36" t="n">
        <f aca="false">IF(A1663="","",A1663-WEEKDAY(A1663,3))</f>
        <v>46237</v>
      </c>
      <c r="C1663" s="32" t="n">
        <f aca="false">IF(OR('Raw Orders'!C1660&lt;&gt;"Product",'Raw Orders'!K1660="Cancelled"),0,'Raw Orders'!G1660)</f>
        <v>0</v>
      </c>
      <c r="D1663" s="31" t="n">
        <f aca="false">IF(AND('Raw Orders'!C1660="Product",'Raw Orders'!K1660="Fulfilled",COUNTIFS('Raw Orders'!$A$2:$A1660,'Raw Orders'!A1660,'Raw Orders'!$C$2:$C1660,"Product",'Raw Orders'!$K$2:$K1660,"Fulfilled")=1),1,0)</f>
        <v>0</v>
      </c>
      <c r="E1663" s="31" t="n">
        <f aca="false">IF(AND('Raw Orders'!C1660="Product",'Raw Orders'!K1660="Fulfilled"),'Raw Orders'!E1660,0)</f>
        <v>0</v>
      </c>
      <c r="F1663" s="32" t="n">
        <f aca="false">IF('Raw Orders'!K1660="Refunded",'Raw Orders'!G1660,0)</f>
        <v>0</v>
      </c>
    </row>
    <row r="1664" customFormat="false" ht="15" hidden="false" customHeight="false" outlineLevel="0" collapsed="false">
      <c r="A1664" s="36" t="n">
        <f aca="false">IF('Raw Orders'!B1661="","",IF(MID('Raw Orders'!B1661,5,1)="-",DATE(VALUE(LEFT('Raw Orders'!B1661,4)),VALUE(MID('Raw Orders'!B1661,6,2)),VALUE(MID('Raw Orders'!B1661,9,2))),DATE(VALUE(MID('Raw Orders'!B1661,7,4)),VALUE(MID('Raw Orders'!B1661,4,2)),VALUE(LEFT('Raw Orders'!B1661,2)))))</f>
        <v>46237</v>
      </c>
      <c r="B1664" s="36" t="n">
        <f aca="false">IF(A1664="","",A1664-WEEKDAY(A1664,3))</f>
        <v>46237</v>
      </c>
      <c r="C1664" s="32" t="n">
        <f aca="false">IF(OR('Raw Orders'!C1661&lt;&gt;"Product",'Raw Orders'!K1661="Cancelled"),0,'Raw Orders'!G1661)</f>
        <v>0</v>
      </c>
      <c r="D1664" s="31" t="n">
        <f aca="false">IF(AND('Raw Orders'!C1661="Product",'Raw Orders'!K1661="Fulfilled",COUNTIFS('Raw Orders'!$A$2:$A1661,'Raw Orders'!A1661,'Raw Orders'!$C$2:$C1661,"Product",'Raw Orders'!$K$2:$K1661,"Fulfilled")=1),1,0)</f>
        <v>0</v>
      </c>
      <c r="E1664" s="31" t="n">
        <f aca="false">IF(AND('Raw Orders'!C1661="Product",'Raw Orders'!K1661="Fulfilled"),'Raw Orders'!E1661,0)</f>
        <v>0</v>
      </c>
      <c r="F1664" s="32" t="n">
        <f aca="false">IF('Raw Orders'!K1661="Refunded",'Raw Orders'!G1661,0)</f>
        <v>0</v>
      </c>
    </row>
    <row r="1665" customFormat="false" ht="15" hidden="false" customHeight="false" outlineLevel="0" collapsed="false">
      <c r="A1665" s="36" t="n">
        <f aca="false">IF('Raw Orders'!B1662="","",IF(MID('Raw Orders'!B1662,5,1)="-",DATE(VALUE(LEFT('Raw Orders'!B1662,4)),VALUE(MID('Raw Orders'!B1662,6,2)),VALUE(MID('Raw Orders'!B1662,9,2))),DATE(VALUE(MID('Raw Orders'!B1662,7,4)),VALUE(MID('Raw Orders'!B1662,4,2)),VALUE(LEFT('Raw Orders'!B1662,2)))))</f>
        <v>46237</v>
      </c>
      <c r="B1665" s="36" t="n">
        <f aca="false">IF(A1665="","",A1665-WEEKDAY(A1665,3))</f>
        <v>46237</v>
      </c>
      <c r="C1665" s="32" t="n">
        <f aca="false">IF(OR('Raw Orders'!C1662&lt;&gt;"Product",'Raw Orders'!K1662="Cancelled"),0,'Raw Orders'!G1662)</f>
        <v>140</v>
      </c>
      <c r="D1665" s="31" t="n">
        <f aca="false">IF(AND('Raw Orders'!C1662="Product",'Raw Orders'!K1662="Fulfilled",COUNTIFS('Raw Orders'!$A$2:$A1662,'Raw Orders'!A1662,'Raw Orders'!$C$2:$C1662,"Product",'Raw Orders'!$K$2:$K1662,"Fulfilled")=1),1,0)</f>
        <v>1</v>
      </c>
      <c r="E1665" s="31" t="n">
        <f aca="false">IF(AND('Raw Orders'!C1662="Product",'Raw Orders'!K1662="Fulfilled"),'Raw Orders'!E1662,0)</f>
        <v>4</v>
      </c>
      <c r="F1665" s="32" t="n">
        <f aca="false">IF('Raw Orders'!K1662="Refunded",'Raw Orders'!G1662,0)</f>
        <v>0</v>
      </c>
    </row>
    <row r="1666" customFormat="false" ht="15" hidden="false" customHeight="false" outlineLevel="0" collapsed="false">
      <c r="A1666" s="36" t="n">
        <f aca="false">IF('Raw Orders'!B1663="","",IF(MID('Raw Orders'!B1663,5,1)="-",DATE(VALUE(LEFT('Raw Orders'!B1663,4)),VALUE(MID('Raw Orders'!B1663,6,2)),VALUE(MID('Raw Orders'!B1663,9,2))),DATE(VALUE(MID('Raw Orders'!B1663,7,4)),VALUE(MID('Raw Orders'!B1663,4,2)),VALUE(LEFT('Raw Orders'!B1663,2)))))</f>
        <v>46237</v>
      </c>
      <c r="B1666" s="36" t="n">
        <f aca="false">IF(A1666="","",A1666-WEEKDAY(A1666,3))</f>
        <v>46237</v>
      </c>
      <c r="C1666" s="32" t="n">
        <f aca="false">IF(OR('Raw Orders'!C1663&lt;&gt;"Product",'Raw Orders'!K1663="Cancelled"),0,'Raw Orders'!G1663)</f>
        <v>178</v>
      </c>
      <c r="D1666" s="31" t="n">
        <f aca="false">IF(AND('Raw Orders'!C1663="Product",'Raw Orders'!K1663="Fulfilled",COUNTIFS('Raw Orders'!$A$2:$A1663,'Raw Orders'!A1663,'Raw Orders'!$C$2:$C1663,"Product",'Raw Orders'!$K$2:$K1663,"Fulfilled")=1),1,0)</f>
        <v>0</v>
      </c>
      <c r="E1666" s="31" t="n">
        <f aca="false">IF(AND('Raw Orders'!C1663="Product",'Raw Orders'!K1663="Fulfilled"),'Raw Orders'!E1663,0)</f>
        <v>2</v>
      </c>
      <c r="F1666" s="32" t="n">
        <f aca="false">IF('Raw Orders'!K1663="Refunded",'Raw Orders'!G1663,0)</f>
        <v>0</v>
      </c>
    </row>
    <row r="1667" customFormat="false" ht="15" hidden="false" customHeight="false" outlineLevel="0" collapsed="false">
      <c r="A1667" s="36" t="n">
        <f aca="false">IF('Raw Orders'!B1664="","",IF(MID('Raw Orders'!B1664,5,1)="-",DATE(VALUE(LEFT('Raw Orders'!B1664,4)),VALUE(MID('Raw Orders'!B1664,6,2)),VALUE(MID('Raw Orders'!B1664,9,2))),DATE(VALUE(MID('Raw Orders'!B1664,7,4)),VALUE(MID('Raw Orders'!B1664,4,2)),VALUE(LEFT('Raw Orders'!B1664,2)))))</f>
        <v>46237</v>
      </c>
      <c r="B1667" s="36" t="n">
        <f aca="false">IF(A1667="","",A1667-WEEKDAY(A1667,3))</f>
        <v>46237</v>
      </c>
      <c r="C1667" s="32" t="n">
        <f aca="false">IF(OR('Raw Orders'!C1664&lt;&gt;"Product",'Raw Orders'!K1664="Cancelled"),0,'Raw Orders'!G1664)</f>
        <v>0</v>
      </c>
      <c r="D1667" s="31" t="n">
        <f aca="false">IF(AND('Raw Orders'!C1664="Product",'Raw Orders'!K1664="Fulfilled",COUNTIFS('Raw Orders'!$A$2:$A1664,'Raw Orders'!A1664,'Raw Orders'!$C$2:$C1664,"Product",'Raw Orders'!$K$2:$K1664,"Fulfilled")=1),1,0)</f>
        <v>0</v>
      </c>
      <c r="E1667" s="31" t="n">
        <f aca="false">IF(AND('Raw Orders'!C1664="Product",'Raw Orders'!K1664="Fulfilled"),'Raw Orders'!E1664,0)</f>
        <v>0</v>
      </c>
      <c r="F1667" s="32" t="n">
        <f aca="false">IF('Raw Orders'!K1664="Refunded",'Raw Orders'!G1664,0)</f>
        <v>0</v>
      </c>
    </row>
    <row r="1668" customFormat="false" ht="15" hidden="false" customHeight="false" outlineLevel="0" collapsed="false">
      <c r="A1668" s="36" t="n">
        <f aca="false">IF('Raw Orders'!B1665="","",IF(MID('Raw Orders'!B1665,5,1)="-",DATE(VALUE(LEFT('Raw Orders'!B1665,4)),VALUE(MID('Raw Orders'!B1665,6,2)),VALUE(MID('Raw Orders'!B1665,9,2))),DATE(VALUE(MID('Raw Orders'!B1665,7,4)),VALUE(MID('Raw Orders'!B1665,4,2)),VALUE(LEFT('Raw Orders'!B1665,2)))))</f>
        <v>46237</v>
      </c>
      <c r="B1668" s="36" t="n">
        <f aca="false">IF(A1668="","",A1668-WEEKDAY(A1668,3))</f>
        <v>46237</v>
      </c>
      <c r="C1668" s="32" t="n">
        <f aca="false">IF(OR('Raw Orders'!C1665&lt;&gt;"Product",'Raw Orders'!K1665="Cancelled"),0,'Raw Orders'!G1665)</f>
        <v>70</v>
      </c>
      <c r="D1668" s="31" t="n">
        <f aca="false">IF(AND('Raw Orders'!C1665="Product",'Raw Orders'!K1665="Fulfilled",COUNTIFS('Raw Orders'!$A$2:$A1665,'Raw Orders'!A1665,'Raw Orders'!$C$2:$C1665,"Product",'Raw Orders'!$K$2:$K1665,"Fulfilled")=1),1,0)</f>
        <v>1</v>
      </c>
      <c r="E1668" s="31" t="n">
        <f aca="false">IF(AND('Raw Orders'!C1665="Product",'Raw Orders'!K1665="Fulfilled"),'Raw Orders'!E1665,0)</f>
        <v>2</v>
      </c>
      <c r="F1668" s="32" t="n">
        <f aca="false">IF('Raw Orders'!K1665="Refunded",'Raw Orders'!G1665,0)</f>
        <v>0</v>
      </c>
    </row>
    <row r="1669" customFormat="false" ht="15" hidden="false" customHeight="false" outlineLevel="0" collapsed="false">
      <c r="A1669" s="36" t="n">
        <f aca="false">IF('Raw Orders'!B1666="","",IF(MID('Raw Orders'!B1666,5,1)="-",DATE(VALUE(LEFT('Raw Orders'!B1666,4)),VALUE(MID('Raw Orders'!B1666,6,2)),VALUE(MID('Raw Orders'!B1666,9,2))),DATE(VALUE(MID('Raw Orders'!B1666,7,4)),VALUE(MID('Raw Orders'!B1666,4,2)),VALUE(LEFT('Raw Orders'!B1666,2)))))</f>
        <v>46237</v>
      </c>
      <c r="B1669" s="36" t="n">
        <f aca="false">IF(A1669="","",A1669-WEEKDAY(A1669,3))</f>
        <v>46237</v>
      </c>
      <c r="C1669" s="32" t="n">
        <f aca="false">IF(OR('Raw Orders'!C1666&lt;&gt;"Product",'Raw Orders'!K1666="Cancelled"),0,'Raw Orders'!G1666)</f>
        <v>89</v>
      </c>
      <c r="D1669" s="31" t="n">
        <f aca="false">IF(AND('Raw Orders'!C1666="Product",'Raw Orders'!K1666="Fulfilled",COUNTIFS('Raw Orders'!$A$2:$A1666,'Raw Orders'!A1666,'Raw Orders'!$C$2:$C1666,"Product",'Raw Orders'!$K$2:$K1666,"Fulfilled")=1),1,0)</f>
        <v>0</v>
      </c>
      <c r="E1669" s="31" t="n">
        <f aca="false">IF(AND('Raw Orders'!C1666="Product",'Raw Orders'!K1666="Fulfilled"),'Raw Orders'!E1666,0)</f>
        <v>1</v>
      </c>
      <c r="F1669" s="32" t="n">
        <f aca="false">IF('Raw Orders'!K1666="Refunded",'Raw Orders'!G1666,0)</f>
        <v>0</v>
      </c>
    </row>
    <row r="1670" customFormat="false" ht="15" hidden="false" customHeight="false" outlineLevel="0" collapsed="false">
      <c r="A1670" s="36" t="n">
        <f aca="false">IF('Raw Orders'!B1667="","",IF(MID('Raw Orders'!B1667,5,1)="-",DATE(VALUE(LEFT('Raw Orders'!B1667,4)),VALUE(MID('Raw Orders'!B1667,6,2)),VALUE(MID('Raw Orders'!B1667,9,2))),DATE(VALUE(MID('Raw Orders'!B1667,7,4)),VALUE(MID('Raw Orders'!B1667,4,2)),VALUE(LEFT('Raw Orders'!B1667,2)))))</f>
        <v>46237</v>
      </c>
      <c r="B1670" s="36" t="n">
        <f aca="false">IF(A1670="","",A1670-WEEKDAY(A1670,3))</f>
        <v>46237</v>
      </c>
      <c r="C1670" s="32" t="n">
        <f aca="false">IF(OR('Raw Orders'!C1667&lt;&gt;"Product",'Raw Orders'!K1667="Cancelled"),0,'Raw Orders'!G1667)</f>
        <v>22</v>
      </c>
      <c r="D1670" s="31" t="n">
        <f aca="false">IF(AND('Raw Orders'!C1667="Product",'Raw Orders'!K1667="Fulfilled",COUNTIFS('Raw Orders'!$A$2:$A1667,'Raw Orders'!A1667,'Raw Orders'!$C$2:$C1667,"Product",'Raw Orders'!$K$2:$K1667,"Fulfilled")=1),1,0)</f>
        <v>0</v>
      </c>
      <c r="E1670" s="31" t="n">
        <f aca="false">IF(AND('Raw Orders'!C1667="Product",'Raw Orders'!K1667="Fulfilled"),'Raw Orders'!E1667,0)</f>
        <v>1</v>
      </c>
      <c r="F1670" s="32" t="n">
        <f aca="false">IF('Raw Orders'!K1667="Refunded",'Raw Orders'!G1667,0)</f>
        <v>0</v>
      </c>
    </row>
    <row r="1671" customFormat="false" ht="15" hidden="false" customHeight="false" outlineLevel="0" collapsed="false">
      <c r="A1671" s="36" t="n">
        <f aca="false">IF('Raw Orders'!B1668="","",IF(MID('Raw Orders'!B1668,5,1)="-",DATE(VALUE(LEFT('Raw Orders'!B1668,4)),VALUE(MID('Raw Orders'!B1668,6,2)),VALUE(MID('Raw Orders'!B1668,9,2))),DATE(VALUE(MID('Raw Orders'!B1668,7,4)),VALUE(MID('Raw Orders'!B1668,4,2)),VALUE(LEFT('Raw Orders'!B1668,2)))))</f>
        <v>46237</v>
      </c>
      <c r="B1671" s="36" t="n">
        <f aca="false">IF(A1671="","",A1671-WEEKDAY(A1671,3))</f>
        <v>46237</v>
      </c>
      <c r="C1671" s="32" t="n">
        <f aca="false">IF(OR('Raw Orders'!C1668&lt;&gt;"Product",'Raw Orders'!K1668="Cancelled"),0,'Raw Orders'!G1668)</f>
        <v>0</v>
      </c>
      <c r="D1671" s="31" t="n">
        <f aca="false">IF(AND('Raw Orders'!C1668="Product",'Raw Orders'!K1668="Fulfilled",COUNTIFS('Raw Orders'!$A$2:$A1668,'Raw Orders'!A1668,'Raw Orders'!$C$2:$C1668,"Product",'Raw Orders'!$K$2:$K1668,"Fulfilled")=1),1,0)</f>
        <v>0</v>
      </c>
      <c r="E1671" s="31" t="n">
        <f aca="false">IF(AND('Raw Orders'!C1668="Product",'Raw Orders'!K1668="Fulfilled"),'Raw Orders'!E1668,0)</f>
        <v>0</v>
      </c>
      <c r="F1671" s="32" t="n">
        <f aca="false">IF('Raw Orders'!K1668="Refunded",'Raw Orders'!G1668,0)</f>
        <v>0</v>
      </c>
    </row>
    <row r="1672" customFormat="false" ht="15" hidden="false" customHeight="false" outlineLevel="0" collapsed="false">
      <c r="A1672" s="36" t="n">
        <f aca="false">IF('Raw Orders'!B1669="","",IF(MID('Raw Orders'!B1669,5,1)="-",DATE(VALUE(LEFT('Raw Orders'!B1669,4)),VALUE(MID('Raw Orders'!B1669,6,2)),VALUE(MID('Raw Orders'!B1669,9,2))),DATE(VALUE(MID('Raw Orders'!B1669,7,4)),VALUE(MID('Raw Orders'!B1669,4,2)),VALUE(LEFT('Raw Orders'!B1669,2)))))</f>
        <v>46237</v>
      </c>
      <c r="B1672" s="36" t="n">
        <f aca="false">IF(A1672="","",A1672-WEEKDAY(A1672,3))</f>
        <v>46237</v>
      </c>
      <c r="C1672" s="32" t="n">
        <f aca="false">IF(OR('Raw Orders'!C1669&lt;&gt;"Product",'Raw Orders'!K1669="Cancelled"),0,'Raw Orders'!G1669)</f>
        <v>44</v>
      </c>
      <c r="D1672" s="31" t="n">
        <f aca="false">IF(AND('Raw Orders'!C1669="Product",'Raw Orders'!K1669="Fulfilled",COUNTIFS('Raw Orders'!$A$2:$A1669,'Raw Orders'!A1669,'Raw Orders'!$C$2:$C1669,"Product",'Raw Orders'!$K$2:$K1669,"Fulfilled")=1),1,0)</f>
        <v>1</v>
      </c>
      <c r="E1672" s="31" t="n">
        <f aca="false">IF(AND('Raw Orders'!C1669="Product",'Raw Orders'!K1669="Fulfilled"),'Raw Orders'!E1669,0)</f>
        <v>2</v>
      </c>
      <c r="F1672" s="32" t="n">
        <f aca="false">IF('Raw Orders'!K1669="Refunded",'Raw Orders'!G1669,0)</f>
        <v>0</v>
      </c>
    </row>
    <row r="1673" customFormat="false" ht="15" hidden="false" customHeight="false" outlineLevel="0" collapsed="false">
      <c r="A1673" s="36" t="n">
        <f aca="false">IF('Raw Orders'!B1670="","",IF(MID('Raw Orders'!B1670,5,1)="-",DATE(VALUE(LEFT('Raw Orders'!B1670,4)),VALUE(MID('Raw Orders'!B1670,6,2)),VALUE(MID('Raw Orders'!B1670,9,2))),DATE(VALUE(MID('Raw Orders'!B1670,7,4)),VALUE(MID('Raw Orders'!B1670,4,2)),VALUE(LEFT('Raw Orders'!B1670,2)))))</f>
        <v>46237</v>
      </c>
      <c r="B1673" s="36" t="n">
        <f aca="false">IF(A1673="","",A1673-WEEKDAY(A1673,3))</f>
        <v>46237</v>
      </c>
      <c r="C1673" s="32" t="n">
        <f aca="false">IF(OR('Raw Orders'!C1670&lt;&gt;"Product",'Raw Orders'!K1670="Cancelled"),0,'Raw Orders'!G1670)</f>
        <v>39</v>
      </c>
      <c r="D1673" s="31" t="n">
        <f aca="false">IF(AND('Raw Orders'!C1670="Product",'Raw Orders'!K1670="Fulfilled",COUNTIFS('Raw Orders'!$A$2:$A1670,'Raw Orders'!A1670,'Raw Orders'!$C$2:$C1670,"Product",'Raw Orders'!$K$2:$K1670,"Fulfilled")=1),1,0)</f>
        <v>0</v>
      </c>
      <c r="E1673" s="31" t="n">
        <f aca="false">IF(AND('Raw Orders'!C1670="Product",'Raw Orders'!K1670="Fulfilled"),'Raw Orders'!E1670,0)</f>
        <v>1</v>
      </c>
      <c r="F1673" s="32" t="n">
        <f aca="false">IF('Raw Orders'!K1670="Refunded",'Raw Orders'!G1670,0)</f>
        <v>0</v>
      </c>
    </row>
    <row r="1674" customFormat="false" ht="15" hidden="false" customHeight="false" outlineLevel="0" collapsed="false">
      <c r="A1674" s="36" t="n">
        <f aca="false">IF('Raw Orders'!B1671="","",IF(MID('Raw Orders'!B1671,5,1)="-",DATE(VALUE(LEFT('Raw Orders'!B1671,4)),VALUE(MID('Raw Orders'!B1671,6,2)),VALUE(MID('Raw Orders'!B1671,9,2))),DATE(VALUE(MID('Raw Orders'!B1671,7,4)),VALUE(MID('Raw Orders'!B1671,4,2)),VALUE(LEFT('Raw Orders'!B1671,2)))))</f>
        <v>46237</v>
      </c>
      <c r="B1674" s="36" t="n">
        <f aca="false">IF(A1674="","",A1674-WEEKDAY(A1674,3))</f>
        <v>46237</v>
      </c>
      <c r="C1674" s="32" t="n">
        <f aca="false">IF(OR('Raw Orders'!C1671&lt;&gt;"Product",'Raw Orders'!K1671="Cancelled"),0,'Raw Orders'!G1671)</f>
        <v>-45</v>
      </c>
      <c r="D1674" s="31" t="n">
        <f aca="false">IF(AND('Raw Orders'!C1671="Product",'Raw Orders'!K1671="Fulfilled",COUNTIFS('Raw Orders'!$A$2:$A1671,'Raw Orders'!A1671,'Raw Orders'!$C$2:$C1671,"Product",'Raw Orders'!$K$2:$K1671,"Fulfilled")=1),1,0)</f>
        <v>0</v>
      </c>
      <c r="E1674" s="31" t="n">
        <f aca="false">IF(AND('Raw Orders'!C1671="Product",'Raw Orders'!K1671="Fulfilled"),'Raw Orders'!E1671,0)</f>
        <v>0</v>
      </c>
      <c r="F1674" s="32" t="n">
        <f aca="false">IF('Raw Orders'!K1671="Refunded",'Raw Orders'!G1671,0)</f>
        <v>-45</v>
      </c>
    </row>
    <row r="1675" customFormat="false" ht="15" hidden="false" customHeight="false" outlineLevel="0" collapsed="false">
      <c r="A1675" s="36" t="n">
        <f aca="false">IF('Raw Orders'!B1672="","",IF(MID('Raw Orders'!B1672,5,1)="-",DATE(VALUE(LEFT('Raw Orders'!B1672,4)),VALUE(MID('Raw Orders'!B1672,6,2)),VALUE(MID('Raw Orders'!B1672,9,2))),DATE(VALUE(MID('Raw Orders'!B1672,7,4)),VALUE(MID('Raw Orders'!B1672,4,2)),VALUE(LEFT('Raw Orders'!B1672,2)))))</f>
        <v>46237</v>
      </c>
      <c r="B1675" s="36" t="n">
        <f aca="false">IF(A1675="","",A1675-WEEKDAY(A1675,3))</f>
        <v>46237</v>
      </c>
      <c r="C1675" s="32" t="n">
        <f aca="false">IF(OR('Raw Orders'!C1672&lt;&gt;"Product",'Raw Orders'!K1672="Cancelled"),0,'Raw Orders'!G1672)</f>
        <v>29</v>
      </c>
      <c r="D1675" s="31" t="n">
        <f aca="false">IF(AND('Raw Orders'!C1672="Product",'Raw Orders'!K1672="Fulfilled",COUNTIFS('Raw Orders'!$A$2:$A1672,'Raw Orders'!A1672,'Raw Orders'!$C$2:$C1672,"Product",'Raw Orders'!$K$2:$K1672,"Fulfilled")=1),1,0)</f>
        <v>1</v>
      </c>
      <c r="E1675" s="31" t="n">
        <f aca="false">IF(AND('Raw Orders'!C1672="Product",'Raw Orders'!K1672="Fulfilled"),'Raw Orders'!E1672,0)</f>
        <v>1</v>
      </c>
      <c r="F1675" s="32" t="n">
        <f aca="false">IF('Raw Orders'!K1672="Refunded",'Raw Orders'!G1672,0)</f>
        <v>0</v>
      </c>
    </row>
    <row r="1676" customFormat="false" ht="15" hidden="false" customHeight="false" outlineLevel="0" collapsed="false">
      <c r="A1676" s="36" t="n">
        <f aca="false">IF('Raw Orders'!B1673="","",IF(MID('Raw Orders'!B1673,5,1)="-",DATE(VALUE(LEFT('Raw Orders'!B1673,4)),VALUE(MID('Raw Orders'!B1673,6,2)),VALUE(MID('Raw Orders'!B1673,9,2))),DATE(VALUE(MID('Raw Orders'!B1673,7,4)),VALUE(MID('Raw Orders'!B1673,4,2)),VALUE(LEFT('Raw Orders'!B1673,2)))))</f>
        <v>46237</v>
      </c>
      <c r="B1676" s="36" t="n">
        <f aca="false">IF(A1676="","",A1676-WEEKDAY(A1676,3))</f>
        <v>46237</v>
      </c>
      <c r="C1676" s="32" t="n">
        <f aca="false">IF(OR('Raw Orders'!C1673&lt;&gt;"Product",'Raw Orders'!K1673="Cancelled"),0,'Raw Orders'!G1673)</f>
        <v>117</v>
      </c>
      <c r="D1676" s="31" t="n">
        <f aca="false">IF(AND('Raw Orders'!C1673="Product",'Raw Orders'!K1673="Fulfilled",COUNTIFS('Raw Orders'!$A$2:$A1673,'Raw Orders'!A1673,'Raw Orders'!$C$2:$C1673,"Product",'Raw Orders'!$K$2:$K1673,"Fulfilled")=1),1,0)</f>
        <v>0</v>
      </c>
      <c r="E1676" s="31" t="n">
        <f aca="false">IF(AND('Raw Orders'!C1673="Product",'Raw Orders'!K1673="Fulfilled"),'Raw Orders'!E1673,0)</f>
        <v>3</v>
      </c>
      <c r="F1676" s="32" t="n">
        <f aca="false">IF('Raw Orders'!K1673="Refunded",'Raw Orders'!G1673,0)</f>
        <v>0</v>
      </c>
    </row>
    <row r="1677" customFormat="false" ht="15" hidden="false" customHeight="false" outlineLevel="0" collapsed="false">
      <c r="A1677" s="36" t="n">
        <f aca="false">IF('Raw Orders'!B1674="","",IF(MID('Raw Orders'!B1674,5,1)="-",DATE(VALUE(LEFT('Raw Orders'!B1674,4)),VALUE(MID('Raw Orders'!B1674,6,2)),VALUE(MID('Raw Orders'!B1674,9,2))),DATE(VALUE(MID('Raw Orders'!B1674,7,4)),VALUE(MID('Raw Orders'!B1674,4,2)),VALUE(LEFT('Raw Orders'!B1674,2)))))</f>
        <v>46237</v>
      </c>
      <c r="B1677" s="36" t="n">
        <f aca="false">IF(A1677="","",A1677-WEEKDAY(A1677,3))</f>
        <v>46237</v>
      </c>
      <c r="C1677" s="32" t="n">
        <f aca="false">IF(OR('Raw Orders'!C1674&lt;&gt;"Product",'Raw Orders'!K1674="Cancelled"),0,'Raw Orders'!G1674)</f>
        <v>75</v>
      </c>
      <c r="D1677" s="31" t="n">
        <f aca="false">IF(AND('Raw Orders'!C1674="Product",'Raw Orders'!K1674="Fulfilled",COUNTIFS('Raw Orders'!$A$2:$A1674,'Raw Orders'!A1674,'Raw Orders'!$C$2:$C1674,"Product",'Raw Orders'!$K$2:$K1674,"Fulfilled")=1),1,0)</f>
        <v>1</v>
      </c>
      <c r="E1677" s="31" t="n">
        <f aca="false">IF(AND('Raw Orders'!C1674="Product",'Raw Orders'!K1674="Fulfilled"),'Raw Orders'!E1674,0)</f>
        <v>1</v>
      </c>
      <c r="F1677" s="32" t="n">
        <f aca="false">IF('Raw Orders'!K1674="Refunded",'Raw Orders'!G1674,0)</f>
        <v>0</v>
      </c>
    </row>
    <row r="1678" customFormat="false" ht="15" hidden="false" customHeight="false" outlineLevel="0" collapsed="false">
      <c r="A1678" s="36" t="n">
        <f aca="false">IF('Raw Orders'!B1675="","",IF(MID('Raw Orders'!B1675,5,1)="-",DATE(VALUE(LEFT('Raw Orders'!B1675,4)),VALUE(MID('Raw Orders'!B1675,6,2)),VALUE(MID('Raw Orders'!B1675,9,2))),DATE(VALUE(MID('Raw Orders'!B1675,7,4)),VALUE(MID('Raw Orders'!B1675,4,2)),VALUE(LEFT('Raw Orders'!B1675,2)))))</f>
        <v>46237</v>
      </c>
      <c r="B1678" s="36" t="n">
        <f aca="false">IF(A1678="","",A1678-WEEKDAY(A1678,3))</f>
        <v>46237</v>
      </c>
      <c r="C1678" s="32" t="n">
        <f aca="false">IF(OR('Raw Orders'!C1675&lt;&gt;"Product",'Raw Orders'!K1675="Cancelled"),0,'Raw Orders'!G1675)</f>
        <v>45</v>
      </c>
      <c r="D1678" s="31" t="n">
        <f aca="false">IF(AND('Raw Orders'!C1675="Product",'Raw Orders'!K1675="Fulfilled",COUNTIFS('Raw Orders'!$A$2:$A1675,'Raw Orders'!A1675,'Raw Orders'!$C$2:$C1675,"Product",'Raw Orders'!$K$2:$K1675,"Fulfilled")=1),1,0)</f>
        <v>0</v>
      </c>
      <c r="E1678" s="31" t="n">
        <f aca="false">IF(AND('Raw Orders'!C1675="Product",'Raw Orders'!K1675="Fulfilled"),'Raw Orders'!E1675,0)</f>
        <v>1</v>
      </c>
      <c r="F1678" s="32" t="n">
        <f aca="false">IF('Raw Orders'!K1675="Refunded",'Raw Orders'!G1675,0)</f>
        <v>0</v>
      </c>
    </row>
    <row r="1679" customFormat="false" ht="15" hidden="false" customHeight="false" outlineLevel="0" collapsed="false">
      <c r="A1679" s="36" t="n">
        <f aca="false">IF('Raw Orders'!B1676="","",IF(MID('Raw Orders'!B1676,5,1)="-",DATE(VALUE(LEFT('Raw Orders'!B1676,4)),VALUE(MID('Raw Orders'!B1676,6,2)),VALUE(MID('Raw Orders'!B1676,9,2))),DATE(VALUE(MID('Raw Orders'!B1676,7,4)),VALUE(MID('Raw Orders'!B1676,4,2)),VALUE(LEFT('Raw Orders'!B1676,2)))))</f>
        <v>46237</v>
      </c>
      <c r="B1679" s="36" t="n">
        <f aca="false">IF(A1679="","",A1679-WEEKDAY(A1679,3))</f>
        <v>46237</v>
      </c>
      <c r="C1679" s="32" t="n">
        <f aca="false">IF(OR('Raw Orders'!C1676&lt;&gt;"Product",'Raw Orders'!K1676="Cancelled"),0,'Raw Orders'!G1676)</f>
        <v>0</v>
      </c>
      <c r="D1679" s="31" t="n">
        <f aca="false">IF(AND('Raw Orders'!C1676="Product",'Raw Orders'!K1676="Fulfilled",COUNTIFS('Raw Orders'!$A$2:$A1676,'Raw Orders'!A1676,'Raw Orders'!$C$2:$C1676,"Product",'Raw Orders'!$K$2:$K1676,"Fulfilled")=1),1,0)</f>
        <v>0</v>
      </c>
      <c r="E1679" s="31" t="n">
        <f aca="false">IF(AND('Raw Orders'!C1676="Product",'Raw Orders'!K1676="Fulfilled"),'Raw Orders'!E1676,0)</f>
        <v>0</v>
      </c>
      <c r="F1679" s="32" t="n">
        <f aca="false">IF('Raw Orders'!K1676="Refunded",'Raw Orders'!G1676,0)</f>
        <v>0</v>
      </c>
    </row>
    <row r="1680" customFormat="false" ht="15" hidden="false" customHeight="false" outlineLevel="0" collapsed="false">
      <c r="A1680" s="36" t="n">
        <f aca="false">IF('Raw Orders'!B1677="","",IF(MID('Raw Orders'!B1677,5,1)="-",DATE(VALUE(LEFT('Raw Orders'!B1677,4)),VALUE(MID('Raw Orders'!B1677,6,2)),VALUE(MID('Raw Orders'!B1677,9,2))),DATE(VALUE(MID('Raw Orders'!B1677,7,4)),VALUE(MID('Raw Orders'!B1677,4,2)),VALUE(LEFT('Raw Orders'!B1677,2)))))</f>
        <v>46237</v>
      </c>
      <c r="B1680" s="36" t="n">
        <f aca="false">IF(A1680="","",A1680-WEEKDAY(A1680,3))</f>
        <v>46237</v>
      </c>
      <c r="C1680" s="32" t="n">
        <f aca="false">IF(OR('Raw Orders'!C1677&lt;&gt;"Product",'Raw Orders'!K1677="Cancelled"),0,'Raw Orders'!G1677)</f>
        <v>32</v>
      </c>
      <c r="D1680" s="31" t="n">
        <f aca="false">IF(AND('Raw Orders'!C1677="Product",'Raw Orders'!K1677="Fulfilled",COUNTIFS('Raw Orders'!$A$2:$A1677,'Raw Orders'!A1677,'Raw Orders'!$C$2:$C1677,"Product",'Raw Orders'!$K$2:$K1677,"Fulfilled")=1),1,0)</f>
        <v>1</v>
      </c>
      <c r="E1680" s="31" t="n">
        <f aca="false">IF(AND('Raw Orders'!C1677="Product",'Raw Orders'!K1677="Fulfilled"),'Raw Orders'!E1677,0)</f>
        <v>1</v>
      </c>
      <c r="F1680" s="32" t="n">
        <f aca="false">IF('Raw Orders'!K1677="Refunded",'Raw Orders'!G1677,0)</f>
        <v>0</v>
      </c>
    </row>
    <row r="1681" customFormat="false" ht="15" hidden="false" customHeight="false" outlineLevel="0" collapsed="false">
      <c r="A1681" s="36" t="n">
        <f aca="false">IF('Raw Orders'!B1678="","",IF(MID('Raw Orders'!B1678,5,1)="-",DATE(VALUE(LEFT('Raw Orders'!B1678,4)),VALUE(MID('Raw Orders'!B1678,6,2)),VALUE(MID('Raw Orders'!B1678,9,2))),DATE(VALUE(MID('Raw Orders'!B1678,7,4)),VALUE(MID('Raw Orders'!B1678,4,2)),VALUE(LEFT('Raw Orders'!B1678,2)))))</f>
        <v>46237</v>
      </c>
      <c r="B1681" s="36" t="n">
        <f aca="false">IF(A1681="","",A1681-WEEKDAY(A1681,3))</f>
        <v>46237</v>
      </c>
      <c r="C1681" s="32" t="n">
        <f aca="false">IF(OR('Raw Orders'!C1678&lt;&gt;"Product",'Raw Orders'!K1678="Cancelled"),0,'Raw Orders'!G1678)</f>
        <v>0</v>
      </c>
      <c r="D1681" s="31" t="n">
        <f aca="false">IF(AND('Raw Orders'!C1678="Product",'Raw Orders'!K1678="Fulfilled",COUNTIFS('Raw Orders'!$A$2:$A1678,'Raw Orders'!A1678,'Raw Orders'!$C$2:$C1678,"Product",'Raw Orders'!$K$2:$K1678,"Fulfilled")=1),1,0)</f>
        <v>0</v>
      </c>
      <c r="E1681" s="31" t="n">
        <f aca="false">IF(AND('Raw Orders'!C1678="Product",'Raw Orders'!K1678="Fulfilled"),'Raw Orders'!E1678,0)</f>
        <v>0</v>
      </c>
      <c r="F1681" s="32" t="n">
        <f aca="false">IF('Raw Orders'!K1678="Refunded",'Raw Orders'!G1678,0)</f>
        <v>0</v>
      </c>
    </row>
    <row r="1682" customFormat="false" ht="15" hidden="false" customHeight="false" outlineLevel="0" collapsed="false">
      <c r="A1682" s="36" t="n">
        <f aca="false">IF('Raw Orders'!B1679="","",IF(MID('Raw Orders'!B1679,5,1)="-",DATE(VALUE(LEFT('Raw Orders'!B1679,4)),VALUE(MID('Raw Orders'!B1679,6,2)),VALUE(MID('Raw Orders'!B1679,9,2))),DATE(VALUE(MID('Raw Orders'!B1679,7,4)),VALUE(MID('Raw Orders'!B1679,4,2)),VALUE(LEFT('Raw Orders'!B1679,2)))))</f>
        <v>46237</v>
      </c>
      <c r="B1682" s="36" t="n">
        <f aca="false">IF(A1682="","",A1682-WEEKDAY(A1682,3))</f>
        <v>46237</v>
      </c>
      <c r="C1682" s="32" t="n">
        <f aca="false">IF(OR('Raw Orders'!C1679&lt;&gt;"Product",'Raw Orders'!K1679="Cancelled"),0,'Raw Orders'!G1679)</f>
        <v>26</v>
      </c>
      <c r="D1682" s="31" t="n">
        <f aca="false">IF(AND('Raw Orders'!C1679="Product",'Raw Orders'!K1679="Fulfilled",COUNTIFS('Raw Orders'!$A$2:$A1679,'Raw Orders'!A1679,'Raw Orders'!$C$2:$C1679,"Product",'Raw Orders'!$K$2:$K1679,"Fulfilled")=1),1,0)</f>
        <v>1</v>
      </c>
      <c r="E1682" s="31" t="n">
        <f aca="false">IF(AND('Raw Orders'!C1679="Product",'Raw Orders'!K1679="Fulfilled"),'Raw Orders'!E1679,0)</f>
        <v>1</v>
      </c>
      <c r="F1682" s="32" t="n">
        <f aca="false">IF('Raw Orders'!K1679="Refunded",'Raw Orders'!G1679,0)</f>
        <v>0</v>
      </c>
    </row>
    <row r="1683" customFormat="false" ht="15" hidden="false" customHeight="false" outlineLevel="0" collapsed="false">
      <c r="A1683" s="36" t="n">
        <f aca="false">IF('Raw Orders'!B1680="","",IF(MID('Raw Orders'!B1680,5,1)="-",DATE(VALUE(LEFT('Raw Orders'!B1680,4)),VALUE(MID('Raw Orders'!B1680,6,2)),VALUE(MID('Raw Orders'!B1680,9,2))),DATE(VALUE(MID('Raw Orders'!B1680,7,4)),VALUE(MID('Raw Orders'!B1680,4,2)),VALUE(LEFT('Raw Orders'!B1680,2)))))</f>
        <v>46237</v>
      </c>
      <c r="B1683" s="36" t="n">
        <f aca="false">IF(A1683="","",A1683-WEEKDAY(A1683,3))</f>
        <v>46237</v>
      </c>
      <c r="C1683" s="32" t="n">
        <f aca="false">IF(OR('Raw Orders'!C1680&lt;&gt;"Product",'Raw Orders'!K1680="Cancelled"),0,'Raw Orders'!G1680)</f>
        <v>39</v>
      </c>
      <c r="D1683" s="31" t="n">
        <f aca="false">IF(AND('Raw Orders'!C1680="Product",'Raw Orders'!K1680="Fulfilled",COUNTIFS('Raw Orders'!$A$2:$A1680,'Raw Orders'!A1680,'Raw Orders'!$C$2:$C1680,"Product",'Raw Orders'!$K$2:$K1680,"Fulfilled")=1),1,0)</f>
        <v>1</v>
      </c>
      <c r="E1683" s="31" t="n">
        <f aca="false">IF(AND('Raw Orders'!C1680="Product",'Raw Orders'!K1680="Fulfilled"),'Raw Orders'!E1680,0)</f>
        <v>1</v>
      </c>
      <c r="F1683" s="32" t="n">
        <f aca="false">IF('Raw Orders'!K1680="Refunded",'Raw Orders'!G1680,0)</f>
        <v>0</v>
      </c>
    </row>
    <row r="1684" customFormat="false" ht="15" hidden="false" customHeight="false" outlineLevel="0" collapsed="false">
      <c r="A1684" s="36" t="n">
        <f aca="false">IF('Raw Orders'!B1681="","",IF(MID('Raw Orders'!B1681,5,1)="-",DATE(VALUE(LEFT('Raw Orders'!B1681,4)),VALUE(MID('Raw Orders'!B1681,6,2)),VALUE(MID('Raw Orders'!B1681,9,2))),DATE(VALUE(MID('Raw Orders'!B1681,7,4)),VALUE(MID('Raw Orders'!B1681,4,2)),VALUE(LEFT('Raw Orders'!B1681,2)))))</f>
        <v>46237</v>
      </c>
      <c r="B1684" s="36" t="n">
        <f aca="false">IF(A1684="","",A1684-WEEKDAY(A1684,3))</f>
        <v>46237</v>
      </c>
      <c r="C1684" s="32" t="n">
        <f aca="false">IF(OR('Raw Orders'!C1681&lt;&gt;"Product",'Raw Orders'!K1681="Cancelled"),0,'Raw Orders'!G1681)</f>
        <v>45</v>
      </c>
      <c r="D1684" s="31" t="n">
        <f aca="false">IF(AND('Raw Orders'!C1681="Product",'Raw Orders'!K1681="Fulfilled",COUNTIFS('Raw Orders'!$A$2:$A1681,'Raw Orders'!A1681,'Raw Orders'!$C$2:$C1681,"Product",'Raw Orders'!$K$2:$K1681,"Fulfilled")=1),1,0)</f>
        <v>0</v>
      </c>
      <c r="E1684" s="31" t="n">
        <f aca="false">IF(AND('Raw Orders'!C1681="Product",'Raw Orders'!K1681="Fulfilled"),'Raw Orders'!E1681,0)</f>
        <v>1</v>
      </c>
      <c r="F1684" s="32" t="n">
        <f aca="false">IF('Raw Orders'!K1681="Refunded",'Raw Orders'!G1681,0)</f>
        <v>0</v>
      </c>
    </row>
    <row r="1685" customFormat="false" ht="15" hidden="false" customHeight="false" outlineLevel="0" collapsed="false">
      <c r="A1685" s="36" t="n">
        <f aca="false">IF('Raw Orders'!B1682="","",IF(MID('Raw Orders'!B1682,5,1)="-",DATE(VALUE(LEFT('Raw Orders'!B1682,4)),VALUE(MID('Raw Orders'!B1682,6,2)),VALUE(MID('Raw Orders'!B1682,9,2))),DATE(VALUE(MID('Raw Orders'!B1682,7,4)),VALUE(MID('Raw Orders'!B1682,4,2)),VALUE(LEFT('Raw Orders'!B1682,2)))))</f>
        <v>46237</v>
      </c>
      <c r="B1685" s="36" t="n">
        <f aca="false">IF(A1685="","",A1685-WEEKDAY(A1685,3))</f>
        <v>46237</v>
      </c>
      <c r="C1685" s="32" t="n">
        <f aca="false">IF(OR('Raw Orders'!C1682&lt;&gt;"Product",'Raw Orders'!K1682="Cancelled"),0,'Raw Orders'!G1682)</f>
        <v>150</v>
      </c>
      <c r="D1685" s="31" t="n">
        <f aca="false">IF(AND('Raw Orders'!C1682="Product",'Raw Orders'!K1682="Fulfilled",COUNTIFS('Raw Orders'!$A$2:$A1682,'Raw Orders'!A1682,'Raw Orders'!$C$2:$C1682,"Product",'Raw Orders'!$K$2:$K1682,"Fulfilled")=1),1,0)</f>
        <v>0</v>
      </c>
      <c r="E1685" s="31" t="n">
        <f aca="false">IF(AND('Raw Orders'!C1682="Product",'Raw Orders'!K1682="Fulfilled"),'Raw Orders'!E1682,0)</f>
        <v>2</v>
      </c>
      <c r="F1685" s="32" t="n">
        <f aca="false">IF('Raw Orders'!K1682="Refunded",'Raw Orders'!G1682,0)</f>
        <v>0</v>
      </c>
    </row>
    <row r="1686" customFormat="false" ht="15" hidden="false" customHeight="false" outlineLevel="0" collapsed="false">
      <c r="A1686" s="36" t="n">
        <f aca="false">IF('Raw Orders'!B1683="","",IF(MID('Raw Orders'!B1683,5,1)="-",DATE(VALUE(LEFT('Raw Orders'!B1683,4)),VALUE(MID('Raw Orders'!B1683,6,2)),VALUE(MID('Raw Orders'!B1683,9,2))),DATE(VALUE(MID('Raw Orders'!B1683,7,4)),VALUE(MID('Raw Orders'!B1683,4,2)),VALUE(LEFT('Raw Orders'!B1683,2)))))</f>
        <v>46237</v>
      </c>
      <c r="B1686" s="36" t="n">
        <f aca="false">IF(A1686="","",A1686-WEEKDAY(A1686,3))</f>
        <v>46237</v>
      </c>
      <c r="C1686" s="32" t="n">
        <f aca="false">IF(OR('Raw Orders'!C1683&lt;&gt;"Product",'Raw Orders'!K1683="Cancelled"),0,'Raw Orders'!G1683)</f>
        <v>0</v>
      </c>
      <c r="D1686" s="31" t="n">
        <f aca="false">IF(AND('Raw Orders'!C1683="Product",'Raw Orders'!K1683="Fulfilled",COUNTIFS('Raw Orders'!$A$2:$A1683,'Raw Orders'!A1683,'Raw Orders'!$C$2:$C1683,"Product",'Raw Orders'!$K$2:$K1683,"Fulfilled")=1),1,0)</f>
        <v>0</v>
      </c>
      <c r="E1686" s="31" t="n">
        <f aca="false">IF(AND('Raw Orders'!C1683="Product",'Raw Orders'!K1683="Fulfilled"),'Raw Orders'!E1683,0)</f>
        <v>0</v>
      </c>
      <c r="F1686" s="32" t="n">
        <f aca="false">IF('Raw Orders'!K1683="Refunded",'Raw Orders'!G1683,0)</f>
        <v>0</v>
      </c>
    </row>
    <row r="1687" customFormat="false" ht="15" hidden="false" customHeight="false" outlineLevel="0" collapsed="false">
      <c r="A1687" s="36" t="n">
        <f aca="false">IF('Raw Orders'!B1684="","",IF(MID('Raw Orders'!B1684,5,1)="-",DATE(VALUE(LEFT('Raw Orders'!B1684,4)),VALUE(MID('Raw Orders'!B1684,6,2)),VALUE(MID('Raw Orders'!B1684,9,2))),DATE(VALUE(MID('Raw Orders'!B1684,7,4)),VALUE(MID('Raw Orders'!B1684,4,2)),VALUE(LEFT('Raw Orders'!B1684,2)))))</f>
        <v>46237</v>
      </c>
      <c r="B1687" s="36" t="n">
        <f aca="false">IF(A1687="","",A1687-WEEKDAY(A1687,3))</f>
        <v>46237</v>
      </c>
      <c r="C1687" s="32" t="n">
        <f aca="false">IF(OR('Raw Orders'!C1684&lt;&gt;"Product",'Raw Orders'!K1684="Cancelled"),0,'Raw Orders'!G1684)</f>
        <v>117</v>
      </c>
      <c r="D1687" s="31" t="n">
        <f aca="false">IF(AND('Raw Orders'!C1684="Product",'Raw Orders'!K1684="Fulfilled",COUNTIFS('Raw Orders'!$A$2:$A1684,'Raw Orders'!A1684,'Raw Orders'!$C$2:$C1684,"Product",'Raw Orders'!$K$2:$K1684,"Fulfilled")=1),1,0)</f>
        <v>1</v>
      </c>
      <c r="E1687" s="31" t="n">
        <f aca="false">IF(AND('Raw Orders'!C1684="Product",'Raw Orders'!K1684="Fulfilled"),'Raw Orders'!E1684,0)</f>
        <v>3</v>
      </c>
      <c r="F1687" s="32" t="n">
        <f aca="false">IF('Raw Orders'!K1684="Refunded",'Raw Orders'!G1684,0)</f>
        <v>0</v>
      </c>
    </row>
    <row r="1688" customFormat="false" ht="15" hidden="false" customHeight="false" outlineLevel="0" collapsed="false">
      <c r="A1688" s="36" t="n">
        <f aca="false">IF('Raw Orders'!B1685="","",IF(MID('Raw Orders'!B1685,5,1)="-",DATE(VALUE(LEFT('Raw Orders'!B1685,4)),VALUE(MID('Raw Orders'!B1685,6,2)),VALUE(MID('Raw Orders'!B1685,9,2))),DATE(VALUE(MID('Raw Orders'!B1685,7,4)),VALUE(MID('Raw Orders'!B1685,4,2)),VALUE(LEFT('Raw Orders'!B1685,2)))))</f>
        <v>46237</v>
      </c>
      <c r="B1688" s="36" t="n">
        <f aca="false">IF(A1688="","",A1688-WEEKDAY(A1688,3))</f>
        <v>46237</v>
      </c>
      <c r="C1688" s="32" t="n">
        <f aca="false">IF(OR('Raw Orders'!C1685&lt;&gt;"Product",'Raw Orders'!K1685="Cancelled"),0,'Raw Orders'!G1685)</f>
        <v>26</v>
      </c>
      <c r="D1688" s="31" t="n">
        <f aca="false">IF(AND('Raw Orders'!C1685="Product",'Raw Orders'!K1685="Fulfilled",COUNTIFS('Raw Orders'!$A$2:$A1685,'Raw Orders'!A1685,'Raw Orders'!$C$2:$C1685,"Product",'Raw Orders'!$K$2:$K1685,"Fulfilled")=1),1,0)</f>
        <v>0</v>
      </c>
      <c r="E1688" s="31" t="n">
        <f aca="false">IF(AND('Raw Orders'!C1685="Product",'Raw Orders'!K1685="Fulfilled"),'Raw Orders'!E1685,0)</f>
        <v>1</v>
      </c>
      <c r="F1688" s="32" t="n">
        <f aca="false">IF('Raw Orders'!K1685="Refunded",'Raw Orders'!G1685,0)</f>
        <v>0</v>
      </c>
    </row>
    <row r="1689" customFormat="false" ht="15" hidden="false" customHeight="false" outlineLevel="0" collapsed="false">
      <c r="A1689" s="36" t="n">
        <f aca="false">IF('Raw Orders'!B1686="","",IF(MID('Raw Orders'!B1686,5,1)="-",DATE(VALUE(LEFT('Raw Orders'!B1686,4)),VALUE(MID('Raw Orders'!B1686,6,2)),VALUE(MID('Raw Orders'!B1686,9,2))),DATE(VALUE(MID('Raw Orders'!B1686,7,4)),VALUE(MID('Raw Orders'!B1686,4,2)),VALUE(LEFT('Raw Orders'!B1686,2)))))</f>
        <v>46237</v>
      </c>
      <c r="B1689" s="36" t="n">
        <f aca="false">IF(A1689="","",A1689-WEEKDAY(A1689,3))</f>
        <v>46237</v>
      </c>
      <c r="C1689" s="32" t="n">
        <f aca="false">IF(OR('Raw Orders'!C1686&lt;&gt;"Product",'Raw Orders'!K1686="Cancelled"),0,'Raw Orders'!G1686)</f>
        <v>39</v>
      </c>
      <c r="D1689" s="31" t="n">
        <f aca="false">IF(AND('Raw Orders'!C1686="Product",'Raw Orders'!K1686="Fulfilled",COUNTIFS('Raw Orders'!$A$2:$A1686,'Raw Orders'!A1686,'Raw Orders'!$C$2:$C1686,"Product",'Raw Orders'!$K$2:$K1686,"Fulfilled")=1),1,0)</f>
        <v>1</v>
      </c>
      <c r="E1689" s="31" t="n">
        <f aca="false">IF(AND('Raw Orders'!C1686="Product",'Raw Orders'!K1686="Fulfilled"),'Raw Orders'!E1686,0)</f>
        <v>1</v>
      </c>
      <c r="F1689" s="32" t="n">
        <f aca="false">IF('Raw Orders'!K1686="Refunded",'Raw Orders'!G1686,0)</f>
        <v>0</v>
      </c>
    </row>
    <row r="1690" customFormat="false" ht="15" hidden="false" customHeight="false" outlineLevel="0" collapsed="false">
      <c r="A1690" s="36" t="n">
        <f aca="false">IF('Raw Orders'!B1687="","",IF(MID('Raw Orders'!B1687,5,1)="-",DATE(VALUE(LEFT('Raw Orders'!B1687,4)),VALUE(MID('Raw Orders'!B1687,6,2)),VALUE(MID('Raw Orders'!B1687,9,2))),DATE(VALUE(MID('Raw Orders'!B1687,7,4)),VALUE(MID('Raw Orders'!B1687,4,2)),VALUE(LEFT('Raw Orders'!B1687,2)))))</f>
        <v>46237</v>
      </c>
      <c r="B1690" s="36" t="n">
        <f aca="false">IF(A1690="","",A1690-WEEKDAY(A1690,3))</f>
        <v>46237</v>
      </c>
      <c r="C1690" s="32" t="n">
        <f aca="false">IF(OR('Raw Orders'!C1687&lt;&gt;"Product",'Raw Orders'!K1687="Cancelled"),0,'Raw Orders'!G1687)</f>
        <v>178</v>
      </c>
      <c r="D1690" s="31" t="n">
        <f aca="false">IF(AND('Raw Orders'!C1687="Product",'Raw Orders'!K1687="Fulfilled",COUNTIFS('Raw Orders'!$A$2:$A1687,'Raw Orders'!A1687,'Raw Orders'!$C$2:$C1687,"Product",'Raw Orders'!$K$2:$K1687,"Fulfilled")=1),1,0)</f>
        <v>0</v>
      </c>
      <c r="E1690" s="31" t="n">
        <f aca="false">IF(AND('Raw Orders'!C1687="Product",'Raw Orders'!K1687="Fulfilled"),'Raw Orders'!E1687,0)</f>
        <v>2</v>
      </c>
      <c r="F1690" s="32" t="n">
        <f aca="false">IF('Raw Orders'!K1687="Refunded",'Raw Orders'!G1687,0)</f>
        <v>0</v>
      </c>
    </row>
    <row r="1691" customFormat="false" ht="15" hidden="false" customHeight="false" outlineLevel="0" collapsed="false">
      <c r="A1691" s="36" t="n">
        <f aca="false">IF('Raw Orders'!B1688="","",IF(MID('Raw Orders'!B1688,5,1)="-",DATE(VALUE(LEFT('Raw Orders'!B1688,4)),VALUE(MID('Raw Orders'!B1688,6,2)),VALUE(MID('Raw Orders'!B1688,9,2))),DATE(VALUE(MID('Raw Orders'!B1688,7,4)),VALUE(MID('Raw Orders'!B1688,4,2)),VALUE(LEFT('Raw Orders'!B1688,2)))))</f>
        <v>46237</v>
      </c>
      <c r="B1691" s="36" t="n">
        <f aca="false">IF(A1691="","",A1691-WEEKDAY(A1691,3))</f>
        <v>46237</v>
      </c>
      <c r="C1691" s="32" t="n">
        <f aca="false">IF(OR('Raw Orders'!C1688&lt;&gt;"Product",'Raw Orders'!K1688="Cancelled"),0,'Raw Orders'!G1688)</f>
        <v>22</v>
      </c>
      <c r="D1691" s="31" t="n">
        <f aca="false">IF(AND('Raw Orders'!C1688="Product",'Raw Orders'!K1688="Fulfilled",COUNTIFS('Raw Orders'!$A$2:$A1688,'Raw Orders'!A1688,'Raw Orders'!$C$2:$C1688,"Product",'Raw Orders'!$K$2:$K1688,"Fulfilled")=1),1,0)</f>
        <v>0</v>
      </c>
      <c r="E1691" s="31" t="n">
        <f aca="false">IF(AND('Raw Orders'!C1688="Product",'Raw Orders'!K1688="Fulfilled"),'Raw Orders'!E1688,0)</f>
        <v>1</v>
      </c>
      <c r="F1691" s="32" t="n">
        <f aca="false">IF('Raw Orders'!K1688="Refunded",'Raw Orders'!G1688,0)</f>
        <v>0</v>
      </c>
    </row>
    <row r="1692" customFormat="false" ht="15" hidden="false" customHeight="false" outlineLevel="0" collapsed="false">
      <c r="A1692" s="36" t="n">
        <f aca="false">IF('Raw Orders'!B1689="","",IF(MID('Raw Orders'!B1689,5,1)="-",DATE(VALUE(LEFT('Raw Orders'!B1689,4)),VALUE(MID('Raw Orders'!B1689,6,2)),VALUE(MID('Raw Orders'!B1689,9,2))),DATE(VALUE(MID('Raw Orders'!B1689,7,4)),VALUE(MID('Raw Orders'!B1689,4,2)),VALUE(LEFT('Raw Orders'!B1689,2)))))</f>
        <v>46238</v>
      </c>
      <c r="B1692" s="36" t="n">
        <f aca="false">IF(A1692="","",A1692-WEEKDAY(A1692,3))</f>
        <v>46237</v>
      </c>
      <c r="C1692" s="32" t="n">
        <f aca="false">IF(OR('Raw Orders'!C1689&lt;&gt;"Product",'Raw Orders'!K1689="Cancelled"),0,'Raw Orders'!G1689)</f>
        <v>45</v>
      </c>
      <c r="D1692" s="31" t="n">
        <f aca="false">IF(AND('Raw Orders'!C1689="Product",'Raw Orders'!K1689="Fulfilled",COUNTIFS('Raw Orders'!$A$2:$A1689,'Raw Orders'!A1689,'Raw Orders'!$C$2:$C1689,"Product",'Raw Orders'!$K$2:$K1689,"Fulfilled")=1),1,0)</f>
        <v>1</v>
      </c>
      <c r="E1692" s="31" t="n">
        <f aca="false">IF(AND('Raw Orders'!C1689="Product",'Raw Orders'!K1689="Fulfilled"),'Raw Orders'!E1689,0)</f>
        <v>1</v>
      </c>
      <c r="F1692" s="32" t="n">
        <f aca="false">IF('Raw Orders'!K1689="Refunded",'Raw Orders'!G1689,0)</f>
        <v>0</v>
      </c>
    </row>
    <row r="1693" customFormat="false" ht="15" hidden="false" customHeight="false" outlineLevel="0" collapsed="false">
      <c r="A1693" s="36" t="n">
        <f aca="false">IF('Raw Orders'!B1690="","",IF(MID('Raw Orders'!B1690,5,1)="-",DATE(VALUE(LEFT('Raw Orders'!B1690,4)),VALUE(MID('Raw Orders'!B1690,6,2)),VALUE(MID('Raw Orders'!B1690,9,2))),DATE(VALUE(MID('Raw Orders'!B1690,7,4)),VALUE(MID('Raw Orders'!B1690,4,2)),VALUE(LEFT('Raw Orders'!B1690,2)))))</f>
        <v>46238</v>
      </c>
      <c r="B1693" s="36" t="n">
        <f aca="false">IF(A1693="","",A1693-WEEKDAY(A1693,3))</f>
        <v>46237</v>
      </c>
      <c r="C1693" s="32" t="n">
        <f aca="false">IF(OR('Raw Orders'!C1690&lt;&gt;"Product",'Raw Orders'!K1690="Cancelled"),0,'Raw Orders'!G1690)</f>
        <v>0</v>
      </c>
      <c r="D1693" s="31" t="n">
        <f aca="false">IF(AND('Raw Orders'!C1690="Product",'Raw Orders'!K1690="Fulfilled",COUNTIFS('Raw Orders'!$A$2:$A1690,'Raw Orders'!A1690,'Raw Orders'!$C$2:$C1690,"Product",'Raw Orders'!$K$2:$K1690,"Fulfilled")=1),1,0)</f>
        <v>0</v>
      </c>
      <c r="E1693" s="31" t="n">
        <f aca="false">IF(AND('Raw Orders'!C1690="Product",'Raw Orders'!K1690="Fulfilled"),'Raw Orders'!E1690,0)</f>
        <v>0</v>
      </c>
      <c r="F1693" s="32" t="n">
        <f aca="false">IF('Raw Orders'!K1690="Refunded",'Raw Orders'!G1690,0)</f>
        <v>0</v>
      </c>
    </row>
    <row r="1694" customFormat="false" ht="15" hidden="false" customHeight="false" outlineLevel="0" collapsed="false">
      <c r="A1694" s="36" t="n">
        <f aca="false">IF('Raw Orders'!B1691="","",IF(MID('Raw Orders'!B1691,5,1)="-",DATE(VALUE(LEFT('Raw Orders'!B1691,4)),VALUE(MID('Raw Orders'!B1691,6,2)),VALUE(MID('Raw Orders'!B1691,9,2))),DATE(VALUE(MID('Raw Orders'!B1691,7,4)),VALUE(MID('Raw Orders'!B1691,4,2)),VALUE(LEFT('Raw Orders'!B1691,2)))))</f>
        <v>46238</v>
      </c>
      <c r="B1694" s="36" t="n">
        <f aca="false">IF(A1694="","",A1694-WEEKDAY(A1694,3))</f>
        <v>46237</v>
      </c>
      <c r="C1694" s="32" t="n">
        <f aca="false">IF(OR('Raw Orders'!C1691&lt;&gt;"Product",'Raw Orders'!K1691="Cancelled"),0,'Raw Orders'!G1691)</f>
        <v>0</v>
      </c>
      <c r="D1694" s="31" t="n">
        <f aca="false">IF(AND('Raw Orders'!C1691="Product",'Raw Orders'!K1691="Fulfilled",COUNTIFS('Raw Orders'!$A$2:$A1691,'Raw Orders'!A1691,'Raw Orders'!$C$2:$C1691,"Product",'Raw Orders'!$K$2:$K1691,"Fulfilled")=1),1,0)</f>
        <v>0</v>
      </c>
      <c r="E1694" s="31" t="n">
        <f aca="false">IF(AND('Raw Orders'!C1691="Product",'Raw Orders'!K1691="Fulfilled"),'Raw Orders'!E1691,0)</f>
        <v>0</v>
      </c>
      <c r="F1694" s="32" t="n">
        <f aca="false">IF('Raw Orders'!K1691="Refunded",'Raw Orders'!G1691,0)</f>
        <v>0</v>
      </c>
    </row>
    <row r="1695" customFormat="false" ht="15" hidden="false" customHeight="false" outlineLevel="0" collapsed="false">
      <c r="A1695" s="36" t="n">
        <f aca="false">IF('Raw Orders'!B1692="","",IF(MID('Raw Orders'!B1692,5,1)="-",DATE(VALUE(LEFT('Raw Orders'!B1692,4)),VALUE(MID('Raw Orders'!B1692,6,2)),VALUE(MID('Raw Orders'!B1692,9,2))),DATE(VALUE(MID('Raw Orders'!B1692,7,4)),VALUE(MID('Raw Orders'!B1692,4,2)),VALUE(LEFT('Raw Orders'!B1692,2)))))</f>
        <v>46238</v>
      </c>
      <c r="B1695" s="36" t="n">
        <f aca="false">IF(A1695="","",A1695-WEEKDAY(A1695,3))</f>
        <v>46237</v>
      </c>
      <c r="C1695" s="32" t="n">
        <f aca="false">IF(OR('Raw Orders'!C1692&lt;&gt;"Product",'Raw Orders'!K1692="Cancelled"),0,'Raw Orders'!G1692)</f>
        <v>89</v>
      </c>
      <c r="D1695" s="31" t="n">
        <f aca="false">IF(AND('Raw Orders'!C1692="Product",'Raw Orders'!K1692="Fulfilled",COUNTIFS('Raw Orders'!$A$2:$A1692,'Raw Orders'!A1692,'Raw Orders'!$C$2:$C1692,"Product",'Raw Orders'!$K$2:$K1692,"Fulfilled")=1),1,0)</f>
        <v>1</v>
      </c>
      <c r="E1695" s="31" t="n">
        <f aca="false">IF(AND('Raw Orders'!C1692="Product",'Raw Orders'!K1692="Fulfilled"),'Raw Orders'!E1692,0)</f>
        <v>1</v>
      </c>
      <c r="F1695" s="32" t="n">
        <f aca="false">IF('Raw Orders'!K1692="Refunded",'Raw Orders'!G1692,0)</f>
        <v>0</v>
      </c>
    </row>
    <row r="1696" customFormat="false" ht="15" hidden="false" customHeight="false" outlineLevel="0" collapsed="false">
      <c r="A1696" s="36" t="n">
        <f aca="false">IF('Raw Orders'!B1693="","",IF(MID('Raw Orders'!B1693,5,1)="-",DATE(VALUE(LEFT('Raw Orders'!B1693,4)),VALUE(MID('Raw Orders'!B1693,6,2)),VALUE(MID('Raw Orders'!B1693,9,2))),DATE(VALUE(MID('Raw Orders'!B1693,7,4)),VALUE(MID('Raw Orders'!B1693,4,2)),VALUE(LEFT('Raw Orders'!B1693,2)))))</f>
        <v>46238</v>
      </c>
      <c r="B1696" s="36" t="n">
        <f aca="false">IF(A1696="","",A1696-WEEKDAY(A1696,3))</f>
        <v>46237</v>
      </c>
      <c r="C1696" s="32" t="n">
        <f aca="false">IF(OR('Raw Orders'!C1693&lt;&gt;"Product",'Raw Orders'!K1693="Cancelled"),0,'Raw Orders'!G1693)</f>
        <v>135</v>
      </c>
      <c r="D1696" s="31" t="n">
        <f aca="false">IF(AND('Raw Orders'!C1693="Product",'Raw Orders'!K1693="Fulfilled",COUNTIFS('Raw Orders'!$A$2:$A1693,'Raw Orders'!A1693,'Raw Orders'!$C$2:$C1693,"Product",'Raw Orders'!$K$2:$K1693,"Fulfilled")=1),1,0)</f>
        <v>0</v>
      </c>
      <c r="E1696" s="31" t="n">
        <f aca="false">IF(AND('Raw Orders'!C1693="Product",'Raw Orders'!K1693="Fulfilled"),'Raw Orders'!E1693,0)</f>
        <v>3</v>
      </c>
      <c r="F1696" s="32" t="n">
        <f aca="false">IF('Raw Orders'!K1693="Refunded",'Raw Orders'!G1693,0)</f>
        <v>0</v>
      </c>
    </row>
    <row r="1697" customFormat="false" ht="15" hidden="false" customHeight="false" outlineLevel="0" collapsed="false">
      <c r="A1697" s="36" t="n">
        <f aca="false">IF('Raw Orders'!B1694="","",IF(MID('Raw Orders'!B1694,5,1)="-",DATE(VALUE(LEFT('Raw Orders'!B1694,4)),VALUE(MID('Raw Orders'!B1694,6,2)),VALUE(MID('Raw Orders'!B1694,9,2))),DATE(VALUE(MID('Raw Orders'!B1694,7,4)),VALUE(MID('Raw Orders'!B1694,4,2)),VALUE(LEFT('Raw Orders'!B1694,2)))))</f>
        <v>46238</v>
      </c>
      <c r="B1697" s="36" t="n">
        <f aca="false">IF(A1697="","",A1697-WEEKDAY(A1697,3))</f>
        <v>46237</v>
      </c>
      <c r="C1697" s="32" t="n">
        <f aca="false">IF(OR('Raw Orders'!C1694&lt;&gt;"Product",'Raw Orders'!K1694="Cancelled"),0,'Raw Orders'!G1694)</f>
        <v>14</v>
      </c>
      <c r="D1697" s="31" t="n">
        <f aca="false">IF(AND('Raw Orders'!C1694="Product",'Raw Orders'!K1694="Fulfilled",COUNTIFS('Raw Orders'!$A$2:$A1694,'Raw Orders'!A1694,'Raw Orders'!$C$2:$C1694,"Product",'Raw Orders'!$K$2:$K1694,"Fulfilled")=1),1,0)</f>
        <v>0</v>
      </c>
      <c r="E1697" s="31" t="n">
        <f aca="false">IF(AND('Raw Orders'!C1694="Product",'Raw Orders'!K1694="Fulfilled"),'Raw Orders'!E1694,0)</f>
        <v>1</v>
      </c>
      <c r="F1697" s="32" t="n">
        <f aca="false">IF('Raw Orders'!K1694="Refunded",'Raw Orders'!G1694,0)</f>
        <v>0</v>
      </c>
    </row>
    <row r="1698" customFormat="false" ht="15" hidden="false" customHeight="false" outlineLevel="0" collapsed="false">
      <c r="A1698" s="36" t="n">
        <f aca="false">IF('Raw Orders'!B1695="","",IF(MID('Raw Orders'!B1695,5,1)="-",DATE(VALUE(LEFT('Raw Orders'!B1695,4)),VALUE(MID('Raw Orders'!B1695,6,2)),VALUE(MID('Raw Orders'!B1695,9,2))),DATE(VALUE(MID('Raw Orders'!B1695,7,4)),VALUE(MID('Raw Orders'!B1695,4,2)),VALUE(LEFT('Raw Orders'!B1695,2)))))</f>
        <v>46238</v>
      </c>
      <c r="B1698" s="36" t="n">
        <f aca="false">IF(A1698="","",A1698-WEEKDAY(A1698,3))</f>
        <v>46237</v>
      </c>
      <c r="C1698" s="32" t="n">
        <f aca="false">IF(OR('Raw Orders'!C1695&lt;&gt;"Product",'Raw Orders'!K1695="Cancelled"),0,'Raw Orders'!G1695)</f>
        <v>78</v>
      </c>
      <c r="D1698" s="31" t="n">
        <f aca="false">IF(AND('Raw Orders'!C1695="Product",'Raw Orders'!K1695="Fulfilled",COUNTIFS('Raw Orders'!$A$2:$A1695,'Raw Orders'!A1695,'Raw Orders'!$C$2:$C1695,"Product",'Raw Orders'!$K$2:$K1695,"Fulfilled")=1),1,0)</f>
        <v>0</v>
      </c>
      <c r="E1698" s="31" t="n">
        <f aca="false">IF(AND('Raw Orders'!C1695="Product",'Raw Orders'!K1695="Fulfilled"),'Raw Orders'!E1695,0)</f>
        <v>2</v>
      </c>
      <c r="F1698" s="32" t="n">
        <f aca="false">IF('Raw Orders'!K1695="Refunded",'Raw Orders'!G1695,0)</f>
        <v>0</v>
      </c>
    </row>
    <row r="1699" customFormat="false" ht="15" hidden="false" customHeight="false" outlineLevel="0" collapsed="false">
      <c r="A1699" s="36" t="n">
        <f aca="false">IF('Raw Orders'!B1696="","",IF(MID('Raw Orders'!B1696,5,1)="-",DATE(VALUE(LEFT('Raw Orders'!B1696,4)),VALUE(MID('Raw Orders'!B1696,6,2)),VALUE(MID('Raw Orders'!B1696,9,2))),DATE(VALUE(MID('Raw Orders'!B1696,7,4)),VALUE(MID('Raw Orders'!B1696,4,2)),VALUE(LEFT('Raw Orders'!B1696,2)))))</f>
        <v>46238</v>
      </c>
      <c r="B1699" s="36" t="n">
        <f aca="false">IF(A1699="","",A1699-WEEKDAY(A1699,3))</f>
        <v>46237</v>
      </c>
      <c r="C1699" s="32" t="n">
        <f aca="false">IF(OR('Raw Orders'!C1696&lt;&gt;"Product",'Raw Orders'!K1696="Cancelled"),0,'Raw Orders'!G1696)</f>
        <v>69</v>
      </c>
      <c r="D1699" s="31" t="n">
        <f aca="false">IF(AND('Raw Orders'!C1696="Product",'Raw Orders'!K1696="Fulfilled",COUNTIFS('Raw Orders'!$A$2:$A1696,'Raw Orders'!A1696,'Raw Orders'!$C$2:$C1696,"Product",'Raw Orders'!$K$2:$K1696,"Fulfilled")=1),1,0)</f>
        <v>1</v>
      </c>
      <c r="E1699" s="31" t="n">
        <f aca="false">IF(AND('Raw Orders'!C1696="Product",'Raw Orders'!K1696="Fulfilled"),'Raw Orders'!E1696,0)</f>
        <v>1</v>
      </c>
      <c r="F1699" s="32" t="n">
        <f aca="false">IF('Raw Orders'!K1696="Refunded",'Raw Orders'!G1696,0)</f>
        <v>0</v>
      </c>
    </row>
    <row r="1700" customFormat="false" ht="15" hidden="false" customHeight="false" outlineLevel="0" collapsed="false">
      <c r="A1700" s="36" t="n">
        <f aca="false">IF('Raw Orders'!B1697="","",IF(MID('Raw Orders'!B1697,5,1)="-",DATE(VALUE(LEFT('Raw Orders'!B1697,4)),VALUE(MID('Raw Orders'!B1697,6,2)),VALUE(MID('Raw Orders'!B1697,9,2))),DATE(VALUE(MID('Raw Orders'!B1697,7,4)),VALUE(MID('Raw Orders'!B1697,4,2)),VALUE(LEFT('Raw Orders'!B1697,2)))))</f>
        <v>46238</v>
      </c>
      <c r="B1700" s="36" t="n">
        <f aca="false">IF(A1700="","",A1700-WEEKDAY(A1700,3))</f>
        <v>46237</v>
      </c>
      <c r="C1700" s="32" t="n">
        <f aca="false">IF(OR('Raw Orders'!C1697&lt;&gt;"Product",'Raw Orders'!K1697="Cancelled"),0,'Raw Orders'!G1697)</f>
        <v>75.65</v>
      </c>
      <c r="D1700" s="31" t="n">
        <f aca="false">IF(AND('Raw Orders'!C1697="Product",'Raw Orders'!K1697="Fulfilled",COUNTIFS('Raw Orders'!$A$2:$A1697,'Raw Orders'!A1697,'Raw Orders'!$C$2:$C1697,"Product",'Raw Orders'!$K$2:$K1697,"Fulfilled")=1),1,0)</f>
        <v>0</v>
      </c>
      <c r="E1700" s="31" t="n">
        <f aca="false">IF(AND('Raw Orders'!C1697="Product",'Raw Orders'!K1697="Fulfilled"),'Raw Orders'!E1697,0)</f>
        <v>1</v>
      </c>
      <c r="F1700" s="32" t="n">
        <f aca="false">IF('Raw Orders'!K1697="Refunded",'Raw Orders'!G1697,0)</f>
        <v>0</v>
      </c>
    </row>
    <row r="1701" customFormat="false" ht="15" hidden="false" customHeight="false" outlineLevel="0" collapsed="false">
      <c r="A1701" s="36" t="n">
        <f aca="false">IF('Raw Orders'!B1698="","",IF(MID('Raw Orders'!B1698,5,1)="-",DATE(VALUE(LEFT('Raw Orders'!B1698,4)),VALUE(MID('Raw Orders'!B1698,6,2)),VALUE(MID('Raw Orders'!B1698,9,2))),DATE(VALUE(MID('Raw Orders'!B1698,7,4)),VALUE(MID('Raw Orders'!B1698,4,2)),VALUE(LEFT('Raw Orders'!B1698,2)))))</f>
        <v>46238</v>
      </c>
      <c r="B1701" s="36" t="n">
        <f aca="false">IF(A1701="","",A1701-WEEKDAY(A1701,3))</f>
        <v>46237</v>
      </c>
      <c r="C1701" s="32" t="n">
        <f aca="false">IF(OR('Raw Orders'!C1698&lt;&gt;"Product",'Raw Orders'!K1698="Cancelled"),0,'Raw Orders'!G1698)</f>
        <v>0</v>
      </c>
      <c r="D1701" s="31" t="n">
        <f aca="false">IF(AND('Raw Orders'!C1698="Product",'Raw Orders'!K1698="Fulfilled",COUNTIFS('Raw Orders'!$A$2:$A1698,'Raw Orders'!A1698,'Raw Orders'!$C$2:$C1698,"Product",'Raw Orders'!$K$2:$K1698,"Fulfilled")=1),1,0)</f>
        <v>0</v>
      </c>
      <c r="E1701" s="31" t="n">
        <f aca="false">IF(AND('Raw Orders'!C1698="Product",'Raw Orders'!K1698="Fulfilled"),'Raw Orders'!E1698,0)</f>
        <v>0</v>
      </c>
      <c r="F1701" s="32" t="n">
        <f aca="false">IF('Raw Orders'!K1698="Refunded",'Raw Orders'!G1698,0)</f>
        <v>0</v>
      </c>
    </row>
    <row r="1702" customFormat="false" ht="15" hidden="false" customHeight="false" outlineLevel="0" collapsed="false">
      <c r="A1702" s="36" t="n">
        <f aca="false">IF('Raw Orders'!B1699="","",IF(MID('Raw Orders'!B1699,5,1)="-",DATE(VALUE(LEFT('Raw Orders'!B1699,4)),VALUE(MID('Raw Orders'!B1699,6,2)),VALUE(MID('Raw Orders'!B1699,9,2))),DATE(VALUE(MID('Raw Orders'!B1699,7,4)),VALUE(MID('Raw Orders'!B1699,4,2)),VALUE(LEFT('Raw Orders'!B1699,2)))))</f>
        <v>46238</v>
      </c>
      <c r="B1702" s="36" t="n">
        <f aca="false">IF(A1702="","",A1702-WEEKDAY(A1702,3))</f>
        <v>46237</v>
      </c>
      <c r="C1702" s="32" t="n">
        <f aca="false">IF(OR('Raw Orders'!C1699&lt;&gt;"Product",'Raw Orders'!K1699="Cancelled"),0,'Raw Orders'!G1699)</f>
        <v>59.5</v>
      </c>
      <c r="D1702" s="31" t="n">
        <f aca="false">IF(AND('Raw Orders'!C1699="Product",'Raw Orders'!K1699="Fulfilled",COUNTIFS('Raw Orders'!$A$2:$A1699,'Raw Orders'!A1699,'Raw Orders'!$C$2:$C1699,"Product",'Raw Orders'!$K$2:$K1699,"Fulfilled")=1),1,0)</f>
        <v>0</v>
      </c>
      <c r="E1702" s="31" t="n">
        <f aca="false">IF(AND('Raw Orders'!C1699="Product",'Raw Orders'!K1699="Fulfilled"),'Raw Orders'!E1699,0)</f>
        <v>2</v>
      </c>
      <c r="F1702" s="32" t="n">
        <f aca="false">IF('Raw Orders'!K1699="Refunded",'Raw Orders'!G1699,0)</f>
        <v>0</v>
      </c>
    </row>
    <row r="1703" customFormat="false" ht="15" hidden="false" customHeight="false" outlineLevel="0" collapsed="false">
      <c r="A1703" s="36" t="n">
        <f aca="false">IF('Raw Orders'!B1700="","",IF(MID('Raw Orders'!B1700,5,1)="-",DATE(VALUE(LEFT('Raw Orders'!B1700,4)),VALUE(MID('Raw Orders'!B1700,6,2)),VALUE(MID('Raw Orders'!B1700,9,2))),DATE(VALUE(MID('Raw Orders'!B1700,7,4)),VALUE(MID('Raw Orders'!B1700,4,2)),VALUE(LEFT('Raw Orders'!B1700,2)))))</f>
        <v>46238</v>
      </c>
      <c r="B1703" s="36" t="n">
        <f aca="false">IF(A1703="","",A1703-WEEKDAY(A1703,3))</f>
        <v>46237</v>
      </c>
      <c r="C1703" s="32" t="n">
        <f aca="false">IF(OR('Raw Orders'!C1700&lt;&gt;"Product",'Raw Orders'!K1700="Cancelled"),0,'Raw Orders'!G1700)</f>
        <v>178</v>
      </c>
      <c r="D1703" s="31" t="n">
        <f aca="false">IF(AND('Raw Orders'!C1700="Product",'Raw Orders'!K1700="Fulfilled",COUNTIFS('Raw Orders'!$A$2:$A1700,'Raw Orders'!A1700,'Raw Orders'!$C$2:$C1700,"Product",'Raw Orders'!$K$2:$K1700,"Fulfilled")=1),1,0)</f>
        <v>1</v>
      </c>
      <c r="E1703" s="31" t="n">
        <f aca="false">IF(AND('Raw Orders'!C1700="Product",'Raw Orders'!K1700="Fulfilled"),'Raw Orders'!E1700,0)</f>
        <v>2</v>
      </c>
      <c r="F1703" s="32" t="n">
        <f aca="false">IF('Raw Orders'!K1700="Refunded",'Raw Orders'!G1700,0)</f>
        <v>0</v>
      </c>
    </row>
    <row r="1704" customFormat="false" ht="15" hidden="false" customHeight="false" outlineLevel="0" collapsed="false">
      <c r="A1704" s="36" t="n">
        <f aca="false">IF('Raw Orders'!B1701="","",IF(MID('Raw Orders'!B1701,5,1)="-",DATE(VALUE(LEFT('Raw Orders'!B1701,4)),VALUE(MID('Raw Orders'!B1701,6,2)),VALUE(MID('Raw Orders'!B1701,9,2))),DATE(VALUE(MID('Raw Orders'!B1701,7,4)),VALUE(MID('Raw Orders'!B1701,4,2)),VALUE(LEFT('Raw Orders'!B1701,2)))))</f>
        <v>46238</v>
      </c>
      <c r="B1704" s="36" t="n">
        <f aca="false">IF(A1704="","",A1704-WEEKDAY(A1704,3))</f>
        <v>46237</v>
      </c>
      <c r="C1704" s="32" t="n">
        <f aca="false">IF(OR('Raw Orders'!C1701&lt;&gt;"Product",'Raw Orders'!K1701="Cancelled"),0,'Raw Orders'!G1701)</f>
        <v>69</v>
      </c>
      <c r="D1704" s="31" t="n">
        <f aca="false">IF(AND('Raw Orders'!C1701="Product",'Raw Orders'!K1701="Fulfilled",COUNTIFS('Raw Orders'!$A$2:$A1701,'Raw Orders'!A1701,'Raw Orders'!$C$2:$C1701,"Product",'Raw Orders'!$K$2:$K1701,"Fulfilled")=1),1,0)</f>
        <v>0</v>
      </c>
      <c r="E1704" s="31" t="n">
        <f aca="false">IF(AND('Raw Orders'!C1701="Product",'Raw Orders'!K1701="Fulfilled"),'Raw Orders'!E1701,0)</f>
        <v>1</v>
      </c>
      <c r="F1704" s="32" t="n">
        <f aca="false">IF('Raw Orders'!K1701="Refunded",'Raw Orders'!G1701,0)</f>
        <v>0</v>
      </c>
    </row>
    <row r="1705" customFormat="false" ht="15" hidden="false" customHeight="false" outlineLevel="0" collapsed="false">
      <c r="A1705" s="36" t="n">
        <f aca="false">IF('Raw Orders'!B1702="","",IF(MID('Raw Orders'!B1702,5,1)="-",DATE(VALUE(LEFT('Raw Orders'!B1702,4)),VALUE(MID('Raw Orders'!B1702,6,2)),VALUE(MID('Raw Orders'!B1702,9,2))),DATE(VALUE(MID('Raw Orders'!B1702,7,4)),VALUE(MID('Raw Orders'!B1702,4,2)),VALUE(LEFT('Raw Orders'!B1702,2)))))</f>
        <v>46238</v>
      </c>
      <c r="B1705" s="36" t="n">
        <f aca="false">IF(A1705="","",A1705-WEEKDAY(A1705,3))</f>
        <v>46237</v>
      </c>
      <c r="C1705" s="32" t="n">
        <f aca="false">IF(OR('Raw Orders'!C1702&lt;&gt;"Product",'Raw Orders'!K1702="Cancelled"),0,'Raw Orders'!G1702)</f>
        <v>18.7</v>
      </c>
      <c r="D1705" s="31" t="n">
        <f aca="false">IF(AND('Raw Orders'!C1702="Product",'Raw Orders'!K1702="Fulfilled",COUNTIFS('Raw Orders'!$A$2:$A1702,'Raw Orders'!A1702,'Raw Orders'!$C$2:$C1702,"Product",'Raw Orders'!$K$2:$K1702,"Fulfilled")=1),1,0)</f>
        <v>1</v>
      </c>
      <c r="E1705" s="31" t="n">
        <f aca="false">IF(AND('Raw Orders'!C1702="Product",'Raw Orders'!K1702="Fulfilled"),'Raw Orders'!E1702,0)</f>
        <v>1</v>
      </c>
      <c r="F1705" s="32" t="n">
        <f aca="false">IF('Raw Orders'!K1702="Refunded",'Raw Orders'!G1702,0)</f>
        <v>0</v>
      </c>
    </row>
    <row r="1706" customFormat="false" ht="15" hidden="false" customHeight="false" outlineLevel="0" collapsed="false">
      <c r="A1706" s="36" t="n">
        <f aca="false">IF('Raw Orders'!B1703="","",IF(MID('Raw Orders'!B1703,5,1)="-",DATE(VALUE(LEFT('Raw Orders'!B1703,4)),VALUE(MID('Raw Orders'!B1703,6,2)),VALUE(MID('Raw Orders'!B1703,9,2))),DATE(VALUE(MID('Raw Orders'!B1703,7,4)),VALUE(MID('Raw Orders'!B1703,4,2)),VALUE(LEFT('Raw Orders'!B1703,2)))))</f>
        <v>46238</v>
      </c>
      <c r="B1706" s="36" t="n">
        <f aca="false">IF(A1706="","",A1706-WEEKDAY(A1706,3))</f>
        <v>46237</v>
      </c>
      <c r="C1706" s="32" t="n">
        <f aca="false">IF(OR('Raw Orders'!C1703&lt;&gt;"Product",'Raw Orders'!K1703="Cancelled"),0,'Raw Orders'!G1703)</f>
        <v>0</v>
      </c>
      <c r="D1706" s="31" t="n">
        <f aca="false">IF(AND('Raw Orders'!C1703="Product",'Raw Orders'!K1703="Fulfilled",COUNTIFS('Raw Orders'!$A$2:$A1703,'Raw Orders'!A1703,'Raw Orders'!$C$2:$C1703,"Product",'Raw Orders'!$K$2:$K1703,"Fulfilled")=1),1,0)</f>
        <v>0</v>
      </c>
      <c r="E1706" s="31" t="n">
        <f aca="false">IF(AND('Raw Orders'!C1703="Product",'Raw Orders'!K1703="Fulfilled"),'Raw Orders'!E1703,0)</f>
        <v>0</v>
      </c>
      <c r="F1706" s="32" t="n">
        <f aca="false">IF('Raw Orders'!K1703="Refunded",'Raw Orders'!G1703,0)</f>
        <v>0</v>
      </c>
    </row>
    <row r="1707" customFormat="false" ht="15" hidden="false" customHeight="false" outlineLevel="0" collapsed="false">
      <c r="A1707" s="36" t="n">
        <f aca="false">IF('Raw Orders'!B1704="","",IF(MID('Raw Orders'!B1704,5,1)="-",DATE(VALUE(LEFT('Raw Orders'!B1704,4)),VALUE(MID('Raw Orders'!B1704,6,2)),VALUE(MID('Raw Orders'!B1704,9,2))),DATE(VALUE(MID('Raw Orders'!B1704,7,4)),VALUE(MID('Raw Orders'!B1704,4,2)),VALUE(LEFT('Raw Orders'!B1704,2)))))</f>
        <v>46238</v>
      </c>
      <c r="B1707" s="36" t="n">
        <f aca="false">IF(A1707="","",A1707-WEEKDAY(A1707,3))</f>
        <v>46237</v>
      </c>
      <c r="C1707" s="32" t="n">
        <f aca="false">IF(OR('Raw Orders'!C1704&lt;&gt;"Product",'Raw Orders'!K1704="Cancelled"),0,'Raw Orders'!G1704)</f>
        <v>0</v>
      </c>
      <c r="D1707" s="31" t="n">
        <f aca="false">IF(AND('Raw Orders'!C1704="Product",'Raw Orders'!K1704="Fulfilled",COUNTIFS('Raw Orders'!$A$2:$A1704,'Raw Orders'!A1704,'Raw Orders'!$C$2:$C1704,"Product",'Raw Orders'!$K$2:$K1704,"Fulfilled")=1),1,0)</f>
        <v>0</v>
      </c>
      <c r="E1707" s="31" t="n">
        <f aca="false">IF(AND('Raw Orders'!C1704="Product",'Raw Orders'!K1704="Fulfilled"),'Raw Orders'!E1704,0)</f>
        <v>0</v>
      </c>
      <c r="F1707" s="32" t="n">
        <f aca="false">IF('Raw Orders'!K1704="Refunded",'Raw Orders'!G1704,0)</f>
        <v>0</v>
      </c>
    </row>
    <row r="1708" customFormat="false" ht="15" hidden="false" customHeight="false" outlineLevel="0" collapsed="false">
      <c r="A1708" s="36" t="n">
        <f aca="false">IF('Raw Orders'!B1705="","",IF(MID('Raw Orders'!B1705,5,1)="-",DATE(VALUE(LEFT('Raw Orders'!B1705,4)),VALUE(MID('Raw Orders'!B1705,6,2)),VALUE(MID('Raw Orders'!B1705,9,2))),DATE(VALUE(MID('Raw Orders'!B1705,7,4)),VALUE(MID('Raw Orders'!B1705,4,2)),VALUE(LEFT('Raw Orders'!B1705,2)))))</f>
        <v>46238</v>
      </c>
      <c r="B1708" s="36" t="n">
        <f aca="false">IF(A1708="","",A1708-WEEKDAY(A1708,3))</f>
        <v>46237</v>
      </c>
      <c r="C1708" s="32" t="n">
        <f aca="false">IF(OR('Raw Orders'!C1705&lt;&gt;"Product",'Raw Orders'!K1705="Cancelled"),0,'Raw Orders'!G1705)</f>
        <v>89</v>
      </c>
      <c r="D1708" s="31" t="n">
        <f aca="false">IF(AND('Raw Orders'!C1705="Product",'Raw Orders'!K1705="Fulfilled",COUNTIFS('Raw Orders'!$A$2:$A1705,'Raw Orders'!A1705,'Raw Orders'!$C$2:$C1705,"Product",'Raw Orders'!$K$2:$K1705,"Fulfilled")=1),1,0)</f>
        <v>0</v>
      </c>
      <c r="E1708" s="31" t="n">
        <f aca="false">IF(AND('Raw Orders'!C1705="Product",'Raw Orders'!K1705="Fulfilled"),'Raw Orders'!E1705,0)</f>
        <v>1</v>
      </c>
      <c r="F1708" s="32" t="n">
        <f aca="false">IF('Raw Orders'!K1705="Refunded",'Raw Orders'!G1705,0)</f>
        <v>0</v>
      </c>
    </row>
    <row r="1709" customFormat="false" ht="15" hidden="false" customHeight="false" outlineLevel="0" collapsed="false">
      <c r="A1709" s="36" t="n">
        <f aca="false">IF('Raw Orders'!B1706="","",IF(MID('Raw Orders'!B1706,5,1)="-",DATE(VALUE(LEFT('Raw Orders'!B1706,4)),VALUE(MID('Raw Orders'!B1706,6,2)),VALUE(MID('Raw Orders'!B1706,9,2))),DATE(VALUE(MID('Raw Orders'!B1706,7,4)),VALUE(MID('Raw Orders'!B1706,4,2)),VALUE(LEFT('Raw Orders'!B1706,2)))))</f>
        <v>46238</v>
      </c>
      <c r="B1709" s="36" t="n">
        <f aca="false">IF(A1709="","",A1709-WEEKDAY(A1709,3))</f>
        <v>46237</v>
      </c>
      <c r="C1709" s="32" t="n">
        <f aca="false">IF(OR('Raw Orders'!C1706&lt;&gt;"Product",'Raw Orders'!K1706="Cancelled"),0,'Raw Orders'!G1706)</f>
        <v>69</v>
      </c>
      <c r="D1709" s="31" t="n">
        <f aca="false">IF(AND('Raw Orders'!C1706="Product",'Raw Orders'!K1706="Fulfilled",COUNTIFS('Raw Orders'!$A$2:$A1706,'Raw Orders'!A1706,'Raw Orders'!$C$2:$C1706,"Product",'Raw Orders'!$K$2:$K1706,"Fulfilled")=1),1,0)</f>
        <v>1</v>
      </c>
      <c r="E1709" s="31" t="n">
        <f aca="false">IF(AND('Raw Orders'!C1706="Product",'Raw Orders'!K1706="Fulfilled"),'Raw Orders'!E1706,0)</f>
        <v>1</v>
      </c>
      <c r="F1709" s="32" t="n">
        <f aca="false">IF('Raw Orders'!K1706="Refunded",'Raw Orders'!G1706,0)</f>
        <v>0</v>
      </c>
    </row>
    <row r="1710" customFormat="false" ht="15" hidden="false" customHeight="false" outlineLevel="0" collapsed="false">
      <c r="A1710" s="36" t="n">
        <f aca="false">IF('Raw Orders'!B1707="","",IF(MID('Raw Orders'!B1707,5,1)="-",DATE(VALUE(LEFT('Raw Orders'!B1707,4)),VALUE(MID('Raw Orders'!B1707,6,2)),VALUE(MID('Raw Orders'!B1707,9,2))),DATE(VALUE(MID('Raw Orders'!B1707,7,4)),VALUE(MID('Raw Orders'!B1707,4,2)),VALUE(LEFT('Raw Orders'!B1707,2)))))</f>
        <v>46238</v>
      </c>
      <c r="B1710" s="36" t="n">
        <f aca="false">IF(A1710="","",A1710-WEEKDAY(A1710,3))</f>
        <v>46237</v>
      </c>
      <c r="C1710" s="32" t="n">
        <f aca="false">IF(OR('Raw Orders'!C1707&lt;&gt;"Product",'Raw Orders'!K1707="Cancelled"),0,'Raw Orders'!G1707)</f>
        <v>0</v>
      </c>
      <c r="D1710" s="31" t="n">
        <f aca="false">IF(AND('Raw Orders'!C1707="Product",'Raw Orders'!K1707="Fulfilled",COUNTIFS('Raw Orders'!$A$2:$A1707,'Raw Orders'!A1707,'Raw Orders'!$C$2:$C1707,"Product",'Raw Orders'!$K$2:$K1707,"Fulfilled")=1),1,0)</f>
        <v>0</v>
      </c>
      <c r="E1710" s="31" t="n">
        <f aca="false">IF(AND('Raw Orders'!C1707="Product",'Raw Orders'!K1707="Fulfilled"),'Raw Orders'!E1707,0)</f>
        <v>0</v>
      </c>
      <c r="F1710" s="32" t="n">
        <f aca="false">IF('Raw Orders'!K1707="Refunded",'Raw Orders'!G1707,0)</f>
        <v>0</v>
      </c>
    </row>
    <row r="1711" customFormat="false" ht="15" hidden="false" customHeight="false" outlineLevel="0" collapsed="false">
      <c r="A1711" s="36" t="n">
        <f aca="false">IF('Raw Orders'!B1708="","",IF(MID('Raw Orders'!B1708,5,1)="-",DATE(VALUE(LEFT('Raw Orders'!B1708,4)),VALUE(MID('Raw Orders'!B1708,6,2)),VALUE(MID('Raw Orders'!B1708,9,2))),DATE(VALUE(MID('Raw Orders'!B1708,7,4)),VALUE(MID('Raw Orders'!B1708,4,2)),VALUE(LEFT('Raw Orders'!B1708,2)))))</f>
        <v>46238</v>
      </c>
      <c r="B1711" s="36" t="n">
        <f aca="false">IF(A1711="","",A1711-WEEKDAY(A1711,3))</f>
        <v>46237</v>
      </c>
      <c r="C1711" s="32" t="n">
        <f aca="false">IF(OR('Raw Orders'!C1708&lt;&gt;"Product",'Raw Orders'!K1708="Cancelled"),0,'Raw Orders'!G1708)</f>
        <v>0</v>
      </c>
      <c r="D1711" s="31" t="n">
        <f aca="false">IF(AND('Raw Orders'!C1708="Product",'Raw Orders'!K1708="Fulfilled",COUNTIFS('Raw Orders'!$A$2:$A1708,'Raw Orders'!A1708,'Raw Orders'!$C$2:$C1708,"Product",'Raw Orders'!$K$2:$K1708,"Fulfilled")=1),1,0)</f>
        <v>0</v>
      </c>
      <c r="E1711" s="31" t="n">
        <f aca="false">IF(AND('Raw Orders'!C1708="Product",'Raw Orders'!K1708="Fulfilled"),'Raw Orders'!E1708,0)</f>
        <v>0</v>
      </c>
      <c r="F1711" s="32" t="n">
        <f aca="false">IF('Raw Orders'!K1708="Refunded",'Raw Orders'!G1708,0)</f>
        <v>0</v>
      </c>
    </row>
    <row r="1712" customFormat="false" ht="15" hidden="false" customHeight="false" outlineLevel="0" collapsed="false">
      <c r="A1712" s="36" t="n">
        <f aca="false">IF('Raw Orders'!B1709="","",IF(MID('Raw Orders'!B1709,5,1)="-",DATE(VALUE(LEFT('Raw Orders'!B1709,4)),VALUE(MID('Raw Orders'!B1709,6,2)),VALUE(MID('Raw Orders'!B1709,9,2))),DATE(VALUE(MID('Raw Orders'!B1709,7,4)),VALUE(MID('Raw Orders'!B1709,4,2)),VALUE(LEFT('Raw Orders'!B1709,2)))))</f>
        <v>46238</v>
      </c>
      <c r="B1712" s="36" t="n">
        <f aca="false">IF(A1712="","",A1712-WEEKDAY(A1712,3))</f>
        <v>46237</v>
      </c>
      <c r="C1712" s="32" t="n">
        <f aca="false">IF(OR('Raw Orders'!C1709&lt;&gt;"Product",'Raw Orders'!K1709="Cancelled"),0,'Raw Orders'!G1709)</f>
        <v>26</v>
      </c>
      <c r="D1712" s="31" t="n">
        <f aca="false">IF(AND('Raw Orders'!C1709="Product",'Raw Orders'!K1709="Fulfilled",COUNTIFS('Raw Orders'!$A$2:$A1709,'Raw Orders'!A1709,'Raw Orders'!$C$2:$C1709,"Product",'Raw Orders'!$K$2:$K1709,"Fulfilled")=1),1,0)</f>
        <v>1</v>
      </c>
      <c r="E1712" s="31" t="n">
        <f aca="false">IF(AND('Raw Orders'!C1709="Product",'Raw Orders'!K1709="Fulfilled"),'Raw Orders'!E1709,0)</f>
        <v>1</v>
      </c>
      <c r="F1712" s="32" t="n">
        <f aca="false">IF('Raw Orders'!K1709="Refunded",'Raw Orders'!G1709,0)</f>
        <v>0</v>
      </c>
    </row>
    <row r="1713" customFormat="false" ht="15" hidden="false" customHeight="false" outlineLevel="0" collapsed="false">
      <c r="A1713" s="36" t="n">
        <f aca="false">IF('Raw Orders'!B1710="","",IF(MID('Raw Orders'!B1710,5,1)="-",DATE(VALUE(LEFT('Raw Orders'!B1710,4)),VALUE(MID('Raw Orders'!B1710,6,2)),VALUE(MID('Raw Orders'!B1710,9,2))),DATE(VALUE(MID('Raw Orders'!B1710,7,4)),VALUE(MID('Raw Orders'!B1710,4,2)),VALUE(LEFT('Raw Orders'!B1710,2)))))</f>
        <v>46238</v>
      </c>
      <c r="B1713" s="36" t="n">
        <f aca="false">IF(A1713="","",A1713-WEEKDAY(A1713,3))</f>
        <v>46237</v>
      </c>
      <c r="C1713" s="32" t="n">
        <f aca="false">IF(OR('Raw Orders'!C1710&lt;&gt;"Product",'Raw Orders'!K1710="Cancelled"),0,'Raw Orders'!G1710)</f>
        <v>70</v>
      </c>
      <c r="D1713" s="31" t="n">
        <f aca="false">IF(AND('Raw Orders'!C1710="Product",'Raw Orders'!K1710="Fulfilled",COUNTIFS('Raw Orders'!$A$2:$A1710,'Raw Orders'!A1710,'Raw Orders'!$C$2:$C1710,"Product",'Raw Orders'!$K$2:$K1710,"Fulfilled")=1),1,0)</f>
        <v>1</v>
      </c>
      <c r="E1713" s="31" t="n">
        <f aca="false">IF(AND('Raw Orders'!C1710="Product",'Raw Orders'!K1710="Fulfilled"),'Raw Orders'!E1710,0)</f>
        <v>2</v>
      </c>
      <c r="F1713" s="32" t="n">
        <f aca="false">IF('Raw Orders'!K1710="Refunded",'Raw Orders'!G1710,0)</f>
        <v>0</v>
      </c>
    </row>
    <row r="1714" customFormat="false" ht="15" hidden="false" customHeight="false" outlineLevel="0" collapsed="false">
      <c r="A1714" s="36" t="n">
        <f aca="false">IF('Raw Orders'!B1711="","",IF(MID('Raw Orders'!B1711,5,1)="-",DATE(VALUE(LEFT('Raw Orders'!B1711,4)),VALUE(MID('Raw Orders'!B1711,6,2)),VALUE(MID('Raw Orders'!B1711,9,2))),DATE(VALUE(MID('Raw Orders'!B1711,7,4)),VALUE(MID('Raw Orders'!B1711,4,2)),VALUE(LEFT('Raw Orders'!B1711,2)))))</f>
        <v>46238</v>
      </c>
      <c r="B1714" s="36" t="n">
        <f aca="false">IF(A1714="","",A1714-WEEKDAY(A1714,3))</f>
        <v>46237</v>
      </c>
      <c r="C1714" s="32" t="n">
        <f aca="false">IF(OR('Raw Orders'!C1711&lt;&gt;"Product",'Raw Orders'!K1711="Cancelled"),0,'Raw Orders'!G1711)</f>
        <v>44</v>
      </c>
      <c r="D1714" s="31" t="n">
        <f aca="false">IF(AND('Raw Orders'!C1711="Product",'Raw Orders'!K1711="Fulfilled",COUNTIFS('Raw Orders'!$A$2:$A1711,'Raw Orders'!A1711,'Raw Orders'!$C$2:$C1711,"Product",'Raw Orders'!$K$2:$K1711,"Fulfilled")=1),1,0)</f>
        <v>1</v>
      </c>
      <c r="E1714" s="31" t="n">
        <f aca="false">IF(AND('Raw Orders'!C1711="Product",'Raw Orders'!K1711="Fulfilled"),'Raw Orders'!E1711,0)</f>
        <v>2</v>
      </c>
      <c r="F1714" s="32" t="n">
        <f aca="false">IF('Raw Orders'!K1711="Refunded",'Raw Orders'!G1711,0)</f>
        <v>0</v>
      </c>
    </row>
    <row r="1715" customFormat="false" ht="15" hidden="false" customHeight="false" outlineLevel="0" collapsed="false">
      <c r="A1715" s="36" t="n">
        <f aca="false">IF('Raw Orders'!B1712="","",IF(MID('Raw Orders'!B1712,5,1)="-",DATE(VALUE(LEFT('Raw Orders'!B1712,4)),VALUE(MID('Raw Orders'!B1712,6,2)),VALUE(MID('Raw Orders'!B1712,9,2))),DATE(VALUE(MID('Raw Orders'!B1712,7,4)),VALUE(MID('Raw Orders'!B1712,4,2)),VALUE(LEFT('Raw Orders'!B1712,2)))))</f>
        <v>46238</v>
      </c>
      <c r="B1715" s="36" t="n">
        <f aca="false">IF(A1715="","",A1715-WEEKDAY(A1715,3))</f>
        <v>46237</v>
      </c>
      <c r="C1715" s="32" t="n">
        <f aca="false">IF(OR('Raw Orders'!C1712&lt;&gt;"Product",'Raw Orders'!K1712="Cancelled"),0,'Raw Orders'!G1712)</f>
        <v>69</v>
      </c>
      <c r="D1715" s="31" t="n">
        <f aca="false">IF(AND('Raw Orders'!C1712="Product",'Raw Orders'!K1712="Fulfilled",COUNTIFS('Raw Orders'!$A$2:$A1712,'Raw Orders'!A1712,'Raw Orders'!$C$2:$C1712,"Product",'Raw Orders'!$K$2:$K1712,"Fulfilled")=1),1,0)</f>
        <v>0</v>
      </c>
      <c r="E1715" s="31" t="n">
        <f aca="false">IF(AND('Raw Orders'!C1712="Product",'Raw Orders'!K1712="Fulfilled"),'Raw Orders'!E1712,0)</f>
        <v>1</v>
      </c>
      <c r="F1715" s="32" t="n">
        <f aca="false">IF('Raw Orders'!K1712="Refunded",'Raw Orders'!G1712,0)</f>
        <v>0</v>
      </c>
    </row>
    <row r="1716" customFormat="false" ht="15" hidden="false" customHeight="false" outlineLevel="0" collapsed="false">
      <c r="A1716" s="36" t="n">
        <f aca="false">IF('Raw Orders'!B1713="","",IF(MID('Raw Orders'!B1713,5,1)="-",DATE(VALUE(LEFT('Raw Orders'!B1713,4)),VALUE(MID('Raw Orders'!B1713,6,2)),VALUE(MID('Raw Orders'!B1713,9,2))),DATE(VALUE(MID('Raw Orders'!B1713,7,4)),VALUE(MID('Raw Orders'!B1713,4,2)),VALUE(LEFT('Raw Orders'!B1713,2)))))</f>
        <v>46238</v>
      </c>
      <c r="B1716" s="36" t="n">
        <f aca="false">IF(A1716="","",A1716-WEEKDAY(A1716,3))</f>
        <v>46237</v>
      </c>
      <c r="C1716" s="32" t="n">
        <f aca="false">IF(OR('Raw Orders'!C1713&lt;&gt;"Product",'Raw Orders'!K1713="Cancelled"),0,'Raw Orders'!G1713)</f>
        <v>0</v>
      </c>
      <c r="D1716" s="31" t="n">
        <f aca="false">IF(AND('Raw Orders'!C1713="Product",'Raw Orders'!K1713="Fulfilled",COUNTIFS('Raw Orders'!$A$2:$A1713,'Raw Orders'!A1713,'Raw Orders'!$C$2:$C1713,"Product",'Raw Orders'!$K$2:$K1713,"Fulfilled")=1),1,0)</f>
        <v>0</v>
      </c>
      <c r="E1716" s="31" t="n">
        <f aca="false">IF(AND('Raw Orders'!C1713="Product",'Raw Orders'!K1713="Fulfilled"),'Raw Orders'!E1713,0)</f>
        <v>0</v>
      </c>
      <c r="F1716" s="32" t="n">
        <f aca="false">IF('Raw Orders'!K1713="Refunded",'Raw Orders'!G1713,0)</f>
        <v>0</v>
      </c>
    </row>
    <row r="1717" customFormat="false" ht="15" hidden="false" customHeight="false" outlineLevel="0" collapsed="false">
      <c r="A1717" s="36" t="n">
        <f aca="false">IF('Raw Orders'!B1714="","",IF(MID('Raw Orders'!B1714,5,1)="-",DATE(VALUE(LEFT('Raw Orders'!B1714,4)),VALUE(MID('Raw Orders'!B1714,6,2)),VALUE(MID('Raw Orders'!B1714,9,2))),DATE(VALUE(MID('Raw Orders'!B1714,7,4)),VALUE(MID('Raw Orders'!B1714,4,2)),VALUE(LEFT('Raw Orders'!B1714,2)))))</f>
        <v>46238</v>
      </c>
      <c r="B1717" s="36" t="n">
        <f aca="false">IF(A1717="","",A1717-WEEKDAY(A1717,3))</f>
        <v>46237</v>
      </c>
      <c r="C1717" s="32" t="n">
        <f aca="false">IF(OR('Raw Orders'!C1714&lt;&gt;"Product",'Raw Orders'!K1714="Cancelled"),0,'Raw Orders'!G1714)</f>
        <v>0</v>
      </c>
      <c r="D1717" s="31" t="n">
        <f aca="false">IF(AND('Raw Orders'!C1714="Product",'Raw Orders'!K1714="Fulfilled",COUNTIFS('Raw Orders'!$A$2:$A1714,'Raw Orders'!A1714,'Raw Orders'!$C$2:$C1714,"Product",'Raw Orders'!$K$2:$K1714,"Fulfilled")=1),1,0)</f>
        <v>0</v>
      </c>
      <c r="E1717" s="31" t="n">
        <f aca="false">IF(AND('Raw Orders'!C1714="Product",'Raw Orders'!K1714="Fulfilled"),'Raw Orders'!E1714,0)</f>
        <v>0</v>
      </c>
      <c r="F1717" s="32" t="n">
        <f aca="false">IF('Raw Orders'!K1714="Refunded",'Raw Orders'!G1714,0)</f>
        <v>0</v>
      </c>
    </row>
    <row r="1718" customFormat="false" ht="15" hidden="false" customHeight="false" outlineLevel="0" collapsed="false">
      <c r="A1718" s="36" t="n">
        <f aca="false">IF('Raw Orders'!B1715="","",IF(MID('Raw Orders'!B1715,5,1)="-",DATE(VALUE(LEFT('Raw Orders'!B1715,4)),VALUE(MID('Raw Orders'!B1715,6,2)),VALUE(MID('Raw Orders'!B1715,9,2))),DATE(VALUE(MID('Raw Orders'!B1715,7,4)),VALUE(MID('Raw Orders'!B1715,4,2)),VALUE(LEFT('Raw Orders'!B1715,2)))))</f>
        <v>46238</v>
      </c>
      <c r="B1718" s="36" t="n">
        <f aca="false">IF(A1718="","",A1718-WEEKDAY(A1718,3))</f>
        <v>46237</v>
      </c>
      <c r="C1718" s="32" t="n">
        <f aca="false">IF(OR('Raw Orders'!C1715&lt;&gt;"Product",'Raw Orders'!K1715="Cancelled"),0,'Raw Orders'!G1715)</f>
        <v>69</v>
      </c>
      <c r="D1718" s="31" t="n">
        <f aca="false">IF(AND('Raw Orders'!C1715="Product",'Raw Orders'!K1715="Fulfilled",COUNTIFS('Raw Orders'!$A$2:$A1715,'Raw Orders'!A1715,'Raw Orders'!$C$2:$C1715,"Product",'Raw Orders'!$K$2:$K1715,"Fulfilled")=1),1,0)</f>
        <v>1</v>
      </c>
      <c r="E1718" s="31" t="n">
        <f aca="false">IF(AND('Raw Orders'!C1715="Product",'Raw Orders'!K1715="Fulfilled"),'Raw Orders'!E1715,0)</f>
        <v>1</v>
      </c>
      <c r="F1718" s="32" t="n">
        <f aca="false">IF('Raw Orders'!K1715="Refunded",'Raw Orders'!G1715,0)</f>
        <v>0</v>
      </c>
    </row>
    <row r="1719" customFormat="false" ht="15" hidden="false" customHeight="false" outlineLevel="0" collapsed="false">
      <c r="A1719" s="36" t="n">
        <f aca="false">IF('Raw Orders'!B1716="","",IF(MID('Raw Orders'!B1716,5,1)="-",DATE(VALUE(LEFT('Raw Orders'!B1716,4)),VALUE(MID('Raw Orders'!B1716,6,2)),VALUE(MID('Raw Orders'!B1716,9,2))),DATE(VALUE(MID('Raw Orders'!B1716,7,4)),VALUE(MID('Raw Orders'!B1716,4,2)),VALUE(LEFT('Raw Orders'!B1716,2)))))</f>
        <v>46238</v>
      </c>
      <c r="B1719" s="36" t="n">
        <f aca="false">IF(A1719="","",A1719-WEEKDAY(A1719,3))</f>
        <v>46237</v>
      </c>
      <c r="C1719" s="32" t="n">
        <f aca="false">IF(OR('Raw Orders'!C1716&lt;&gt;"Product",'Raw Orders'!K1716="Cancelled"),0,'Raw Orders'!G1716)</f>
        <v>138</v>
      </c>
      <c r="D1719" s="31" t="n">
        <f aca="false">IF(AND('Raw Orders'!C1716="Product",'Raw Orders'!K1716="Fulfilled",COUNTIFS('Raw Orders'!$A$2:$A1716,'Raw Orders'!A1716,'Raw Orders'!$C$2:$C1716,"Product",'Raw Orders'!$K$2:$K1716,"Fulfilled")=1),1,0)</f>
        <v>1</v>
      </c>
      <c r="E1719" s="31" t="n">
        <f aca="false">IF(AND('Raw Orders'!C1716="Product",'Raw Orders'!K1716="Fulfilled"),'Raw Orders'!E1716,0)</f>
        <v>2</v>
      </c>
      <c r="F1719" s="32" t="n">
        <f aca="false">IF('Raw Orders'!K1716="Refunded",'Raw Orders'!G1716,0)</f>
        <v>0</v>
      </c>
    </row>
    <row r="1720" customFormat="false" ht="15" hidden="false" customHeight="false" outlineLevel="0" collapsed="false">
      <c r="A1720" s="36" t="n">
        <f aca="false">IF('Raw Orders'!B1717="","",IF(MID('Raw Orders'!B1717,5,1)="-",DATE(VALUE(LEFT('Raw Orders'!B1717,4)),VALUE(MID('Raw Orders'!B1717,6,2)),VALUE(MID('Raw Orders'!B1717,9,2))),DATE(VALUE(MID('Raw Orders'!B1717,7,4)),VALUE(MID('Raw Orders'!B1717,4,2)),VALUE(LEFT('Raw Orders'!B1717,2)))))</f>
        <v>46238</v>
      </c>
      <c r="B1720" s="36" t="n">
        <f aca="false">IF(A1720="","",A1720-WEEKDAY(A1720,3))</f>
        <v>46237</v>
      </c>
      <c r="C1720" s="32" t="n">
        <f aca="false">IF(OR('Raw Orders'!C1717&lt;&gt;"Product",'Raw Orders'!K1717="Cancelled"),0,'Raw Orders'!G1717)</f>
        <v>0</v>
      </c>
      <c r="D1720" s="31" t="n">
        <f aca="false">IF(AND('Raw Orders'!C1717="Product",'Raw Orders'!K1717="Fulfilled",COUNTIFS('Raw Orders'!$A$2:$A1717,'Raw Orders'!A1717,'Raw Orders'!$C$2:$C1717,"Product",'Raw Orders'!$K$2:$K1717,"Fulfilled")=1),1,0)</f>
        <v>0</v>
      </c>
      <c r="E1720" s="31" t="n">
        <f aca="false">IF(AND('Raw Orders'!C1717="Product",'Raw Orders'!K1717="Fulfilled"),'Raw Orders'!E1717,0)</f>
        <v>0</v>
      </c>
      <c r="F1720" s="32" t="n">
        <f aca="false">IF('Raw Orders'!K1717="Refunded",'Raw Orders'!G1717,0)</f>
        <v>0</v>
      </c>
    </row>
    <row r="1721" customFormat="false" ht="15" hidden="false" customHeight="false" outlineLevel="0" collapsed="false">
      <c r="A1721" s="36" t="n">
        <f aca="false">IF('Raw Orders'!B1718="","",IF(MID('Raw Orders'!B1718,5,1)="-",DATE(VALUE(LEFT('Raw Orders'!B1718,4)),VALUE(MID('Raw Orders'!B1718,6,2)),VALUE(MID('Raw Orders'!B1718,9,2))),DATE(VALUE(MID('Raw Orders'!B1718,7,4)),VALUE(MID('Raw Orders'!B1718,4,2)),VALUE(LEFT('Raw Orders'!B1718,2)))))</f>
        <v>46238</v>
      </c>
      <c r="B1721" s="36" t="n">
        <f aca="false">IF(A1721="","",A1721-WEEKDAY(A1721,3))</f>
        <v>46237</v>
      </c>
      <c r="C1721" s="32" t="n">
        <f aca="false">IF(OR('Raw Orders'!C1718&lt;&gt;"Product",'Raw Orders'!K1718="Cancelled"),0,'Raw Orders'!G1718)</f>
        <v>26</v>
      </c>
      <c r="D1721" s="31" t="n">
        <f aca="false">IF(AND('Raw Orders'!C1718="Product",'Raw Orders'!K1718="Fulfilled",COUNTIFS('Raw Orders'!$A$2:$A1718,'Raw Orders'!A1718,'Raw Orders'!$C$2:$C1718,"Product",'Raw Orders'!$K$2:$K1718,"Fulfilled")=1),1,0)</f>
        <v>0</v>
      </c>
      <c r="E1721" s="31" t="n">
        <f aca="false">IF(AND('Raw Orders'!C1718="Product",'Raw Orders'!K1718="Fulfilled"),'Raw Orders'!E1718,0)</f>
        <v>1</v>
      </c>
      <c r="F1721" s="32" t="n">
        <f aca="false">IF('Raw Orders'!K1718="Refunded",'Raw Orders'!G1718,0)</f>
        <v>0</v>
      </c>
    </row>
    <row r="1722" customFormat="false" ht="15" hidden="false" customHeight="false" outlineLevel="0" collapsed="false">
      <c r="A1722" s="36" t="n">
        <f aca="false">IF('Raw Orders'!B1719="","",IF(MID('Raw Orders'!B1719,5,1)="-",DATE(VALUE(LEFT('Raw Orders'!B1719,4)),VALUE(MID('Raw Orders'!B1719,6,2)),VALUE(MID('Raw Orders'!B1719,9,2))),DATE(VALUE(MID('Raw Orders'!B1719,7,4)),VALUE(MID('Raw Orders'!B1719,4,2)),VALUE(LEFT('Raw Orders'!B1719,2)))))</f>
        <v>46238</v>
      </c>
      <c r="B1722" s="36" t="n">
        <f aca="false">IF(A1722="","",A1722-WEEKDAY(A1722,3))</f>
        <v>46237</v>
      </c>
      <c r="C1722" s="32" t="n">
        <f aca="false">IF(OR('Raw Orders'!C1719&lt;&gt;"Product",'Raw Orders'!K1719="Cancelled"),0,'Raw Orders'!G1719)</f>
        <v>39</v>
      </c>
      <c r="D1722" s="31" t="n">
        <f aca="false">IF(AND('Raw Orders'!C1719="Product",'Raw Orders'!K1719="Fulfilled",COUNTIFS('Raw Orders'!$A$2:$A1719,'Raw Orders'!A1719,'Raw Orders'!$C$2:$C1719,"Product",'Raw Orders'!$K$2:$K1719,"Fulfilled")=1),1,0)</f>
        <v>1</v>
      </c>
      <c r="E1722" s="31" t="n">
        <f aca="false">IF(AND('Raw Orders'!C1719="Product",'Raw Orders'!K1719="Fulfilled"),'Raw Orders'!E1719,0)</f>
        <v>1</v>
      </c>
      <c r="F1722" s="32" t="n">
        <f aca="false">IF('Raw Orders'!K1719="Refunded",'Raw Orders'!G1719,0)</f>
        <v>0</v>
      </c>
    </row>
    <row r="1723" customFormat="false" ht="15" hidden="false" customHeight="false" outlineLevel="0" collapsed="false">
      <c r="A1723" s="36" t="n">
        <f aca="false">IF('Raw Orders'!B1720="","",IF(MID('Raw Orders'!B1720,5,1)="-",DATE(VALUE(LEFT('Raw Orders'!B1720,4)),VALUE(MID('Raw Orders'!B1720,6,2)),VALUE(MID('Raw Orders'!B1720,9,2))),DATE(VALUE(MID('Raw Orders'!B1720,7,4)),VALUE(MID('Raw Orders'!B1720,4,2)),VALUE(LEFT('Raw Orders'!B1720,2)))))</f>
        <v>46238</v>
      </c>
      <c r="B1723" s="36" t="n">
        <f aca="false">IF(A1723="","",A1723-WEEKDAY(A1723,3))</f>
        <v>46237</v>
      </c>
      <c r="C1723" s="32" t="n">
        <f aca="false">IF(OR('Raw Orders'!C1720&lt;&gt;"Product",'Raw Orders'!K1720="Cancelled"),0,'Raw Orders'!G1720)</f>
        <v>138</v>
      </c>
      <c r="D1723" s="31" t="n">
        <f aca="false">IF(AND('Raw Orders'!C1720="Product",'Raw Orders'!K1720="Fulfilled",COUNTIFS('Raw Orders'!$A$2:$A1720,'Raw Orders'!A1720,'Raw Orders'!$C$2:$C1720,"Product",'Raw Orders'!$K$2:$K1720,"Fulfilled")=1),1,0)</f>
        <v>1</v>
      </c>
      <c r="E1723" s="31" t="n">
        <f aca="false">IF(AND('Raw Orders'!C1720="Product",'Raw Orders'!K1720="Fulfilled"),'Raw Orders'!E1720,0)</f>
        <v>2</v>
      </c>
      <c r="F1723" s="32" t="n">
        <f aca="false">IF('Raw Orders'!K1720="Refunded",'Raw Orders'!G1720,0)</f>
        <v>0</v>
      </c>
    </row>
    <row r="1724" customFormat="false" ht="15" hidden="false" customHeight="false" outlineLevel="0" collapsed="false">
      <c r="A1724" s="36" t="n">
        <f aca="false">IF('Raw Orders'!B1721="","",IF(MID('Raw Orders'!B1721,5,1)="-",DATE(VALUE(LEFT('Raw Orders'!B1721,4)),VALUE(MID('Raw Orders'!B1721,6,2)),VALUE(MID('Raw Orders'!B1721,9,2))),DATE(VALUE(MID('Raw Orders'!B1721,7,4)),VALUE(MID('Raw Orders'!B1721,4,2)),VALUE(LEFT('Raw Orders'!B1721,2)))))</f>
        <v>46238</v>
      </c>
      <c r="B1724" s="36" t="n">
        <f aca="false">IF(A1724="","",A1724-WEEKDAY(A1724,3))</f>
        <v>46237</v>
      </c>
      <c r="C1724" s="32" t="n">
        <f aca="false">IF(OR('Raw Orders'!C1721&lt;&gt;"Product",'Raw Orders'!K1721="Cancelled"),0,'Raw Orders'!G1721)</f>
        <v>0</v>
      </c>
      <c r="D1724" s="31" t="n">
        <f aca="false">IF(AND('Raw Orders'!C1721="Product",'Raw Orders'!K1721="Fulfilled",COUNTIFS('Raw Orders'!$A$2:$A1721,'Raw Orders'!A1721,'Raw Orders'!$C$2:$C1721,"Product",'Raw Orders'!$K$2:$K1721,"Fulfilled")=1),1,0)</f>
        <v>0</v>
      </c>
      <c r="E1724" s="31" t="n">
        <f aca="false">IF(AND('Raw Orders'!C1721="Product",'Raw Orders'!K1721="Fulfilled"),'Raw Orders'!E1721,0)</f>
        <v>0</v>
      </c>
      <c r="F1724" s="32" t="n">
        <f aca="false">IF('Raw Orders'!K1721="Refunded",'Raw Orders'!G1721,0)</f>
        <v>0</v>
      </c>
    </row>
    <row r="1725" customFormat="false" ht="15" hidden="false" customHeight="false" outlineLevel="0" collapsed="false">
      <c r="A1725" s="36" t="n">
        <f aca="false">IF('Raw Orders'!B1722="","",IF(MID('Raw Orders'!B1722,5,1)="-",DATE(VALUE(LEFT('Raw Orders'!B1722,4)),VALUE(MID('Raw Orders'!B1722,6,2)),VALUE(MID('Raw Orders'!B1722,9,2))),DATE(VALUE(MID('Raw Orders'!B1722,7,4)),VALUE(MID('Raw Orders'!B1722,4,2)),VALUE(LEFT('Raw Orders'!B1722,2)))))</f>
        <v>46238</v>
      </c>
      <c r="B1725" s="36" t="n">
        <f aca="false">IF(A1725="","",A1725-WEEKDAY(A1725,3))</f>
        <v>46237</v>
      </c>
      <c r="C1725" s="32" t="n">
        <f aca="false">IF(OR('Raw Orders'!C1722&lt;&gt;"Product",'Raw Orders'!K1722="Cancelled"),0,'Raw Orders'!G1722)</f>
        <v>0</v>
      </c>
      <c r="D1725" s="31" t="n">
        <f aca="false">IF(AND('Raw Orders'!C1722="Product",'Raw Orders'!K1722="Fulfilled",COUNTIFS('Raw Orders'!$A$2:$A1722,'Raw Orders'!A1722,'Raw Orders'!$C$2:$C1722,"Product",'Raw Orders'!$K$2:$K1722,"Fulfilled")=1),1,0)</f>
        <v>0</v>
      </c>
      <c r="E1725" s="31" t="n">
        <f aca="false">IF(AND('Raw Orders'!C1722="Product",'Raw Orders'!K1722="Fulfilled"),'Raw Orders'!E1722,0)</f>
        <v>0</v>
      </c>
      <c r="F1725" s="32" t="n">
        <f aca="false">IF('Raw Orders'!K1722="Refunded",'Raw Orders'!G1722,0)</f>
        <v>0</v>
      </c>
    </row>
    <row r="1726" customFormat="false" ht="15" hidden="false" customHeight="false" outlineLevel="0" collapsed="false">
      <c r="A1726" s="36" t="n">
        <f aca="false">IF('Raw Orders'!B1723="","",IF(MID('Raw Orders'!B1723,5,1)="-",DATE(VALUE(LEFT('Raw Orders'!B1723,4)),VALUE(MID('Raw Orders'!B1723,6,2)),VALUE(MID('Raw Orders'!B1723,9,2))),DATE(VALUE(MID('Raw Orders'!B1723,7,4)),VALUE(MID('Raw Orders'!B1723,4,2)),VALUE(LEFT('Raw Orders'!B1723,2)))))</f>
        <v>46238</v>
      </c>
      <c r="B1726" s="36" t="n">
        <f aca="false">IF(A1726="","",A1726-WEEKDAY(A1726,3))</f>
        <v>46237</v>
      </c>
      <c r="C1726" s="32" t="n">
        <f aca="false">IF(OR('Raw Orders'!C1723&lt;&gt;"Product",'Raw Orders'!K1723="Cancelled"),0,'Raw Orders'!G1723)</f>
        <v>64</v>
      </c>
      <c r="D1726" s="31" t="n">
        <f aca="false">IF(AND('Raw Orders'!C1723="Product",'Raw Orders'!K1723="Fulfilled",COUNTIFS('Raw Orders'!$A$2:$A1723,'Raw Orders'!A1723,'Raw Orders'!$C$2:$C1723,"Product",'Raw Orders'!$K$2:$K1723,"Fulfilled")=1),1,0)</f>
        <v>1</v>
      </c>
      <c r="E1726" s="31" t="n">
        <f aca="false">IF(AND('Raw Orders'!C1723="Product",'Raw Orders'!K1723="Fulfilled"),'Raw Orders'!E1723,0)</f>
        <v>2</v>
      </c>
      <c r="F1726" s="32" t="n">
        <f aca="false">IF('Raw Orders'!K1723="Refunded",'Raw Orders'!G1723,0)</f>
        <v>0</v>
      </c>
    </row>
    <row r="1727" customFormat="false" ht="15" hidden="false" customHeight="false" outlineLevel="0" collapsed="false">
      <c r="A1727" s="36" t="n">
        <f aca="false">IF('Raw Orders'!B1724="","",IF(MID('Raw Orders'!B1724,5,1)="-",DATE(VALUE(LEFT('Raw Orders'!B1724,4)),VALUE(MID('Raw Orders'!B1724,6,2)),VALUE(MID('Raw Orders'!B1724,9,2))),DATE(VALUE(MID('Raw Orders'!B1724,7,4)),VALUE(MID('Raw Orders'!B1724,4,2)),VALUE(LEFT('Raw Orders'!B1724,2)))))</f>
        <v>46238</v>
      </c>
      <c r="B1727" s="36" t="n">
        <f aca="false">IF(A1727="","",A1727-WEEKDAY(A1727,3))</f>
        <v>46237</v>
      </c>
      <c r="C1727" s="32" t="n">
        <f aca="false">IF(OR('Raw Orders'!C1724&lt;&gt;"Product",'Raw Orders'!K1724="Cancelled"),0,'Raw Orders'!G1724)</f>
        <v>0</v>
      </c>
      <c r="D1727" s="31" t="n">
        <f aca="false">IF(AND('Raw Orders'!C1724="Product",'Raw Orders'!K1724="Fulfilled",COUNTIFS('Raw Orders'!$A$2:$A1724,'Raw Orders'!A1724,'Raw Orders'!$C$2:$C1724,"Product",'Raw Orders'!$K$2:$K1724,"Fulfilled")=1),1,0)</f>
        <v>0</v>
      </c>
      <c r="E1727" s="31" t="n">
        <f aca="false">IF(AND('Raw Orders'!C1724="Product",'Raw Orders'!K1724="Fulfilled"),'Raw Orders'!E1724,0)</f>
        <v>0</v>
      </c>
      <c r="F1727" s="32" t="n">
        <f aca="false">IF('Raw Orders'!K1724="Refunded",'Raw Orders'!G1724,0)</f>
        <v>0</v>
      </c>
    </row>
    <row r="1728" customFormat="false" ht="15" hidden="false" customHeight="false" outlineLevel="0" collapsed="false">
      <c r="A1728" s="36" t="n">
        <f aca="false">IF('Raw Orders'!B1725="","",IF(MID('Raw Orders'!B1725,5,1)="-",DATE(VALUE(LEFT('Raw Orders'!B1725,4)),VALUE(MID('Raw Orders'!B1725,6,2)),VALUE(MID('Raw Orders'!B1725,9,2))),DATE(VALUE(MID('Raw Orders'!B1725,7,4)),VALUE(MID('Raw Orders'!B1725,4,2)),VALUE(LEFT('Raw Orders'!B1725,2)))))</f>
        <v>46238</v>
      </c>
      <c r="B1728" s="36" t="n">
        <f aca="false">IF(A1728="","",A1728-WEEKDAY(A1728,3))</f>
        <v>46237</v>
      </c>
      <c r="C1728" s="32" t="n">
        <f aca="false">IF(OR('Raw Orders'!C1725&lt;&gt;"Product",'Raw Orders'!K1725="Cancelled"),0,'Raw Orders'!G1725)</f>
        <v>0</v>
      </c>
      <c r="D1728" s="31" t="n">
        <f aca="false">IF(AND('Raw Orders'!C1725="Product",'Raw Orders'!K1725="Fulfilled",COUNTIFS('Raw Orders'!$A$2:$A1725,'Raw Orders'!A1725,'Raw Orders'!$C$2:$C1725,"Product",'Raw Orders'!$K$2:$K1725,"Fulfilled")=1),1,0)</f>
        <v>0</v>
      </c>
      <c r="E1728" s="31" t="n">
        <f aca="false">IF(AND('Raw Orders'!C1725="Product",'Raw Orders'!K1725="Fulfilled"),'Raw Orders'!E1725,0)</f>
        <v>0</v>
      </c>
      <c r="F1728" s="32" t="n">
        <f aca="false">IF('Raw Orders'!K1725="Refunded",'Raw Orders'!G1725,0)</f>
        <v>0</v>
      </c>
    </row>
    <row r="1729" customFormat="false" ht="15" hidden="false" customHeight="false" outlineLevel="0" collapsed="false">
      <c r="A1729" s="36" t="n">
        <f aca="false">IF('Raw Orders'!B1726="","",IF(MID('Raw Orders'!B1726,5,1)="-",DATE(VALUE(LEFT('Raw Orders'!B1726,4)),VALUE(MID('Raw Orders'!B1726,6,2)),VALUE(MID('Raw Orders'!B1726,9,2))),DATE(VALUE(MID('Raw Orders'!B1726,7,4)),VALUE(MID('Raw Orders'!B1726,4,2)),VALUE(LEFT('Raw Orders'!B1726,2)))))</f>
        <v>46238</v>
      </c>
      <c r="B1729" s="36" t="n">
        <f aca="false">IF(A1729="","",A1729-WEEKDAY(A1729,3))</f>
        <v>46237</v>
      </c>
      <c r="C1729" s="32" t="n">
        <f aca="false">IF(OR('Raw Orders'!C1726&lt;&gt;"Product",'Raw Orders'!K1726="Cancelled"),0,'Raw Orders'!G1726)</f>
        <v>22</v>
      </c>
      <c r="D1729" s="31" t="n">
        <f aca="false">IF(AND('Raw Orders'!C1726="Product",'Raw Orders'!K1726="Fulfilled",COUNTIFS('Raw Orders'!$A$2:$A1726,'Raw Orders'!A1726,'Raw Orders'!$C$2:$C1726,"Product",'Raw Orders'!$K$2:$K1726,"Fulfilled")=1),1,0)</f>
        <v>1</v>
      </c>
      <c r="E1729" s="31" t="n">
        <f aca="false">IF(AND('Raw Orders'!C1726="Product",'Raw Orders'!K1726="Fulfilled"),'Raw Orders'!E1726,0)</f>
        <v>1</v>
      </c>
      <c r="F1729" s="32" t="n">
        <f aca="false">IF('Raw Orders'!K1726="Refunded",'Raw Orders'!G1726,0)</f>
        <v>0</v>
      </c>
    </row>
    <row r="1730" customFormat="false" ht="15" hidden="false" customHeight="false" outlineLevel="0" collapsed="false">
      <c r="A1730" s="36" t="n">
        <f aca="false">IF('Raw Orders'!B1727="","",IF(MID('Raw Orders'!B1727,5,1)="-",DATE(VALUE(LEFT('Raw Orders'!B1727,4)),VALUE(MID('Raw Orders'!B1727,6,2)),VALUE(MID('Raw Orders'!B1727,9,2))),DATE(VALUE(MID('Raw Orders'!B1727,7,4)),VALUE(MID('Raw Orders'!B1727,4,2)),VALUE(LEFT('Raw Orders'!B1727,2)))))</f>
        <v>46238</v>
      </c>
      <c r="B1730" s="36" t="n">
        <f aca="false">IF(A1730="","",A1730-WEEKDAY(A1730,3))</f>
        <v>46237</v>
      </c>
      <c r="C1730" s="32" t="n">
        <f aca="false">IF(OR('Raw Orders'!C1727&lt;&gt;"Product",'Raw Orders'!K1727="Cancelled"),0,'Raw Orders'!G1727)</f>
        <v>89</v>
      </c>
      <c r="D1730" s="31" t="n">
        <f aca="false">IF(AND('Raw Orders'!C1727="Product",'Raw Orders'!K1727="Fulfilled",COUNTIFS('Raw Orders'!$A$2:$A1727,'Raw Orders'!A1727,'Raw Orders'!$C$2:$C1727,"Product",'Raw Orders'!$K$2:$K1727,"Fulfilled")=1),1,0)</f>
        <v>0</v>
      </c>
      <c r="E1730" s="31" t="n">
        <f aca="false">IF(AND('Raw Orders'!C1727="Product",'Raw Orders'!K1727="Fulfilled"),'Raw Orders'!E1727,0)</f>
        <v>1</v>
      </c>
      <c r="F1730" s="32" t="n">
        <f aca="false">IF('Raw Orders'!K1727="Refunded",'Raw Orders'!G1727,0)</f>
        <v>0</v>
      </c>
    </row>
    <row r="1731" customFormat="false" ht="15" hidden="false" customHeight="false" outlineLevel="0" collapsed="false">
      <c r="A1731" s="36" t="n">
        <f aca="false">IF('Raw Orders'!B1728="","",IF(MID('Raw Orders'!B1728,5,1)="-",DATE(VALUE(LEFT('Raw Orders'!B1728,4)),VALUE(MID('Raw Orders'!B1728,6,2)),VALUE(MID('Raw Orders'!B1728,9,2))),DATE(VALUE(MID('Raw Orders'!B1728,7,4)),VALUE(MID('Raw Orders'!B1728,4,2)),VALUE(LEFT('Raw Orders'!B1728,2)))))</f>
        <v>46238</v>
      </c>
      <c r="B1731" s="36" t="n">
        <f aca="false">IF(A1731="","",A1731-WEEKDAY(A1731,3))</f>
        <v>46237</v>
      </c>
      <c r="C1731" s="32" t="n">
        <f aca="false">IF(OR('Raw Orders'!C1728&lt;&gt;"Product",'Raw Orders'!K1728="Cancelled"),0,'Raw Orders'!G1728)</f>
        <v>0</v>
      </c>
      <c r="D1731" s="31" t="n">
        <f aca="false">IF(AND('Raw Orders'!C1728="Product",'Raw Orders'!K1728="Fulfilled",COUNTIFS('Raw Orders'!$A$2:$A1728,'Raw Orders'!A1728,'Raw Orders'!$C$2:$C1728,"Product",'Raw Orders'!$K$2:$K1728,"Fulfilled")=1),1,0)</f>
        <v>0</v>
      </c>
      <c r="E1731" s="31" t="n">
        <f aca="false">IF(AND('Raw Orders'!C1728="Product",'Raw Orders'!K1728="Fulfilled"),'Raw Orders'!E1728,0)</f>
        <v>0</v>
      </c>
      <c r="F1731" s="32" t="n">
        <f aca="false">IF('Raw Orders'!K1728="Refunded",'Raw Orders'!G1728,0)</f>
        <v>0</v>
      </c>
    </row>
    <row r="1732" customFormat="false" ht="15" hidden="false" customHeight="false" outlineLevel="0" collapsed="false">
      <c r="A1732" s="36" t="n">
        <f aca="false">IF('Raw Orders'!B1729="","",IF(MID('Raw Orders'!B1729,5,1)="-",DATE(VALUE(LEFT('Raw Orders'!B1729,4)),VALUE(MID('Raw Orders'!B1729,6,2)),VALUE(MID('Raw Orders'!B1729,9,2))),DATE(VALUE(MID('Raw Orders'!B1729,7,4)),VALUE(MID('Raw Orders'!B1729,4,2)),VALUE(LEFT('Raw Orders'!B1729,2)))))</f>
        <v>46238</v>
      </c>
      <c r="B1732" s="36" t="n">
        <f aca="false">IF(A1732="","",A1732-WEEKDAY(A1732,3))</f>
        <v>46237</v>
      </c>
      <c r="C1732" s="32" t="n">
        <f aca="false">IF(OR('Raw Orders'!C1729&lt;&gt;"Product",'Raw Orders'!K1729="Cancelled"),0,'Raw Orders'!G1729)</f>
        <v>69</v>
      </c>
      <c r="D1732" s="31" t="n">
        <f aca="false">IF(AND('Raw Orders'!C1729="Product",'Raw Orders'!K1729="Fulfilled",COUNTIFS('Raw Orders'!$A$2:$A1729,'Raw Orders'!A1729,'Raw Orders'!$C$2:$C1729,"Product",'Raw Orders'!$K$2:$K1729,"Fulfilled")=1),1,0)</f>
        <v>0</v>
      </c>
      <c r="E1732" s="31" t="n">
        <f aca="false">IF(AND('Raw Orders'!C1729="Product",'Raw Orders'!K1729="Fulfilled"),'Raw Orders'!E1729,0)</f>
        <v>1</v>
      </c>
      <c r="F1732" s="32" t="n">
        <f aca="false">IF('Raw Orders'!K1729="Refunded",'Raw Orders'!G1729,0)</f>
        <v>0</v>
      </c>
    </row>
    <row r="1733" customFormat="false" ht="15" hidden="false" customHeight="false" outlineLevel="0" collapsed="false">
      <c r="A1733" s="36" t="n">
        <f aca="false">IF('Raw Orders'!B1730="","",IF(MID('Raw Orders'!B1730,5,1)="-",DATE(VALUE(LEFT('Raw Orders'!B1730,4)),VALUE(MID('Raw Orders'!B1730,6,2)),VALUE(MID('Raw Orders'!B1730,9,2))),DATE(VALUE(MID('Raw Orders'!B1730,7,4)),VALUE(MID('Raw Orders'!B1730,4,2)),VALUE(LEFT('Raw Orders'!B1730,2)))))</f>
        <v>46238</v>
      </c>
      <c r="B1733" s="36" t="n">
        <f aca="false">IF(A1733="","",A1733-WEEKDAY(A1733,3))</f>
        <v>46237</v>
      </c>
      <c r="C1733" s="32" t="n">
        <f aca="false">IF(OR('Raw Orders'!C1730&lt;&gt;"Product",'Raw Orders'!K1730="Cancelled"),0,'Raw Orders'!G1730)</f>
        <v>0</v>
      </c>
      <c r="D1733" s="31" t="n">
        <f aca="false">IF(AND('Raw Orders'!C1730="Product",'Raw Orders'!K1730="Fulfilled",COUNTIFS('Raw Orders'!$A$2:$A1730,'Raw Orders'!A1730,'Raw Orders'!$C$2:$C1730,"Product",'Raw Orders'!$K$2:$K1730,"Fulfilled")=1),1,0)</f>
        <v>0</v>
      </c>
      <c r="E1733" s="31" t="n">
        <f aca="false">IF(AND('Raw Orders'!C1730="Product",'Raw Orders'!K1730="Fulfilled"),'Raw Orders'!E1730,0)</f>
        <v>0</v>
      </c>
      <c r="F1733" s="32" t="n">
        <f aca="false">IF('Raw Orders'!K1730="Refunded",'Raw Orders'!G1730,0)</f>
        <v>0</v>
      </c>
    </row>
    <row r="1734" customFormat="false" ht="15" hidden="false" customHeight="false" outlineLevel="0" collapsed="false">
      <c r="A1734" s="36" t="n">
        <f aca="false">IF('Raw Orders'!B1731="","",IF(MID('Raw Orders'!B1731,5,1)="-",DATE(VALUE(LEFT('Raw Orders'!B1731,4)),VALUE(MID('Raw Orders'!B1731,6,2)),VALUE(MID('Raw Orders'!B1731,9,2))),DATE(VALUE(MID('Raw Orders'!B1731,7,4)),VALUE(MID('Raw Orders'!B1731,4,2)),VALUE(LEFT('Raw Orders'!B1731,2)))))</f>
        <v>46238</v>
      </c>
      <c r="B1734" s="36" t="n">
        <f aca="false">IF(A1734="","",A1734-WEEKDAY(A1734,3))</f>
        <v>46237</v>
      </c>
      <c r="C1734" s="32" t="n">
        <f aca="false">IF(OR('Raw Orders'!C1731&lt;&gt;"Product",'Raw Orders'!K1731="Cancelled"),0,'Raw Orders'!G1731)</f>
        <v>71.2</v>
      </c>
      <c r="D1734" s="31" t="n">
        <f aca="false">IF(AND('Raw Orders'!C1731="Product",'Raw Orders'!K1731="Fulfilled",COUNTIFS('Raw Orders'!$A$2:$A1731,'Raw Orders'!A1731,'Raw Orders'!$C$2:$C1731,"Product",'Raw Orders'!$K$2:$K1731,"Fulfilled")=1),1,0)</f>
        <v>1</v>
      </c>
      <c r="E1734" s="31" t="n">
        <f aca="false">IF(AND('Raw Orders'!C1731="Product",'Raw Orders'!K1731="Fulfilled"),'Raw Orders'!E1731,0)</f>
        <v>1</v>
      </c>
      <c r="F1734" s="32" t="n">
        <f aca="false">IF('Raw Orders'!K1731="Refunded",'Raw Orders'!G1731,0)</f>
        <v>0</v>
      </c>
    </row>
    <row r="1735" customFormat="false" ht="15" hidden="false" customHeight="false" outlineLevel="0" collapsed="false">
      <c r="A1735" s="36" t="n">
        <f aca="false">IF('Raw Orders'!B1732="","",IF(MID('Raw Orders'!B1732,5,1)="-",DATE(VALUE(LEFT('Raw Orders'!B1732,4)),VALUE(MID('Raw Orders'!B1732,6,2)),VALUE(MID('Raw Orders'!B1732,9,2))),DATE(VALUE(MID('Raw Orders'!B1732,7,4)),VALUE(MID('Raw Orders'!B1732,4,2)),VALUE(LEFT('Raw Orders'!B1732,2)))))</f>
        <v>46238</v>
      </c>
      <c r="B1735" s="36" t="n">
        <f aca="false">IF(A1735="","",A1735-WEEKDAY(A1735,3))</f>
        <v>46237</v>
      </c>
      <c r="C1735" s="32" t="n">
        <f aca="false">IF(OR('Raw Orders'!C1732&lt;&gt;"Product",'Raw Orders'!K1732="Cancelled"),0,'Raw Orders'!G1732)</f>
        <v>138</v>
      </c>
      <c r="D1735" s="31" t="n">
        <f aca="false">IF(AND('Raw Orders'!C1732="Product",'Raw Orders'!K1732="Fulfilled",COUNTIFS('Raw Orders'!$A$2:$A1732,'Raw Orders'!A1732,'Raw Orders'!$C$2:$C1732,"Product",'Raw Orders'!$K$2:$K1732,"Fulfilled")=1),1,0)</f>
        <v>0</v>
      </c>
      <c r="E1735" s="31" t="n">
        <f aca="false">IF(AND('Raw Orders'!C1732="Product",'Raw Orders'!K1732="Fulfilled"),'Raw Orders'!E1732,0)</f>
        <v>2</v>
      </c>
      <c r="F1735" s="32" t="n">
        <f aca="false">IF('Raw Orders'!K1732="Refunded",'Raw Orders'!G1732,0)</f>
        <v>0</v>
      </c>
    </row>
    <row r="1736" customFormat="false" ht="15" hidden="false" customHeight="false" outlineLevel="0" collapsed="false">
      <c r="A1736" s="36" t="n">
        <f aca="false">IF('Raw Orders'!B1733="","",IF(MID('Raw Orders'!B1733,5,1)="-",DATE(VALUE(LEFT('Raw Orders'!B1733,4)),VALUE(MID('Raw Orders'!B1733,6,2)),VALUE(MID('Raw Orders'!B1733,9,2))),DATE(VALUE(MID('Raw Orders'!B1733,7,4)),VALUE(MID('Raw Orders'!B1733,4,2)),VALUE(LEFT('Raw Orders'!B1733,2)))))</f>
        <v>46239</v>
      </c>
      <c r="B1736" s="36" t="n">
        <f aca="false">IF(A1736="","",A1736-WEEKDAY(A1736,3))</f>
        <v>46237</v>
      </c>
      <c r="C1736" s="32" t="n">
        <f aca="false">IF(OR('Raw Orders'!C1733&lt;&gt;"Product",'Raw Orders'!K1733="Cancelled"),0,'Raw Orders'!G1733)</f>
        <v>0</v>
      </c>
      <c r="D1736" s="31" t="n">
        <f aca="false">IF(AND('Raw Orders'!C1733="Product",'Raw Orders'!K1733="Fulfilled",COUNTIFS('Raw Orders'!$A$2:$A1733,'Raw Orders'!A1733,'Raw Orders'!$C$2:$C1733,"Product",'Raw Orders'!$K$2:$K1733,"Fulfilled")=1),1,0)</f>
        <v>0</v>
      </c>
      <c r="E1736" s="31" t="n">
        <f aca="false">IF(AND('Raw Orders'!C1733="Product",'Raw Orders'!K1733="Fulfilled"),'Raw Orders'!E1733,0)</f>
        <v>0</v>
      </c>
      <c r="F1736" s="32" t="n">
        <f aca="false">IF('Raw Orders'!K1733="Refunded",'Raw Orders'!G1733,0)</f>
        <v>0</v>
      </c>
    </row>
    <row r="1737" customFormat="false" ht="15" hidden="false" customHeight="false" outlineLevel="0" collapsed="false">
      <c r="A1737" s="36" t="n">
        <f aca="false">IF('Raw Orders'!B1734="","",IF(MID('Raw Orders'!B1734,5,1)="-",DATE(VALUE(LEFT('Raw Orders'!B1734,4)),VALUE(MID('Raw Orders'!B1734,6,2)),VALUE(MID('Raw Orders'!B1734,9,2))),DATE(VALUE(MID('Raw Orders'!B1734,7,4)),VALUE(MID('Raw Orders'!B1734,4,2)),VALUE(LEFT('Raw Orders'!B1734,2)))))</f>
        <v>46239</v>
      </c>
      <c r="B1737" s="36" t="n">
        <f aca="false">IF(A1737="","",A1737-WEEKDAY(A1737,3))</f>
        <v>46237</v>
      </c>
      <c r="C1737" s="32" t="n">
        <f aca="false">IF(OR('Raw Orders'!C1734&lt;&gt;"Product",'Raw Orders'!K1734="Cancelled"),0,'Raw Orders'!G1734)</f>
        <v>0</v>
      </c>
      <c r="D1737" s="31" t="n">
        <f aca="false">IF(AND('Raw Orders'!C1734="Product",'Raw Orders'!K1734="Fulfilled",COUNTIFS('Raw Orders'!$A$2:$A1734,'Raw Orders'!A1734,'Raw Orders'!$C$2:$C1734,"Product",'Raw Orders'!$K$2:$K1734,"Fulfilled")=1),1,0)</f>
        <v>0</v>
      </c>
      <c r="E1737" s="31" t="n">
        <f aca="false">IF(AND('Raw Orders'!C1734="Product",'Raw Orders'!K1734="Fulfilled"),'Raw Orders'!E1734,0)</f>
        <v>0</v>
      </c>
      <c r="F1737" s="32" t="n">
        <f aca="false">IF('Raw Orders'!K1734="Refunded",'Raw Orders'!G1734,0)</f>
        <v>0</v>
      </c>
    </row>
    <row r="1738" customFormat="false" ht="15" hidden="false" customHeight="false" outlineLevel="0" collapsed="false">
      <c r="A1738" s="36" t="n">
        <f aca="false">IF('Raw Orders'!B1735="","",IF(MID('Raw Orders'!B1735,5,1)="-",DATE(VALUE(LEFT('Raw Orders'!B1735,4)),VALUE(MID('Raw Orders'!B1735,6,2)),VALUE(MID('Raw Orders'!B1735,9,2))),DATE(VALUE(MID('Raw Orders'!B1735,7,4)),VALUE(MID('Raw Orders'!B1735,4,2)),VALUE(LEFT('Raw Orders'!B1735,2)))))</f>
        <v>46239</v>
      </c>
      <c r="B1738" s="36" t="n">
        <f aca="false">IF(A1738="","",A1738-WEEKDAY(A1738,3))</f>
        <v>46237</v>
      </c>
      <c r="C1738" s="32" t="n">
        <f aca="false">IF(OR('Raw Orders'!C1735&lt;&gt;"Product",'Raw Orders'!K1735="Cancelled"),0,'Raw Orders'!G1735)</f>
        <v>64</v>
      </c>
      <c r="D1738" s="31" t="n">
        <f aca="false">IF(AND('Raw Orders'!C1735="Product",'Raw Orders'!K1735="Fulfilled",COUNTIFS('Raw Orders'!$A$2:$A1735,'Raw Orders'!A1735,'Raw Orders'!$C$2:$C1735,"Product",'Raw Orders'!$K$2:$K1735,"Fulfilled")=1),1,0)</f>
        <v>1</v>
      </c>
      <c r="E1738" s="31" t="n">
        <f aca="false">IF(AND('Raw Orders'!C1735="Product",'Raw Orders'!K1735="Fulfilled"),'Raw Orders'!E1735,0)</f>
        <v>2</v>
      </c>
      <c r="F1738" s="32" t="n">
        <f aca="false">IF('Raw Orders'!K1735="Refunded",'Raw Orders'!G1735,0)</f>
        <v>0</v>
      </c>
    </row>
    <row r="1739" customFormat="false" ht="15" hidden="false" customHeight="false" outlineLevel="0" collapsed="false">
      <c r="A1739" s="36" t="n">
        <f aca="false">IF('Raw Orders'!B1736="","",IF(MID('Raw Orders'!B1736,5,1)="-",DATE(VALUE(LEFT('Raw Orders'!B1736,4)),VALUE(MID('Raw Orders'!B1736,6,2)),VALUE(MID('Raw Orders'!B1736,9,2))),DATE(VALUE(MID('Raw Orders'!B1736,7,4)),VALUE(MID('Raw Orders'!B1736,4,2)),VALUE(LEFT('Raw Orders'!B1736,2)))))</f>
        <v>46239</v>
      </c>
      <c r="B1739" s="36" t="n">
        <f aca="false">IF(A1739="","",A1739-WEEKDAY(A1739,3))</f>
        <v>46237</v>
      </c>
      <c r="C1739" s="32" t="n">
        <f aca="false">IF(OR('Raw Orders'!C1736&lt;&gt;"Product",'Raw Orders'!K1736="Cancelled"),0,'Raw Orders'!G1736)</f>
        <v>0</v>
      </c>
      <c r="D1739" s="31" t="n">
        <f aca="false">IF(AND('Raw Orders'!C1736="Product",'Raw Orders'!K1736="Fulfilled",COUNTIFS('Raw Orders'!$A$2:$A1736,'Raw Orders'!A1736,'Raw Orders'!$C$2:$C1736,"Product",'Raw Orders'!$K$2:$K1736,"Fulfilled")=1),1,0)</f>
        <v>0</v>
      </c>
      <c r="E1739" s="31" t="n">
        <f aca="false">IF(AND('Raw Orders'!C1736="Product",'Raw Orders'!K1736="Fulfilled"),'Raw Orders'!E1736,0)</f>
        <v>0</v>
      </c>
      <c r="F1739" s="32" t="n">
        <f aca="false">IF('Raw Orders'!K1736="Refunded",'Raw Orders'!G1736,0)</f>
        <v>0</v>
      </c>
    </row>
    <row r="1740" customFormat="false" ht="15" hidden="false" customHeight="false" outlineLevel="0" collapsed="false">
      <c r="A1740" s="36" t="n">
        <f aca="false">IF('Raw Orders'!B1737="","",IF(MID('Raw Orders'!B1737,5,1)="-",DATE(VALUE(LEFT('Raw Orders'!B1737,4)),VALUE(MID('Raw Orders'!B1737,6,2)),VALUE(MID('Raw Orders'!B1737,9,2))),DATE(VALUE(MID('Raw Orders'!B1737,7,4)),VALUE(MID('Raw Orders'!B1737,4,2)),VALUE(LEFT('Raw Orders'!B1737,2)))))</f>
        <v>46239</v>
      </c>
      <c r="B1740" s="36" t="n">
        <f aca="false">IF(A1740="","",A1740-WEEKDAY(A1740,3))</f>
        <v>46237</v>
      </c>
      <c r="C1740" s="32" t="n">
        <f aca="false">IF(OR('Raw Orders'!C1737&lt;&gt;"Product",'Raw Orders'!K1737="Cancelled"),0,'Raw Orders'!G1737)</f>
        <v>35</v>
      </c>
      <c r="D1740" s="31" t="n">
        <f aca="false">IF(AND('Raw Orders'!C1737="Product",'Raw Orders'!K1737="Fulfilled",COUNTIFS('Raw Orders'!$A$2:$A1737,'Raw Orders'!A1737,'Raw Orders'!$C$2:$C1737,"Product",'Raw Orders'!$K$2:$K1737,"Fulfilled")=1),1,0)</f>
        <v>1</v>
      </c>
      <c r="E1740" s="31" t="n">
        <f aca="false">IF(AND('Raw Orders'!C1737="Product",'Raw Orders'!K1737="Fulfilled"),'Raw Orders'!E1737,0)</f>
        <v>1</v>
      </c>
      <c r="F1740" s="32" t="n">
        <f aca="false">IF('Raw Orders'!K1737="Refunded",'Raw Orders'!G1737,0)</f>
        <v>0</v>
      </c>
    </row>
    <row r="1741" customFormat="false" ht="15" hidden="false" customHeight="false" outlineLevel="0" collapsed="false">
      <c r="A1741" s="36" t="n">
        <f aca="false">IF('Raw Orders'!B1738="","",IF(MID('Raw Orders'!B1738,5,1)="-",DATE(VALUE(LEFT('Raw Orders'!B1738,4)),VALUE(MID('Raw Orders'!B1738,6,2)),VALUE(MID('Raw Orders'!B1738,9,2))),DATE(VALUE(MID('Raw Orders'!B1738,7,4)),VALUE(MID('Raw Orders'!B1738,4,2)),VALUE(LEFT('Raw Orders'!B1738,2)))))</f>
        <v>46239</v>
      </c>
      <c r="B1741" s="36" t="n">
        <f aca="false">IF(A1741="","",A1741-WEEKDAY(A1741,3))</f>
        <v>46237</v>
      </c>
      <c r="C1741" s="32" t="n">
        <f aca="false">IF(OR('Raw Orders'!C1738&lt;&gt;"Product",'Raw Orders'!K1738="Cancelled"),0,'Raw Orders'!G1738)</f>
        <v>0</v>
      </c>
      <c r="D1741" s="31" t="n">
        <f aca="false">IF(AND('Raw Orders'!C1738="Product",'Raw Orders'!K1738="Fulfilled",COUNTIFS('Raw Orders'!$A$2:$A1738,'Raw Orders'!A1738,'Raw Orders'!$C$2:$C1738,"Product",'Raw Orders'!$K$2:$K1738,"Fulfilled")=1),1,0)</f>
        <v>0</v>
      </c>
      <c r="E1741" s="31" t="n">
        <f aca="false">IF(AND('Raw Orders'!C1738="Product",'Raw Orders'!K1738="Fulfilled"),'Raw Orders'!E1738,0)</f>
        <v>0</v>
      </c>
      <c r="F1741" s="32" t="n">
        <f aca="false">IF('Raw Orders'!K1738="Refunded",'Raw Orders'!G1738,0)</f>
        <v>0</v>
      </c>
    </row>
    <row r="1742" customFormat="false" ht="15" hidden="false" customHeight="false" outlineLevel="0" collapsed="false">
      <c r="A1742" s="36" t="n">
        <f aca="false">IF('Raw Orders'!B1739="","",IF(MID('Raw Orders'!B1739,5,1)="-",DATE(VALUE(LEFT('Raw Orders'!B1739,4)),VALUE(MID('Raw Orders'!B1739,6,2)),VALUE(MID('Raw Orders'!B1739,9,2))),DATE(VALUE(MID('Raw Orders'!B1739,7,4)),VALUE(MID('Raw Orders'!B1739,4,2)),VALUE(LEFT('Raw Orders'!B1739,2)))))</f>
        <v>46239</v>
      </c>
      <c r="B1742" s="36" t="n">
        <f aca="false">IF(A1742="","",A1742-WEEKDAY(A1742,3))</f>
        <v>46237</v>
      </c>
      <c r="C1742" s="32" t="n">
        <f aca="false">IF(OR('Raw Orders'!C1739&lt;&gt;"Product",'Raw Orders'!K1739="Cancelled"),0,'Raw Orders'!G1739)</f>
        <v>45</v>
      </c>
      <c r="D1742" s="31" t="n">
        <f aca="false">IF(AND('Raw Orders'!C1739="Product",'Raw Orders'!K1739="Fulfilled",COUNTIFS('Raw Orders'!$A$2:$A1739,'Raw Orders'!A1739,'Raw Orders'!$C$2:$C1739,"Product",'Raw Orders'!$K$2:$K1739,"Fulfilled")=1),1,0)</f>
        <v>1</v>
      </c>
      <c r="E1742" s="31" t="n">
        <f aca="false">IF(AND('Raw Orders'!C1739="Product",'Raw Orders'!K1739="Fulfilled"),'Raw Orders'!E1739,0)</f>
        <v>1</v>
      </c>
      <c r="F1742" s="32" t="n">
        <f aca="false">IF('Raw Orders'!K1739="Refunded",'Raw Orders'!G1739,0)</f>
        <v>0</v>
      </c>
    </row>
    <row r="1743" customFormat="false" ht="15" hidden="false" customHeight="false" outlineLevel="0" collapsed="false">
      <c r="A1743" s="36" t="n">
        <f aca="false">IF('Raw Orders'!B1740="","",IF(MID('Raw Orders'!B1740,5,1)="-",DATE(VALUE(LEFT('Raw Orders'!B1740,4)),VALUE(MID('Raw Orders'!B1740,6,2)),VALUE(MID('Raw Orders'!B1740,9,2))),DATE(VALUE(MID('Raw Orders'!B1740,7,4)),VALUE(MID('Raw Orders'!B1740,4,2)),VALUE(LEFT('Raw Orders'!B1740,2)))))</f>
        <v>46239</v>
      </c>
      <c r="B1743" s="36" t="n">
        <f aca="false">IF(A1743="","",A1743-WEEKDAY(A1743,3))</f>
        <v>46237</v>
      </c>
      <c r="C1743" s="32" t="n">
        <f aca="false">IF(OR('Raw Orders'!C1740&lt;&gt;"Product",'Raw Orders'!K1740="Cancelled"),0,'Raw Orders'!G1740)</f>
        <v>22</v>
      </c>
      <c r="D1743" s="31" t="n">
        <f aca="false">IF(AND('Raw Orders'!C1740="Product",'Raw Orders'!K1740="Fulfilled",COUNTIFS('Raw Orders'!$A$2:$A1740,'Raw Orders'!A1740,'Raw Orders'!$C$2:$C1740,"Product",'Raw Orders'!$K$2:$K1740,"Fulfilled")=1),1,0)</f>
        <v>0</v>
      </c>
      <c r="E1743" s="31" t="n">
        <f aca="false">IF(AND('Raw Orders'!C1740="Product",'Raw Orders'!K1740="Fulfilled"),'Raw Orders'!E1740,0)</f>
        <v>1</v>
      </c>
      <c r="F1743" s="32" t="n">
        <f aca="false">IF('Raw Orders'!K1740="Refunded",'Raw Orders'!G1740,0)</f>
        <v>0</v>
      </c>
    </row>
    <row r="1744" customFormat="false" ht="15" hidden="false" customHeight="false" outlineLevel="0" collapsed="false">
      <c r="A1744" s="36" t="n">
        <f aca="false">IF('Raw Orders'!B1741="","",IF(MID('Raw Orders'!B1741,5,1)="-",DATE(VALUE(LEFT('Raw Orders'!B1741,4)),VALUE(MID('Raw Orders'!B1741,6,2)),VALUE(MID('Raw Orders'!B1741,9,2))),DATE(VALUE(MID('Raw Orders'!B1741,7,4)),VALUE(MID('Raw Orders'!B1741,4,2)),VALUE(LEFT('Raw Orders'!B1741,2)))))</f>
        <v>46239</v>
      </c>
      <c r="B1744" s="36" t="n">
        <f aca="false">IF(A1744="","",A1744-WEEKDAY(A1744,3))</f>
        <v>46237</v>
      </c>
      <c r="C1744" s="32" t="n">
        <f aca="false">IF(OR('Raw Orders'!C1741&lt;&gt;"Product",'Raw Orders'!K1741="Cancelled"),0,'Raw Orders'!G1741)</f>
        <v>0</v>
      </c>
      <c r="D1744" s="31" t="n">
        <f aca="false">IF(AND('Raw Orders'!C1741="Product",'Raw Orders'!K1741="Fulfilled",COUNTIFS('Raw Orders'!$A$2:$A1741,'Raw Orders'!A1741,'Raw Orders'!$C$2:$C1741,"Product",'Raw Orders'!$K$2:$K1741,"Fulfilled")=1),1,0)</f>
        <v>0</v>
      </c>
      <c r="E1744" s="31" t="n">
        <f aca="false">IF(AND('Raw Orders'!C1741="Product",'Raw Orders'!K1741="Fulfilled"),'Raw Orders'!E1741,0)</f>
        <v>0</v>
      </c>
      <c r="F1744" s="32" t="n">
        <f aca="false">IF('Raw Orders'!K1741="Refunded",'Raw Orders'!G1741,0)</f>
        <v>0</v>
      </c>
    </row>
    <row r="1745" customFormat="false" ht="15" hidden="false" customHeight="false" outlineLevel="0" collapsed="false">
      <c r="A1745" s="36" t="n">
        <f aca="false">IF('Raw Orders'!B1742="","",IF(MID('Raw Orders'!B1742,5,1)="-",DATE(VALUE(LEFT('Raw Orders'!B1742,4)),VALUE(MID('Raw Orders'!B1742,6,2)),VALUE(MID('Raw Orders'!B1742,9,2))),DATE(VALUE(MID('Raw Orders'!B1742,7,4)),VALUE(MID('Raw Orders'!B1742,4,2)),VALUE(LEFT('Raw Orders'!B1742,2)))))</f>
        <v>46239</v>
      </c>
      <c r="B1745" s="36" t="n">
        <f aca="false">IF(A1745="","",A1745-WEEKDAY(A1745,3))</f>
        <v>46237</v>
      </c>
      <c r="C1745" s="32" t="n">
        <f aca="false">IF(OR('Raw Orders'!C1742&lt;&gt;"Product",'Raw Orders'!K1742="Cancelled"),0,'Raw Orders'!G1742)</f>
        <v>267</v>
      </c>
      <c r="D1745" s="31" t="n">
        <f aca="false">IF(AND('Raw Orders'!C1742="Product",'Raw Orders'!K1742="Fulfilled",COUNTIFS('Raw Orders'!$A$2:$A1742,'Raw Orders'!A1742,'Raw Orders'!$C$2:$C1742,"Product",'Raw Orders'!$K$2:$K1742,"Fulfilled")=1),1,0)</f>
        <v>1</v>
      </c>
      <c r="E1745" s="31" t="n">
        <f aca="false">IF(AND('Raw Orders'!C1742="Product",'Raw Orders'!K1742="Fulfilled"),'Raw Orders'!E1742,0)</f>
        <v>3</v>
      </c>
      <c r="F1745" s="32" t="n">
        <f aca="false">IF('Raw Orders'!K1742="Refunded",'Raw Orders'!G1742,0)</f>
        <v>0</v>
      </c>
    </row>
    <row r="1746" customFormat="false" ht="15" hidden="false" customHeight="false" outlineLevel="0" collapsed="false">
      <c r="A1746" s="36" t="n">
        <f aca="false">IF('Raw Orders'!B1743="","",IF(MID('Raw Orders'!B1743,5,1)="-",DATE(VALUE(LEFT('Raw Orders'!B1743,4)),VALUE(MID('Raw Orders'!B1743,6,2)),VALUE(MID('Raw Orders'!B1743,9,2))),DATE(VALUE(MID('Raw Orders'!B1743,7,4)),VALUE(MID('Raw Orders'!B1743,4,2)),VALUE(LEFT('Raw Orders'!B1743,2)))))</f>
        <v>46239</v>
      </c>
      <c r="B1746" s="36" t="n">
        <f aca="false">IF(A1746="","",A1746-WEEKDAY(A1746,3))</f>
        <v>46237</v>
      </c>
      <c r="C1746" s="32" t="n">
        <f aca="false">IF(OR('Raw Orders'!C1743&lt;&gt;"Product",'Raw Orders'!K1743="Cancelled"),0,'Raw Orders'!G1743)</f>
        <v>70</v>
      </c>
      <c r="D1746" s="31" t="n">
        <f aca="false">IF(AND('Raw Orders'!C1743="Product",'Raw Orders'!K1743="Fulfilled",COUNTIFS('Raw Orders'!$A$2:$A1743,'Raw Orders'!A1743,'Raw Orders'!$C$2:$C1743,"Product",'Raw Orders'!$K$2:$K1743,"Fulfilled")=1),1,0)</f>
        <v>1</v>
      </c>
      <c r="E1746" s="31" t="n">
        <f aca="false">IF(AND('Raw Orders'!C1743="Product",'Raw Orders'!K1743="Fulfilled"),'Raw Orders'!E1743,0)</f>
        <v>2</v>
      </c>
      <c r="F1746" s="32" t="n">
        <f aca="false">IF('Raw Orders'!K1743="Refunded",'Raw Orders'!G1743,0)</f>
        <v>0</v>
      </c>
    </row>
    <row r="1747" customFormat="false" ht="15" hidden="false" customHeight="false" outlineLevel="0" collapsed="false">
      <c r="A1747" s="36" t="n">
        <f aca="false">IF('Raw Orders'!B1744="","",IF(MID('Raw Orders'!B1744,5,1)="-",DATE(VALUE(LEFT('Raw Orders'!B1744,4)),VALUE(MID('Raw Orders'!B1744,6,2)),VALUE(MID('Raw Orders'!B1744,9,2))),DATE(VALUE(MID('Raw Orders'!B1744,7,4)),VALUE(MID('Raw Orders'!B1744,4,2)),VALUE(LEFT('Raw Orders'!B1744,2)))))</f>
        <v>46239</v>
      </c>
      <c r="B1747" s="36" t="n">
        <f aca="false">IF(A1747="","",A1747-WEEKDAY(A1747,3))</f>
        <v>46237</v>
      </c>
      <c r="C1747" s="32" t="n">
        <f aca="false">IF(OR('Raw Orders'!C1744&lt;&gt;"Product",'Raw Orders'!K1744="Cancelled"),0,'Raw Orders'!G1744)</f>
        <v>0</v>
      </c>
      <c r="D1747" s="31" t="n">
        <f aca="false">IF(AND('Raw Orders'!C1744="Product",'Raw Orders'!K1744="Fulfilled",COUNTIFS('Raw Orders'!$A$2:$A1744,'Raw Orders'!A1744,'Raw Orders'!$C$2:$C1744,"Product",'Raw Orders'!$K$2:$K1744,"Fulfilled")=1),1,0)</f>
        <v>0</v>
      </c>
      <c r="E1747" s="31" t="n">
        <f aca="false">IF(AND('Raw Orders'!C1744="Product",'Raw Orders'!K1744="Fulfilled"),'Raw Orders'!E1744,0)</f>
        <v>0</v>
      </c>
      <c r="F1747" s="32" t="n">
        <f aca="false">IF('Raw Orders'!K1744="Refunded",'Raw Orders'!G1744,0)</f>
        <v>0</v>
      </c>
    </row>
    <row r="1748" customFormat="false" ht="15" hidden="false" customHeight="false" outlineLevel="0" collapsed="false">
      <c r="A1748" s="36" t="n">
        <f aca="false">IF('Raw Orders'!B1745="","",IF(MID('Raw Orders'!B1745,5,1)="-",DATE(VALUE(LEFT('Raw Orders'!B1745,4)),VALUE(MID('Raw Orders'!B1745,6,2)),VALUE(MID('Raw Orders'!B1745,9,2))),DATE(VALUE(MID('Raw Orders'!B1745,7,4)),VALUE(MID('Raw Orders'!B1745,4,2)),VALUE(LEFT('Raw Orders'!B1745,2)))))</f>
        <v>46239</v>
      </c>
      <c r="B1748" s="36" t="n">
        <f aca="false">IF(A1748="","",A1748-WEEKDAY(A1748,3))</f>
        <v>46237</v>
      </c>
      <c r="C1748" s="32" t="n">
        <f aca="false">IF(OR('Raw Orders'!C1745&lt;&gt;"Product",'Raw Orders'!K1745="Cancelled"),0,'Raw Orders'!G1745)</f>
        <v>35</v>
      </c>
      <c r="D1748" s="31" t="n">
        <f aca="false">IF(AND('Raw Orders'!C1745="Product",'Raw Orders'!K1745="Fulfilled",COUNTIFS('Raw Orders'!$A$2:$A1745,'Raw Orders'!A1745,'Raw Orders'!$C$2:$C1745,"Product",'Raw Orders'!$K$2:$K1745,"Fulfilled")=1),1,0)</f>
        <v>1</v>
      </c>
      <c r="E1748" s="31" t="n">
        <f aca="false">IF(AND('Raw Orders'!C1745="Product",'Raw Orders'!K1745="Fulfilled"),'Raw Orders'!E1745,0)</f>
        <v>1</v>
      </c>
      <c r="F1748" s="32" t="n">
        <f aca="false">IF('Raw Orders'!K1745="Refunded",'Raw Orders'!G1745,0)</f>
        <v>0</v>
      </c>
    </row>
    <row r="1749" customFormat="false" ht="15" hidden="false" customHeight="false" outlineLevel="0" collapsed="false">
      <c r="A1749" s="36" t="n">
        <f aca="false">IF('Raw Orders'!B1746="","",IF(MID('Raw Orders'!B1746,5,1)="-",DATE(VALUE(LEFT('Raw Orders'!B1746,4)),VALUE(MID('Raw Orders'!B1746,6,2)),VALUE(MID('Raw Orders'!B1746,9,2))),DATE(VALUE(MID('Raw Orders'!B1746,7,4)),VALUE(MID('Raw Orders'!B1746,4,2)),VALUE(LEFT('Raw Orders'!B1746,2)))))</f>
        <v>46239</v>
      </c>
      <c r="B1749" s="36" t="n">
        <f aca="false">IF(A1749="","",A1749-WEEKDAY(A1749,3))</f>
        <v>46237</v>
      </c>
      <c r="C1749" s="32" t="n">
        <f aca="false">IF(OR('Raw Orders'!C1746&lt;&gt;"Product",'Raw Orders'!K1746="Cancelled"),0,'Raw Orders'!G1746)</f>
        <v>0</v>
      </c>
      <c r="D1749" s="31" t="n">
        <f aca="false">IF(AND('Raw Orders'!C1746="Product",'Raw Orders'!K1746="Fulfilled",COUNTIFS('Raw Orders'!$A$2:$A1746,'Raw Orders'!A1746,'Raw Orders'!$C$2:$C1746,"Product",'Raw Orders'!$K$2:$K1746,"Fulfilled")=1),1,0)</f>
        <v>0</v>
      </c>
      <c r="E1749" s="31" t="n">
        <f aca="false">IF(AND('Raw Orders'!C1746="Product",'Raw Orders'!K1746="Fulfilled"),'Raw Orders'!E1746,0)</f>
        <v>0</v>
      </c>
      <c r="F1749" s="32" t="n">
        <f aca="false">IF('Raw Orders'!K1746="Refunded",'Raw Orders'!G1746,0)</f>
        <v>0</v>
      </c>
    </row>
    <row r="1750" customFormat="false" ht="15" hidden="false" customHeight="false" outlineLevel="0" collapsed="false">
      <c r="A1750" s="36" t="n">
        <f aca="false">IF('Raw Orders'!B1747="","",IF(MID('Raw Orders'!B1747,5,1)="-",DATE(VALUE(LEFT('Raw Orders'!B1747,4)),VALUE(MID('Raw Orders'!B1747,6,2)),VALUE(MID('Raw Orders'!B1747,9,2))),DATE(VALUE(MID('Raw Orders'!B1747,7,4)),VALUE(MID('Raw Orders'!B1747,4,2)),VALUE(LEFT('Raw Orders'!B1747,2)))))</f>
        <v>46239</v>
      </c>
      <c r="B1750" s="36" t="n">
        <f aca="false">IF(A1750="","",A1750-WEEKDAY(A1750,3))</f>
        <v>46237</v>
      </c>
      <c r="C1750" s="32" t="n">
        <f aca="false">IF(OR('Raw Orders'!C1747&lt;&gt;"Product",'Raw Orders'!K1747="Cancelled"),0,'Raw Orders'!G1747)</f>
        <v>70</v>
      </c>
      <c r="D1750" s="31" t="n">
        <f aca="false">IF(AND('Raw Orders'!C1747="Product",'Raw Orders'!K1747="Fulfilled",COUNTIFS('Raw Orders'!$A$2:$A1747,'Raw Orders'!A1747,'Raw Orders'!$C$2:$C1747,"Product",'Raw Orders'!$K$2:$K1747,"Fulfilled")=1),1,0)</f>
        <v>1</v>
      </c>
      <c r="E1750" s="31" t="n">
        <f aca="false">IF(AND('Raw Orders'!C1747="Product",'Raw Orders'!K1747="Fulfilled"),'Raw Orders'!E1747,0)</f>
        <v>2</v>
      </c>
      <c r="F1750" s="32" t="n">
        <f aca="false">IF('Raw Orders'!K1747="Refunded",'Raw Orders'!G1747,0)</f>
        <v>0</v>
      </c>
    </row>
    <row r="1751" customFormat="false" ht="15" hidden="false" customHeight="false" outlineLevel="0" collapsed="false">
      <c r="A1751" s="36" t="n">
        <f aca="false">IF('Raw Orders'!B1748="","",IF(MID('Raw Orders'!B1748,5,1)="-",DATE(VALUE(LEFT('Raw Orders'!B1748,4)),VALUE(MID('Raw Orders'!B1748,6,2)),VALUE(MID('Raw Orders'!B1748,9,2))),DATE(VALUE(MID('Raw Orders'!B1748,7,4)),VALUE(MID('Raw Orders'!B1748,4,2)),VALUE(LEFT('Raw Orders'!B1748,2)))))</f>
        <v>46239</v>
      </c>
      <c r="B1751" s="36" t="n">
        <f aca="false">IF(A1751="","",A1751-WEEKDAY(A1751,3))</f>
        <v>46237</v>
      </c>
      <c r="C1751" s="32" t="n">
        <f aca="false">IF(OR('Raw Orders'!C1748&lt;&gt;"Product",'Raw Orders'!K1748="Cancelled"),0,'Raw Orders'!G1748)</f>
        <v>0</v>
      </c>
      <c r="D1751" s="31" t="n">
        <f aca="false">IF(AND('Raw Orders'!C1748="Product",'Raw Orders'!K1748="Fulfilled",COUNTIFS('Raw Orders'!$A$2:$A1748,'Raw Orders'!A1748,'Raw Orders'!$C$2:$C1748,"Product",'Raw Orders'!$K$2:$K1748,"Fulfilled")=1),1,0)</f>
        <v>0</v>
      </c>
      <c r="E1751" s="31" t="n">
        <f aca="false">IF(AND('Raw Orders'!C1748="Product",'Raw Orders'!K1748="Fulfilled"),'Raw Orders'!E1748,0)</f>
        <v>0</v>
      </c>
      <c r="F1751" s="32" t="n">
        <f aca="false">IF('Raw Orders'!K1748="Refunded",'Raw Orders'!G1748,0)</f>
        <v>0</v>
      </c>
    </row>
    <row r="1752" customFormat="false" ht="15" hidden="false" customHeight="false" outlineLevel="0" collapsed="false">
      <c r="A1752" s="36" t="n">
        <f aca="false">IF('Raw Orders'!B1749="","",IF(MID('Raw Orders'!B1749,5,1)="-",DATE(VALUE(LEFT('Raw Orders'!B1749,4)),VALUE(MID('Raw Orders'!B1749,6,2)),VALUE(MID('Raw Orders'!B1749,9,2))),DATE(VALUE(MID('Raw Orders'!B1749,7,4)),VALUE(MID('Raw Orders'!B1749,4,2)),VALUE(LEFT('Raw Orders'!B1749,2)))))</f>
        <v>46239</v>
      </c>
      <c r="B1752" s="36" t="n">
        <f aca="false">IF(A1752="","",A1752-WEEKDAY(A1752,3))</f>
        <v>46237</v>
      </c>
      <c r="C1752" s="32" t="n">
        <f aca="false">IF(OR('Raw Orders'!C1749&lt;&gt;"Product",'Raw Orders'!K1749="Cancelled"),0,'Raw Orders'!G1749)</f>
        <v>0</v>
      </c>
      <c r="D1752" s="31" t="n">
        <f aca="false">IF(AND('Raw Orders'!C1749="Product",'Raw Orders'!K1749="Fulfilled",COUNTIFS('Raw Orders'!$A$2:$A1749,'Raw Orders'!A1749,'Raw Orders'!$C$2:$C1749,"Product",'Raw Orders'!$K$2:$K1749,"Fulfilled")=1),1,0)</f>
        <v>0</v>
      </c>
      <c r="E1752" s="31" t="n">
        <f aca="false">IF(AND('Raw Orders'!C1749="Product",'Raw Orders'!K1749="Fulfilled"),'Raw Orders'!E1749,0)</f>
        <v>0</v>
      </c>
      <c r="F1752" s="32" t="n">
        <f aca="false">IF('Raw Orders'!K1749="Refunded",'Raw Orders'!G1749,0)</f>
        <v>0</v>
      </c>
    </row>
    <row r="1753" customFormat="false" ht="15" hidden="false" customHeight="false" outlineLevel="0" collapsed="false">
      <c r="A1753" s="36" t="n">
        <f aca="false">IF('Raw Orders'!B1750="","",IF(MID('Raw Orders'!B1750,5,1)="-",DATE(VALUE(LEFT('Raw Orders'!B1750,4)),VALUE(MID('Raw Orders'!B1750,6,2)),VALUE(MID('Raw Orders'!B1750,9,2))),DATE(VALUE(MID('Raw Orders'!B1750,7,4)),VALUE(MID('Raw Orders'!B1750,4,2)),VALUE(LEFT('Raw Orders'!B1750,2)))))</f>
        <v>46239</v>
      </c>
      <c r="B1753" s="36" t="n">
        <f aca="false">IF(A1753="","",A1753-WEEKDAY(A1753,3))</f>
        <v>46237</v>
      </c>
      <c r="C1753" s="32" t="n">
        <f aca="false">IF(OR('Raw Orders'!C1750&lt;&gt;"Product",'Raw Orders'!K1750="Cancelled"),0,'Raw Orders'!G1750)</f>
        <v>14</v>
      </c>
      <c r="D1753" s="31" t="n">
        <f aca="false">IF(AND('Raw Orders'!C1750="Product",'Raw Orders'!K1750="Fulfilled",COUNTIFS('Raw Orders'!$A$2:$A1750,'Raw Orders'!A1750,'Raw Orders'!$C$2:$C1750,"Product",'Raw Orders'!$K$2:$K1750,"Fulfilled")=1),1,0)</f>
        <v>1</v>
      </c>
      <c r="E1753" s="31" t="n">
        <f aca="false">IF(AND('Raw Orders'!C1750="Product",'Raw Orders'!K1750="Fulfilled"),'Raw Orders'!E1750,0)</f>
        <v>1</v>
      </c>
      <c r="F1753" s="32" t="n">
        <f aca="false">IF('Raw Orders'!K1750="Refunded",'Raw Orders'!G1750,0)</f>
        <v>0</v>
      </c>
    </row>
    <row r="1754" customFormat="false" ht="15" hidden="false" customHeight="false" outlineLevel="0" collapsed="false">
      <c r="A1754" s="36" t="n">
        <f aca="false">IF('Raw Orders'!B1751="","",IF(MID('Raw Orders'!B1751,5,1)="-",DATE(VALUE(LEFT('Raw Orders'!B1751,4)),VALUE(MID('Raw Orders'!B1751,6,2)),VALUE(MID('Raw Orders'!B1751,9,2))),DATE(VALUE(MID('Raw Orders'!B1751,7,4)),VALUE(MID('Raw Orders'!B1751,4,2)),VALUE(LEFT('Raw Orders'!B1751,2)))))</f>
        <v>46239</v>
      </c>
      <c r="B1754" s="36" t="n">
        <f aca="false">IF(A1754="","",A1754-WEEKDAY(A1754,3))</f>
        <v>46237</v>
      </c>
      <c r="C1754" s="32" t="n">
        <f aca="false">IF(OR('Raw Orders'!C1751&lt;&gt;"Product",'Raw Orders'!K1751="Cancelled"),0,'Raw Orders'!G1751)</f>
        <v>0</v>
      </c>
      <c r="D1754" s="31" t="n">
        <f aca="false">IF(AND('Raw Orders'!C1751="Product",'Raw Orders'!K1751="Fulfilled",COUNTIFS('Raw Orders'!$A$2:$A1751,'Raw Orders'!A1751,'Raw Orders'!$C$2:$C1751,"Product",'Raw Orders'!$K$2:$K1751,"Fulfilled")=1),1,0)</f>
        <v>0</v>
      </c>
      <c r="E1754" s="31" t="n">
        <f aca="false">IF(AND('Raw Orders'!C1751="Product",'Raw Orders'!K1751="Fulfilled"),'Raw Orders'!E1751,0)</f>
        <v>0</v>
      </c>
      <c r="F1754" s="32" t="n">
        <f aca="false">IF('Raw Orders'!K1751="Refunded",'Raw Orders'!G1751,0)</f>
        <v>0</v>
      </c>
    </row>
    <row r="1755" customFormat="false" ht="15" hidden="false" customHeight="false" outlineLevel="0" collapsed="false">
      <c r="A1755" s="36" t="n">
        <f aca="false">IF('Raw Orders'!B1752="","",IF(MID('Raw Orders'!B1752,5,1)="-",DATE(VALUE(LEFT('Raw Orders'!B1752,4)),VALUE(MID('Raw Orders'!B1752,6,2)),VALUE(MID('Raw Orders'!B1752,9,2))),DATE(VALUE(MID('Raw Orders'!B1752,7,4)),VALUE(MID('Raw Orders'!B1752,4,2)),VALUE(LEFT('Raw Orders'!B1752,2)))))</f>
        <v>46239</v>
      </c>
      <c r="B1755" s="36" t="n">
        <f aca="false">IF(A1755="","",A1755-WEEKDAY(A1755,3))</f>
        <v>46237</v>
      </c>
      <c r="C1755" s="32" t="n">
        <f aca="false">IF(OR('Raw Orders'!C1752&lt;&gt;"Product",'Raw Orders'!K1752="Cancelled"),0,'Raw Orders'!G1752)</f>
        <v>29</v>
      </c>
      <c r="D1755" s="31" t="n">
        <f aca="false">IF(AND('Raw Orders'!C1752="Product",'Raw Orders'!K1752="Fulfilled",COUNTIFS('Raw Orders'!$A$2:$A1752,'Raw Orders'!A1752,'Raw Orders'!$C$2:$C1752,"Product",'Raw Orders'!$K$2:$K1752,"Fulfilled")=1),1,0)</f>
        <v>0</v>
      </c>
      <c r="E1755" s="31" t="n">
        <f aca="false">IF(AND('Raw Orders'!C1752="Product",'Raw Orders'!K1752="Fulfilled"),'Raw Orders'!E1752,0)</f>
        <v>1</v>
      </c>
      <c r="F1755" s="32" t="n">
        <f aca="false">IF('Raw Orders'!K1752="Refunded",'Raw Orders'!G1752,0)</f>
        <v>0</v>
      </c>
    </row>
    <row r="1756" customFormat="false" ht="15" hidden="false" customHeight="false" outlineLevel="0" collapsed="false">
      <c r="A1756" s="36" t="n">
        <f aca="false">IF('Raw Orders'!B1753="","",IF(MID('Raw Orders'!B1753,5,1)="-",DATE(VALUE(LEFT('Raw Orders'!B1753,4)),VALUE(MID('Raw Orders'!B1753,6,2)),VALUE(MID('Raw Orders'!B1753,9,2))),DATE(VALUE(MID('Raw Orders'!B1753,7,4)),VALUE(MID('Raw Orders'!B1753,4,2)),VALUE(LEFT('Raw Orders'!B1753,2)))))</f>
        <v>46239</v>
      </c>
      <c r="B1756" s="36" t="n">
        <f aca="false">IF(A1756="","",A1756-WEEKDAY(A1756,3))</f>
        <v>46237</v>
      </c>
      <c r="C1756" s="32" t="n">
        <f aca="false">IF(OR('Raw Orders'!C1753&lt;&gt;"Product",'Raw Orders'!K1753="Cancelled"),0,'Raw Orders'!G1753)</f>
        <v>89</v>
      </c>
      <c r="D1756" s="31" t="n">
        <f aca="false">IF(AND('Raw Orders'!C1753="Product",'Raw Orders'!K1753="Fulfilled",COUNTIFS('Raw Orders'!$A$2:$A1753,'Raw Orders'!A1753,'Raw Orders'!$C$2:$C1753,"Product",'Raw Orders'!$K$2:$K1753,"Fulfilled")=1),1,0)</f>
        <v>1</v>
      </c>
      <c r="E1756" s="31" t="n">
        <f aca="false">IF(AND('Raw Orders'!C1753="Product",'Raw Orders'!K1753="Fulfilled"),'Raw Orders'!E1753,0)</f>
        <v>1</v>
      </c>
      <c r="F1756" s="32" t="n">
        <f aca="false">IF('Raw Orders'!K1753="Refunded",'Raw Orders'!G1753,0)</f>
        <v>0</v>
      </c>
    </row>
    <row r="1757" customFormat="false" ht="15" hidden="false" customHeight="false" outlineLevel="0" collapsed="false">
      <c r="A1757" s="36" t="n">
        <f aca="false">IF('Raw Orders'!B1754="","",IF(MID('Raw Orders'!B1754,5,1)="-",DATE(VALUE(LEFT('Raw Orders'!B1754,4)),VALUE(MID('Raw Orders'!B1754,6,2)),VALUE(MID('Raw Orders'!B1754,9,2))),DATE(VALUE(MID('Raw Orders'!B1754,7,4)),VALUE(MID('Raw Orders'!B1754,4,2)),VALUE(LEFT('Raw Orders'!B1754,2)))))</f>
        <v>46239</v>
      </c>
      <c r="B1757" s="36" t="n">
        <f aca="false">IF(A1757="","",A1757-WEEKDAY(A1757,3))</f>
        <v>46237</v>
      </c>
      <c r="C1757" s="32" t="n">
        <f aca="false">IF(OR('Raw Orders'!C1754&lt;&gt;"Product",'Raw Orders'!K1754="Cancelled"),0,'Raw Orders'!G1754)</f>
        <v>0</v>
      </c>
      <c r="D1757" s="31" t="n">
        <f aca="false">IF(AND('Raw Orders'!C1754="Product",'Raw Orders'!K1754="Fulfilled",COUNTIFS('Raw Orders'!$A$2:$A1754,'Raw Orders'!A1754,'Raw Orders'!$C$2:$C1754,"Product",'Raw Orders'!$K$2:$K1754,"Fulfilled")=1),1,0)</f>
        <v>0</v>
      </c>
      <c r="E1757" s="31" t="n">
        <f aca="false">IF(AND('Raw Orders'!C1754="Product",'Raw Orders'!K1754="Fulfilled"),'Raw Orders'!E1754,0)</f>
        <v>0</v>
      </c>
      <c r="F1757" s="32" t="n">
        <f aca="false">IF('Raw Orders'!K1754="Refunded",'Raw Orders'!G1754,0)</f>
        <v>0</v>
      </c>
    </row>
    <row r="1758" customFormat="false" ht="15" hidden="false" customHeight="false" outlineLevel="0" collapsed="false">
      <c r="A1758" s="36" t="n">
        <f aca="false">IF('Raw Orders'!B1755="","",IF(MID('Raw Orders'!B1755,5,1)="-",DATE(VALUE(LEFT('Raw Orders'!B1755,4)),VALUE(MID('Raw Orders'!B1755,6,2)),VALUE(MID('Raw Orders'!B1755,9,2))),DATE(VALUE(MID('Raw Orders'!B1755,7,4)),VALUE(MID('Raw Orders'!B1755,4,2)),VALUE(LEFT('Raw Orders'!B1755,2)))))</f>
        <v>46239</v>
      </c>
      <c r="B1758" s="36" t="n">
        <f aca="false">IF(A1758="","",A1758-WEEKDAY(A1758,3))</f>
        <v>46237</v>
      </c>
      <c r="C1758" s="32" t="n">
        <f aca="false">IF(OR('Raw Orders'!C1755&lt;&gt;"Product",'Raw Orders'!K1755="Cancelled"),0,'Raw Orders'!G1755)</f>
        <v>78</v>
      </c>
      <c r="D1758" s="31" t="n">
        <f aca="false">IF(AND('Raw Orders'!C1755="Product",'Raw Orders'!K1755="Fulfilled",COUNTIFS('Raw Orders'!$A$2:$A1755,'Raw Orders'!A1755,'Raw Orders'!$C$2:$C1755,"Product",'Raw Orders'!$K$2:$K1755,"Fulfilled")=1),1,0)</f>
        <v>1</v>
      </c>
      <c r="E1758" s="31" t="n">
        <f aca="false">IF(AND('Raw Orders'!C1755="Product",'Raw Orders'!K1755="Fulfilled"),'Raw Orders'!E1755,0)</f>
        <v>2</v>
      </c>
      <c r="F1758" s="32" t="n">
        <f aca="false">IF('Raw Orders'!K1755="Refunded",'Raw Orders'!G1755,0)</f>
        <v>0</v>
      </c>
    </row>
    <row r="1759" customFormat="false" ht="15" hidden="false" customHeight="false" outlineLevel="0" collapsed="false">
      <c r="A1759" s="36" t="n">
        <f aca="false">IF('Raw Orders'!B1756="","",IF(MID('Raw Orders'!B1756,5,1)="-",DATE(VALUE(LEFT('Raw Orders'!B1756,4)),VALUE(MID('Raw Orders'!B1756,6,2)),VALUE(MID('Raw Orders'!B1756,9,2))),DATE(VALUE(MID('Raw Orders'!B1756,7,4)),VALUE(MID('Raw Orders'!B1756,4,2)),VALUE(LEFT('Raw Orders'!B1756,2)))))</f>
        <v>46239</v>
      </c>
      <c r="B1759" s="36" t="n">
        <f aca="false">IF(A1759="","",A1759-WEEKDAY(A1759,3))</f>
        <v>46237</v>
      </c>
      <c r="C1759" s="32" t="n">
        <f aca="false">IF(OR('Raw Orders'!C1756&lt;&gt;"Product",'Raw Orders'!K1756="Cancelled"),0,'Raw Orders'!G1756)</f>
        <v>26</v>
      </c>
      <c r="D1759" s="31" t="n">
        <f aca="false">IF(AND('Raw Orders'!C1756="Product",'Raw Orders'!K1756="Fulfilled",COUNTIFS('Raw Orders'!$A$2:$A1756,'Raw Orders'!A1756,'Raw Orders'!$C$2:$C1756,"Product",'Raw Orders'!$K$2:$K1756,"Fulfilled")=1),1,0)</f>
        <v>0</v>
      </c>
      <c r="E1759" s="31" t="n">
        <f aca="false">IF(AND('Raw Orders'!C1756="Product",'Raw Orders'!K1756="Fulfilled"),'Raw Orders'!E1756,0)</f>
        <v>1</v>
      </c>
      <c r="F1759" s="32" t="n">
        <f aca="false">IF('Raw Orders'!K1756="Refunded",'Raw Orders'!G1756,0)</f>
        <v>0</v>
      </c>
    </row>
    <row r="1760" customFormat="false" ht="15" hidden="false" customHeight="false" outlineLevel="0" collapsed="false">
      <c r="A1760" s="36" t="n">
        <f aca="false">IF('Raw Orders'!B1757="","",IF(MID('Raw Orders'!B1757,5,1)="-",DATE(VALUE(LEFT('Raw Orders'!B1757,4)),VALUE(MID('Raw Orders'!B1757,6,2)),VALUE(MID('Raw Orders'!B1757,9,2))),DATE(VALUE(MID('Raw Orders'!B1757,7,4)),VALUE(MID('Raw Orders'!B1757,4,2)),VALUE(LEFT('Raw Orders'!B1757,2)))))</f>
        <v>46239</v>
      </c>
      <c r="B1760" s="36" t="n">
        <f aca="false">IF(A1760="","",A1760-WEEKDAY(A1760,3))</f>
        <v>46237</v>
      </c>
      <c r="C1760" s="32" t="n">
        <f aca="false">IF(OR('Raw Orders'!C1757&lt;&gt;"Product",'Raw Orders'!K1757="Cancelled"),0,'Raw Orders'!G1757)</f>
        <v>0</v>
      </c>
      <c r="D1760" s="31" t="n">
        <f aca="false">IF(AND('Raw Orders'!C1757="Product",'Raw Orders'!K1757="Fulfilled",COUNTIFS('Raw Orders'!$A$2:$A1757,'Raw Orders'!A1757,'Raw Orders'!$C$2:$C1757,"Product",'Raw Orders'!$K$2:$K1757,"Fulfilled")=1),1,0)</f>
        <v>0</v>
      </c>
      <c r="E1760" s="31" t="n">
        <f aca="false">IF(AND('Raw Orders'!C1757="Product",'Raw Orders'!K1757="Fulfilled"),'Raw Orders'!E1757,0)</f>
        <v>0</v>
      </c>
      <c r="F1760" s="32" t="n">
        <f aca="false">IF('Raw Orders'!K1757="Refunded",'Raw Orders'!G1757,0)</f>
        <v>0</v>
      </c>
    </row>
    <row r="1761" customFormat="false" ht="15" hidden="false" customHeight="false" outlineLevel="0" collapsed="false">
      <c r="A1761" s="36" t="n">
        <f aca="false">IF('Raw Orders'!B1758="","",IF(MID('Raw Orders'!B1758,5,1)="-",DATE(VALUE(LEFT('Raw Orders'!B1758,4)),VALUE(MID('Raw Orders'!B1758,6,2)),VALUE(MID('Raw Orders'!B1758,9,2))),DATE(VALUE(MID('Raw Orders'!B1758,7,4)),VALUE(MID('Raw Orders'!B1758,4,2)),VALUE(LEFT('Raw Orders'!B1758,2)))))</f>
        <v>46239</v>
      </c>
      <c r="B1761" s="36" t="n">
        <f aca="false">IF(A1761="","",A1761-WEEKDAY(A1761,3))</f>
        <v>46237</v>
      </c>
      <c r="C1761" s="32" t="n">
        <f aca="false">IF(OR('Raw Orders'!C1758&lt;&gt;"Product",'Raw Orders'!K1758="Cancelled"),0,'Raw Orders'!G1758)</f>
        <v>0</v>
      </c>
      <c r="D1761" s="31" t="n">
        <f aca="false">IF(AND('Raw Orders'!C1758="Product",'Raw Orders'!K1758="Fulfilled",COUNTIFS('Raw Orders'!$A$2:$A1758,'Raw Orders'!A1758,'Raw Orders'!$C$2:$C1758,"Product",'Raw Orders'!$K$2:$K1758,"Fulfilled")=1),1,0)</f>
        <v>0</v>
      </c>
      <c r="E1761" s="31" t="n">
        <f aca="false">IF(AND('Raw Orders'!C1758="Product",'Raw Orders'!K1758="Fulfilled"),'Raw Orders'!E1758,0)</f>
        <v>0</v>
      </c>
      <c r="F1761" s="32" t="n">
        <f aca="false">IF('Raw Orders'!K1758="Refunded",'Raw Orders'!G1758,0)</f>
        <v>0</v>
      </c>
    </row>
    <row r="1762" customFormat="false" ht="15" hidden="false" customHeight="false" outlineLevel="0" collapsed="false">
      <c r="A1762" s="36" t="n">
        <f aca="false">IF('Raw Orders'!B1759="","",IF(MID('Raw Orders'!B1759,5,1)="-",DATE(VALUE(LEFT('Raw Orders'!B1759,4)),VALUE(MID('Raw Orders'!B1759,6,2)),VALUE(MID('Raw Orders'!B1759,9,2))),DATE(VALUE(MID('Raw Orders'!B1759,7,4)),VALUE(MID('Raw Orders'!B1759,4,2)),VALUE(LEFT('Raw Orders'!B1759,2)))))</f>
        <v>46239</v>
      </c>
      <c r="B1762" s="36" t="n">
        <f aca="false">IF(A1762="","",A1762-WEEKDAY(A1762,3))</f>
        <v>46237</v>
      </c>
      <c r="C1762" s="32" t="n">
        <f aca="false">IF(OR('Raw Orders'!C1759&lt;&gt;"Product",'Raw Orders'!K1759="Cancelled"),0,'Raw Orders'!G1759)</f>
        <v>0</v>
      </c>
      <c r="D1762" s="31" t="n">
        <f aca="false">IF(AND('Raw Orders'!C1759="Product",'Raw Orders'!K1759="Fulfilled",COUNTIFS('Raw Orders'!$A$2:$A1759,'Raw Orders'!A1759,'Raw Orders'!$C$2:$C1759,"Product",'Raw Orders'!$K$2:$K1759,"Fulfilled")=1),1,0)</f>
        <v>0</v>
      </c>
      <c r="E1762" s="31" t="n">
        <f aca="false">IF(AND('Raw Orders'!C1759="Product",'Raw Orders'!K1759="Fulfilled"),'Raw Orders'!E1759,0)</f>
        <v>0</v>
      </c>
      <c r="F1762" s="32" t="n">
        <f aca="false">IF('Raw Orders'!K1759="Refunded",'Raw Orders'!G1759,0)</f>
        <v>0</v>
      </c>
    </row>
    <row r="1763" customFormat="false" ht="15" hidden="false" customHeight="false" outlineLevel="0" collapsed="false">
      <c r="A1763" s="36" t="n">
        <f aca="false">IF('Raw Orders'!B1760="","",IF(MID('Raw Orders'!B1760,5,1)="-",DATE(VALUE(LEFT('Raw Orders'!B1760,4)),VALUE(MID('Raw Orders'!B1760,6,2)),VALUE(MID('Raw Orders'!B1760,9,2))),DATE(VALUE(MID('Raw Orders'!B1760,7,4)),VALUE(MID('Raw Orders'!B1760,4,2)),VALUE(LEFT('Raw Orders'!B1760,2)))))</f>
        <v>46239</v>
      </c>
      <c r="B1763" s="36" t="n">
        <f aca="false">IF(A1763="","",A1763-WEEKDAY(A1763,3))</f>
        <v>46237</v>
      </c>
      <c r="C1763" s="32" t="n">
        <f aca="false">IF(OR('Raw Orders'!C1760&lt;&gt;"Product",'Raw Orders'!K1760="Cancelled"),0,'Raw Orders'!G1760)</f>
        <v>0</v>
      </c>
      <c r="D1763" s="31" t="n">
        <f aca="false">IF(AND('Raw Orders'!C1760="Product",'Raw Orders'!K1760="Fulfilled",COUNTIFS('Raw Orders'!$A$2:$A1760,'Raw Orders'!A1760,'Raw Orders'!$C$2:$C1760,"Product",'Raw Orders'!$K$2:$K1760,"Fulfilled")=1),1,0)</f>
        <v>0</v>
      </c>
      <c r="E1763" s="31" t="n">
        <f aca="false">IF(AND('Raw Orders'!C1760="Product",'Raw Orders'!K1760="Fulfilled"),'Raw Orders'!E1760,0)</f>
        <v>0</v>
      </c>
      <c r="F1763" s="32" t="n">
        <f aca="false">IF('Raw Orders'!K1760="Refunded",'Raw Orders'!G1760,0)</f>
        <v>0</v>
      </c>
    </row>
    <row r="1764" customFormat="false" ht="15" hidden="false" customHeight="false" outlineLevel="0" collapsed="false">
      <c r="A1764" s="36" t="n">
        <f aca="false">IF('Raw Orders'!B1761="","",IF(MID('Raw Orders'!B1761,5,1)="-",DATE(VALUE(LEFT('Raw Orders'!B1761,4)),VALUE(MID('Raw Orders'!B1761,6,2)),VALUE(MID('Raw Orders'!B1761,9,2))),DATE(VALUE(MID('Raw Orders'!B1761,7,4)),VALUE(MID('Raw Orders'!B1761,4,2)),VALUE(LEFT('Raw Orders'!B1761,2)))))</f>
        <v>46239</v>
      </c>
      <c r="B1764" s="36" t="n">
        <f aca="false">IF(A1764="","",A1764-WEEKDAY(A1764,3))</f>
        <v>46237</v>
      </c>
      <c r="C1764" s="32" t="n">
        <f aca="false">IF(OR('Raw Orders'!C1761&lt;&gt;"Product",'Raw Orders'!K1761="Cancelled"),0,'Raw Orders'!G1761)</f>
        <v>0</v>
      </c>
      <c r="D1764" s="31" t="n">
        <f aca="false">IF(AND('Raw Orders'!C1761="Product",'Raw Orders'!K1761="Fulfilled",COUNTIFS('Raw Orders'!$A$2:$A1761,'Raw Orders'!A1761,'Raw Orders'!$C$2:$C1761,"Product",'Raw Orders'!$K$2:$K1761,"Fulfilled")=1),1,0)</f>
        <v>0</v>
      </c>
      <c r="E1764" s="31" t="n">
        <f aca="false">IF(AND('Raw Orders'!C1761="Product",'Raw Orders'!K1761="Fulfilled"),'Raw Orders'!E1761,0)</f>
        <v>0</v>
      </c>
      <c r="F1764" s="32" t="n">
        <f aca="false">IF('Raw Orders'!K1761="Refunded",'Raw Orders'!G1761,0)</f>
        <v>0</v>
      </c>
    </row>
    <row r="1765" customFormat="false" ht="15" hidden="false" customHeight="false" outlineLevel="0" collapsed="false">
      <c r="A1765" s="36" t="n">
        <f aca="false">IF('Raw Orders'!B1762="","",IF(MID('Raw Orders'!B1762,5,1)="-",DATE(VALUE(LEFT('Raw Orders'!B1762,4)),VALUE(MID('Raw Orders'!B1762,6,2)),VALUE(MID('Raw Orders'!B1762,9,2))),DATE(VALUE(MID('Raw Orders'!B1762,7,4)),VALUE(MID('Raw Orders'!B1762,4,2)),VALUE(LEFT('Raw Orders'!B1762,2)))))</f>
        <v>46239</v>
      </c>
      <c r="B1765" s="36" t="n">
        <f aca="false">IF(A1765="","",A1765-WEEKDAY(A1765,3))</f>
        <v>46237</v>
      </c>
      <c r="C1765" s="32" t="n">
        <f aca="false">IF(OR('Raw Orders'!C1762&lt;&gt;"Product",'Raw Orders'!K1762="Cancelled"),0,'Raw Orders'!G1762)</f>
        <v>0</v>
      </c>
      <c r="D1765" s="31" t="n">
        <f aca="false">IF(AND('Raw Orders'!C1762="Product",'Raw Orders'!K1762="Fulfilled",COUNTIFS('Raw Orders'!$A$2:$A1762,'Raw Orders'!A1762,'Raw Orders'!$C$2:$C1762,"Product",'Raw Orders'!$K$2:$K1762,"Fulfilled")=1),1,0)</f>
        <v>0</v>
      </c>
      <c r="E1765" s="31" t="n">
        <f aca="false">IF(AND('Raw Orders'!C1762="Product",'Raw Orders'!K1762="Fulfilled"),'Raw Orders'!E1762,0)</f>
        <v>0</v>
      </c>
      <c r="F1765" s="32" t="n">
        <f aca="false">IF('Raw Orders'!K1762="Refunded",'Raw Orders'!G1762,0)</f>
        <v>0</v>
      </c>
    </row>
    <row r="1766" customFormat="false" ht="15" hidden="false" customHeight="false" outlineLevel="0" collapsed="false">
      <c r="A1766" s="36" t="n">
        <f aca="false">IF('Raw Orders'!B1763="","",IF(MID('Raw Orders'!B1763,5,1)="-",DATE(VALUE(LEFT('Raw Orders'!B1763,4)),VALUE(MID('Raw Orders'!B1763,6,2)),VALUE(MID('Raw Orders'!B1763,9,2))),DATE(VALUE(MID('Raw Orders'!B1763,7,4)),VALUE(MID('Raw Orders'!B1763,4,2)),VALUE(LEFT('Raw Orders'!B1763,2)))))</f>
        <v>46239</v>
      </c>
      <c r="B1766" s="36" t="n">
        <f aca="false">IF(A1766="","",A1766-WEEKDAY(A1766,3))</f>
        <v>46237</v>
      </c>
      <c r="C1766" s="32" t="n">
        <f aca="false">IF(OR('Raw Orders'!C1763&lt;&gt;"Product",'Raw Orders'!K1763="Cancelled"),0,'Raw Orders'!G1763)</f>
        <v>32</v>
      </c>
      <c r="D1766" s="31" t="n">
        <f aca="false">IF(AND('Raw Orders'!C1763="Product",'Raw Orders'!K1763="Fulfilled",COUNTIFS('Raw Orders'!$A$2:$A1763,'Raw Orders'!A1763,'Raw Orders'!$C$2:$C1763,"Product",'Raw Orders'!$K$2:$K1763,"Fulfilled")=1),1,0)</f>
        <v>1</v>
      </c>
      <c r="E1766" s="31" t="n">
        <f aca="false">IF(AND('Raw Orders'!C1763="Product",'Raw Orders'!K1763="Fulfilled"),'Raw Orders'!E1763,0)</f>
        <v>1</v>
      </c>
      <c r="F1766" s="32" t="n">
        <f aca="false">IF('Raw Orders'!K1763="Refunded",'Raw Orders'!G1763,0)</f>
        <v>0</v>
      </c>
    </row>
    <row r="1767" customFormat="false" ht="15" hidden="false" customHeight="false" outlineLevel="0" collapsed="false">
      <c r="A1767" s="36" t="n">
        <f aca="false">IF('Raw Orders'!B1764="","",IF(MID('Raw Orders'!B1764,5,1)="-",DATE(VALUE(LEFT('Raw Orders'!B1764,4)),VALUE(MID('Raw Orders'!B1764,6,2)),VALUE(MID('Raw Orders'!B1764,9,2))),DATE(VALUE(MID('Raw Orders'!B1764,7,4)),VALUE(MID('Raw Orders'!B1764,4,2)),VALUE(LEFT('Raw Orders'!B1764,2)))))</f>
        <v>46239</v>
      </c>
      <c r="B1767" s="36" t="n">
        <f aca="false">IF(A1767="","",A1767-WEEKDAY(A1767,3))</f>
        <v>46237</v>
      </c>
      <c r="C1767" s="32" t="n">
        <f aca="false">IF(OR('Raw Orders'!C1764&lt;&gt;"Product",'Raw Orders'!K1764="Cancelled"),0,'Raw Orders'!G1764)</f>
        <v>0</v>
      </c>
      <c r="D1767" s="31" t="n">
        <f aca="false">IF(AND('Raw Orders'!C1764="Product",'Raw Orders'!K1764="Fulfilled",COUNTIFS('Raw Orders'!$A$2:$A1764,'Raw Orders'!A1764,'Raw Orders'!$C$2:$C1764,"Product",'Raw Orders'!$K$2:$K1764,"Fulfilled")=1),1,0)</f>
        <v>0</v>
      </c>
      <c r="E1767" s="31" t="n">
        <f aca="false">IF(AND('Raw Orders'!C1764="Product",'Raw Orders'!K1764="Fulfilled"),'Raw Orders'!E1764,0)</f>
        <v>0</v>
      </c>
      <c r="F1767" s="32" t="n">
        <f aca="false">IF('Raw Orders'!K1764="Refunded",'Raw Orders'!G1764,0)</f>
        <v>0</v>
      </c>
    </row>
    <row r="1768" customFormat="false" ht="15" hidden="false" customHeight="false" outlineLevel="0" collapsed="false">
      <c r="A1768" s="36" t="n">
        <f aca="false">IF('Raw Orders'!B1765="","",IF(MID('Raw Orders'!B1765,5,1)="-",DATE(VALUE(LEFT('Raw Orders'!B1765,4)),VALUE(MID('Raw Orders'!B1765,6,2)),VALUE(MID('Raw Orders'!B1765,9,2))),DATE(VALUE(MID('Raw Orders'!B1765,7,4)),VALUE(MID('Raw Orders'!B1765,4,2)),VALUE(LEFT('Raw Orders'!B1765,2)))))</f>
        <v>46239</v>
      </c>
      <c r="B1768" s="36" t="n">
        <f aca="false">IF(A1768="","",A1768-WEEKDAY(A1768,3))</f>
        <v>46237</v>
      </c>
      <c r="C1768" s="32" t="n">
        <f aca="false">IF(OR('Raw Orders'!C1765&lt;&gt;"Product",'Raw Orders'!K1765="Cancelled"),0,'Raw Orders'!G1765)</f>
        <v>26</v>
      </c>
      <c r="D1768" s="31" t="n">
        <f aca="false">IF(AND('Raw Orders'!C1765="Product",'Raw Orders'!K1765="Fulfilled",COUNTIFS('Raw Orders'!$A$2:$A1765,'Raw Orders'!A1765,'Raw Orders'!$C$2:$C1765,"Product",'Raw Orders'!$K$2:$K1765,"Fulfilled")=1),1,0)</f>
        <v>1</v>
      </c>
      <c r="E1768" s="31" t="n">
        <f aca="false">IF(AND('Raw Orders'!C1765="Product",'Raw Orders'!K1765="Fulfilled"),'Raw Orders'!E1765,0)</f>
        <v>1</v>
      </c>
      <c r="F1768" s="32" t="n">
        <f aca="false">IF('Raw Orders'!K1765="Refunded",'Raw Orders'!G1765,0)</f>
        <v>0</v>
      </c>
    </row>
    <row r="1769" customFormat="false" ht="15" hidden="false" customHeight="false" outlineLevel="0" collapsed="false">
      <c r="A1769" s="36" t="n">
        <f aca="false">IF('Raw Orders'!B1766="","",IF(MID('Raw Orders'!B1766,5,1)="-",DATE(VALUE(LEFT('Raw Orders'!B1766,4)),VALUE(MID('Raw Orders'!B1766,6,2)),VALUE(MID('Raw Orders'!B1766,9,2))),DATE(VALUE(MID('Raw Orders'!B1766,7,4)),VALUE(MID('Raw Orders'!B1766,4,2)),VALUE(LEFT('Raw Orders'!B1766,2)))))</f>
        <v>46239</v>
      </c>
      <c r="B1769" s="36" t="n">
        <f aca="false">IF(A1769="","",A1769-WEEKDAY(A1769,3))</f>
        <v>46237</v>
      </c>
      <c r="C1769" s="32" t="n">
        <f aca="false">IF(OR('Raw Orders'!C1766&lt;&gt;"Product",'Raw Orders'!K1766="Cancelled"),0,'Raw Orders'!G1766)</f>
        <v>78</v>
      </c>
      <c r="D1769" s="31" t="n">
        <f aca="false">IF(AND('Raw Orders'!C1766="Product",'Raw Orders'!K1766="Fulfilled",COUNTIFS('Raw Orders'!$A$2:$A1766,'Raw Orders'!A1766,'Raw Orders'!$C$2:$C1766,"Product",'Raw Orders'!$K$2:$K1766,"Fulfilled")=1),1,0)</f>
        <v>0</v>
      </c>
      <c r="E1769" s="31" t="n">
        <f aca="false">IF(AND('Raw Orders'!C1766="Product",'Raw Orders'!K1766="Fulfilled"),'Raw Orders'!E1766,0)</f>
        <v>2</v>
      </c>
      <c r="F1769" s="32" t="n">
        <f aca="false">IF('Raw Orders'!K1766="Refunded",'Raw Orders'!G1766,0)</f>
        <v>0</v>
      </c>
    </row>
    <row r="1770" customFormat="false" ht="15" hidden="false" customHeight="false" outlineLevel="0" collapsed="false">
      <c r="A1770" s="36" t="n">
        <f aca="false">IF('Raw Orders'!B1767="","",IF(MID('Raw Orders'!B1767,5,1)="-",DATE(VALUE(LEFT('Raw Orders'!B1767,4)),VALUE(MID('Raw Orders'!B1767,6,2)),VALUE(MID('Raw Orders'!B1767,9,2))),DATE(VALUE(MID('Raw Orders'!B1767,7,4)),VALUE(MID('Raw Orders'!B1767,4,2)),VALUE(LEFT('Raw Orders'!B1767,2)))))</f>
        <v>46240</v>
      </c>
      <c r="B1770" s="36" t="n">
        <f aca="false">IF(A1770="","",A1770-WEEKDAY(A1770,3))</f>
        <v>46237</v>
      </c>
      <c r="C1770" s="32" t="n">
        <f aca="false">IF(OR('Raw Orders'!C1767&lt;&gt;"Product",'Raw Orders'!K1767="Cancelled"),0,'Raw Orders'!G1767)</f>
        <v>0</v>
      </c>
      <c r="D1770" s="31" t="n">
        <f aca="false">IF(AND('Raw Orders'!C1767="Product",'Raw Orders'!K1767="Fulfilled",COUNTIFS('Raw Orders'!$A$2:$A1767,'Raw Orders'!A1767,'Raw Orders'!$C$2:$C1767,"Product",'Raw Orders'!$K$2:$K1767,"Fulfilled")=1),1,0)</f>
        <v>0</v>
      </c>
      <c r="E1770" s="31" t="n">
        <f aca="false">IF(AND('Raw Orders'!C1767="Product",'Raw Orders'!K1767="Fulfilled"),'Raw Orders'!E1767,0)</f>
        <v>0</v>
      </c>
      <c r="F1770" s="32" t="n">
        <f aca="false">IF('Raw Orders'!K1767="Refunded",'Raw Orders'!G1767,0)</f>
        <v>0</v>
      </c>
    </row>
    <row r="1771" customFormat="false" ht="15" hidden="false" customHeight="false" outlineLevel="0" collapsed="false">
      <c r="A1771" s="36" t="n">
        <f aca="false">IF('Raw Orders'!B1768="","",IF(MID('Raw Orders'!B1768,5,1)="-",DATE(VALUE(LEFT('Raw Orders'!B1768,4)),VALUE(MID('Raw Orders'!B1768,6,2)),VALUE(MID('Raw Orders'!B1768,9,2))),DATE(VALUE(MID('Raw Orders'!B1768,7,4)),VALUE(MID('Raw Orders'!B1768,4,2)),VALUE(LEFT('Raw Orders'!B1768,2)))))</f>
        <v>46240</v>
      </c>
      <c r="B1771" s="36" t="n">
        <f aca="false">IF(A1771="","",A1771-WEEKDAY(A1771,3))</f>
        <v>46237</v>
      </c>
      <c r="C1771" s="32" t="n">
        <f aca="false">IF(OR('Raw Orders'!C1768&lt;&gt;"Product",'Raw Orders'!K1768="Cancelled"),0,'Raw Orders'!G1768)</f>
        <v>22</v>
      </c>
      <c r="D1771" s="31" t="n">
        <f aca="false">IF(AND('Raw Orders'!C1768="Product",'Raw Orders'!K1768="Fulfilled",COUNTIFS('Raw Orders'!$A$2:$A1768,'Raw Orders'!A1768,'Raw Orders'!$C$2:$C1768,"Product",'Raw Orders'!$K$2:$K1768,"Fulfilled")=1),1,0)</f>
        <v>1</v>
      </c>
      <c r="E1771" s="31" t="n">
        <f aca="false">IF(AND('Raw Orders'!C1768="Product",'Raw Orders'!K1768="Fulfilled"),'Raw Orders'!E1768,0)</f>
        <v>1</v>
      </c>
      <c r="F1771" s="32" t="n">
        <f aca="false">IF('Raw Orders'!K1768="Refunded",'Raw Orders'!G1768,0)</f>
        <v>0</v>
      </c>
    </row>
    <row r="1772" customFormat="false" ht="15" hidden="false" customHeight="false" outlineLevel="0" collapsed="false">
      <c r="A1772" s="36" t="n">
        <f aca="false">IF('Raw Orders'!B1769="","",IF(MID('Raw Orders'!B1769,5,1)="-",DATE(VALUE(LEFT('Raw Orders'!B1769,4)),VALUE(MID('Raw Orders'!B1769,6,2)),VALUE(MID('Raw Orders'!B1769,9,2))),DATE(VALUE(MID('Raw Orders'!B1769,7,4)),VALUE(MID('Raw Orders'!B1769,4,2)),VALUE(LEFT('Raw Orders'!B1769,2)))))</f>
        <v>46240</v>
      </c>
      <c r="B1772" s="36" t="n">
        <f aca="false">IF(A1772="","",A1772-WEEKDAY(A1772,3))</f>
        <v>46237</v>
      </c>
      <c r="C1772" s="32" t="n">
        <f aca="false">IF(OR('Raw Orders'!C1769&lt;&gt;"Product",'Raw Orders'!K1769="Cancelled"),0,'Raw Orders'!G1769)</f>
        <v>11.9</v>
      </c>
      <c r="D1772" s="31" t="n">
        <f aca="false">IF(AND('Raw Orders'!C1769="Product",'Raw Orders'!K1769="Fulfilled",COUNTIFS('Raw Orders'!$A$2:$A1769,'Raw Orders'!A1769,'Raw Orders'!$C$2:$C1769,"Product",'Raw Orders'!$K$2:$K1769,"Fulfilled")=1),1,0)</f>
        <v>0</v>
      </c>
      <c r="E1772" s="31" t="n">
        <f aca="false">IF(AND('Raw Orders'!C1769="Product",'Raw Orders'!K1769="Fulfilled"),'Raw Orders'!E1769,0)</f>
        <v>1</v>
      </c>
      <c r="F1772" s="32" t="n">
        <f aca="false">IF('Raw Orders'!K1769="Refunded",'Raw Orders'!G1769,0)</f>
        <v>0</v>
      </c>
    </row>
    <row r="1773" customFormat="false" ht="15" hidden="false" customHeight="false" outlineLevel="0" collapsed="false">
      <c r="A1773" s="36" t="n">
        <f aca="false">IF('Raw Orders'!B1770="","",IF(MID('Raw Orders'!B1770,5,1)="-",DATE(VALUE(LEFT('Raw Orders'!B1770,4)),VALUE(MID('Raw Orders'!B1770,6,2)),VALUE(MID('Raw Orders'!B1770,9,2))),DATE(VALUE(MID('Raw Orders'!B1770,7,4)),VALUE(MID('Raw Orders'!B1770,4,2)),VALUE(LEFT('Raw Orders'!B1770,2)))))</f>
        <v>46240</v>
      </c>
      <c r="B1773" s="36" t="n">
        <f aca="false">IF(A1773="","",A1773-WEEKDAY(A1773,3))</f>
        <v>46237</v>
      </c>
      <c r="C1773" s="32" t="n">
        <f aca="false">IF(OR('Raw Orders'!C1770&lt;&gt;"Product",'Raw Orders'!K1770="Cancelled"),0,'Raw Orders'!G1770)</f>
        <v>69</v>
      </c>
      <c r="D1773" s="31" t="n">
        <f aca="false">IF(AND('Raw Orders'!C1770="Product",'Raw Orders'!K1770="Fulfilled",COUNTIFS('Raw Orders'!$A$2:$A1770,'Raw Orders'!A1770,'Raw Orders'!$C$2:$C1770,"Product",'Raw Orders'!$K$2:$K1770,"Fulfilled")=1),1,0)</f>
        <v>1</v>
      </c>
      <c r="E1773" s="31" t="n">
        <f aca="false">IF(AND('Raw Orders'!C1770="Product",'Raw Orders'!K1770="Fulfilled"),'Raw Orders'!E1770,0)</f>
        <v>1</v>
      </c>
      <c r="F1773" s="32" t="n">
        <f aca="false">IF('Raw Orders'!K1770="Refunded",'Raw Orders'!G1770,0)</f>
        <v>0</v>
      </c>
    </row>
    <row r="1774" customFormat="false" ht="15" hidden="false" customHeight="false" outlineLevel="0" collapsed="false">
      <c r="A1774" s="36" t="n">
        <f aca="false">IF('Raw Orders'!B1771="","",IF(MID('Raw Orders'!B1771,5,1)="-",DATE(VALUE(LEFT('Raw Orders'!B1771,4)),VALUE(MID('Raw Orders'!B1771,6,2)),VALUE(MID('Raw Orders'!B1771,9,2))),DATE(VALUE(MID('Raw Orders'!B1771,7,4)),VALUE(MID('Raw Orders'!B1771,4,2)),VALUE(LEFT('Raw Orders'!B1771,2)))))</f>
        <v>46240</v>
      </c>
      <c r="B1774" s="36" t="n">
        <f aca="false">IF(A1774="","",A1774-WEEKDAY(A1774,3))</f>
        <v>46237</v>
      </c>
      <c r="C1774" s="32" t="n">
        <f aca="false">IF(OR('Raw Orders'!C1771&lt;&gt;"Product",'Raw Orders'!K1771="Cancelled"),0,'Raw Orders'!G1771)</f>
        <v>0</v>
      </c>
      <c r="D1774" s="31" t="n">
        <f aca="false">IF(AND('Raw Orders'!C1771="Product",'Raw Orders'!K1771="Fulfilled",COUNTIFS('Raw Orders'!$A$2:$A1771,'Raw Orders'!A1771,'Raw Orders'!$C$2:$C1771,"Product",'Raw Orders'!$K$2:$K1771,"Fulfilled")=1),1,0)</f>
        <v>0</v>
      </c>
      <c r="E1774" s="31" t="n">
        <f aca="false">IF(AND('Raw Orders'!C1771="Product",'Raw Orders'!K1771="Fulfilled"),'Raw Orders'!E1771,0)</f>
        <v>0</v>
      </c>
      <c r="F1774" s="32" t="n">
        <f aca="false">IF('Raw Orders'!K1771="Refunded",'Raw Orders'!G1771,0)</f>
        <v>0</v>
      </c>
    </row>
    <row r="1775" customFormat="false" ht="15" hidden="false" customHeight="false" outlineLevel="0" collapsed="false">
      <c r="A1775" s="36" t="n">
        <f aca="false">IF('Raw Orders'!B1772="","",IF(MID('Raw Orders'!B1772,5,1)="-",DATE(VALUE(LEFT('Raw Orders'!B1772,4)),VALUE(MID('Raw Orders'!B1772,6,2)),VALUE(MID('Raw Orders'!B1772,9,2))),DATE(VALUE(MID('Raw Orders'!B1772,7,4)),VALUE(MID('Raw Orders'!B1772,4,2)),VALUE(LEFT('Raw Orders'!B1772,2)))))</f>
        <v>46240</v>
      </c>
      <c r="B1775" s="36" t="n">
        <f aca="false">IF(A1775="","",A1775-WEEKDAY(A1775,3))</f>
        <v>46237</v>
      </c>
      <c r="C1775" s="32" t="n">
        <f aca="false">IF(OR('Raw Orders'!C1772&lt;&gt;"Product",'Raw Orders'!K1772="Cancelled"),0,'Raw Orders'!G1772)</f>
        <v>69</v>
      </c>
      <c r="D1775" s="31" t="n">
        <f aca="false">IF(AND('Raw Orders'!C1772="Product",'Raw Orders'!K1772="Fulfilled",COUNTIFS('Raw Orders'!$A$2:$A1772,'Raw Orders'!A1772,'Raw Orders'!$C$2:$C1772,"Product",'Raw Orders'!$K$2:$K1772,"Fulfilled")=1),1,0)</f>
        <v>1</v>
      </c>
      <c r="E1775" s="31" t="n">
        <f aca="false">IF(AND('Raw Orders'!C1772="Product",'Raw Orders'!K1772="Fulfilled"),'Raw Orders'!E1772,0)</f>
        <v>1</v>
      </c>
      <c r="F1775" s="32" t="n">
        <f aca="false">IF('Raw Orders'!K1772="Refunded",'Raw Orders'!G1772,0)</f>
        <v>0</v>
      </c>
    </row>
    <row r="1776" customFormat="false" ht="15" hidden="false" customHeight="false" outlineLevel="0" collapsed="false">
      <c r="A1776" s="36" t="n">
        <f aca="false">IF('Raw Orders'!B1773="","",IF(MID('Raw Orders'!B1773,5,1)="-",DATE(VALUE(LEFT('Raw Orders'!B1773,4)),VALUE(MID('Raw Orders'!B1773,6,2)),VALUE(MID('Raw Orders'!B1773,9,2))),DATE(VALUE(MID('Raw Orders'!B1773,7,4)),VALUE(MID('Raw Orders'!B1773,4,2)),VALUE(LEFT('Raw Orders'!B1773,2)))))</f>
        <v>46240</v>
      </c>
      <c r="B1776" s="36" t="n">
        <f aca="false">IF(A1776="","",A1776-WEEKDAY(A1776,3))</f>
        <v>46237</v>
      </c>
      <c r="C1776" s="32" t="n">
        <f aca="false">IF(OR('Raw Orders'!C1773&lt;&gt;"Product",'Raw Orders'!K1773="Cancelled"),0,'Raw Orders'!G1773)</f>
        <v>0</v>
      </c>
      <c r="D1776" s="31" t="n">
        <f aca="false">IF(AND('Raw Orders'!C1773="Product",'Raw Orders'!K1773="Fulfilled",COUNTIFS('Raw Orders'!$A$2:$A1773,'Raw Orders'!A1773,'Raw Orders'!$C$2:$C1773,"Product",'Raw Orders'!$K$2:$K1773,"Fulfilled")=1),1,0)</f>
        <v>0</v>
      </c>
      <c r="E1776" s="31" t="n">
        <f aca="false">IF(AND('Raw Orders'!C1773="Product",'Raw Orders'!K1773="Fulfilled"),'Raw Orders'!E1773,0)</f>
        <v>0</v>
      </c>
      <c r="F1776" s="32" t="n">
        <f aca="false">IF('Raw Orders'!K1773="Refunded",'Raw Orders'!G1773,0)</f>
        <v>0</v>
      </c>
    </row>
    <row r="1777" customFormat="false" ht="15" hidden="false" customHeight="false" outlineLevel="0" collapsed="false">
      <c r="A1777" s="36" t="n">
        <f aca="false">IF('Raw Orders'!B1774="","",IF(MID('Raw Orders'!B1774,5,1)="-",DATE(VALUE(LEFT('Raw Orders'!B1774,4)),VALUE(MID('Raw Orders'!B1774,6,2)),VALUE(MID('Raw Orders'!B1774,9,2))),DATE(VALUE(MID('Raw Orders'!B1774,7,4)),VALUE(MID('Raw Orders'!B1774,4,2)),VALUE(LEFT('Raw Orders'!B1774,2)))))</f>
        <v>46240</v>
      </c>
      <c r="B1777" s="36" t="n">
        <f aca="false">IF(A1777="","",A1777-WEEKDAY(A1777,3))</f>
        <v>46237</v>
      </c>
      <c r="C1777" s="32" t="n">
        <f aca="false">IF(OR('Raw Orders'!C1774&lt;&gt;"Product",'Raw Orders'!K1774="Cancelled"),0,'Raw Orders'!G1774)</f>
        <v>0</v>
      </c>
      <c r="D1777" s="31" t="n">
        <f aca="false">IF(AND('Raw Orders'!C1774="Product",'Raw Orders'!K1774="Fulfilled",COUNTIFS('Raw Orders'!$A$2:$A1774,'Raw Orders'!A1774,'Raw Orders'!$C$2:$C1774,"Product",'Raw Orders'!$K$2:$K1774,"Fulfilled")=1),1,0)</f>
        <v>0</v>
      </c>
      <c r="E1777" s="31" t="n">
        <f aca="false">IF(AND('Raw Orders'!C1774="Product",'Raw Orders'!K1774="Fulfilled"),'Raw Orders'!E1774,0)</f>
        <v>0</v>
      </c>
      <c r="F1777" s="32" t="n">
        <f aca="false">IF('Raw Orders'!K1774="Refunded",'Raw Orders'!G1774,0)</f>
        <v>0</v>
      </c>
    </row>
    <row r="1778" customFormat="false" ht="15" hidden="false" customHeight="false" outlineLevel="0" collapsed="false">
      <c r="A1778" s="36" t="n">
        <f aca="false">IF('Raw Orders'!B1775="","",IF(MID('Raw Orders'!B1775,5,1)="-",DATE(VALUE(LEFT('Raw Orders'!B1775,4)),VALUE(MID('Raw Orders'!B1775,6,2)),VALUE(MID('Raw Orders'!B1775,9,2))),DATE(VALUE(MID('Raw Orders'!B1775,7,4)),VALUE(MID('Raw Orders'!B1775,4,2)),VALUE(LEFT('Raw Orders'!B1775,2)))))</f>
        <v>46240</v>
      </c>
      <c r="B1778" s="36" t="n">
        <f aca="false">IF(A1778="","",A1778-WEEKDAY(A1778,3))</f>
        <v>46237</v>
      </c>
      <c r="C1778" s="32" t="n">
        <f aca="false">IF(OR('Raw Orders'!C1775&lt;&gt;"Product",'Raw Orders'!K1775="Cancelled"),0,'Raw Orders'!G1775)</f>
        <v>138</v>
      </c>
      <c r="D1778" s="31" t="n">
        <f aca="false">IF(AND('Raw Orders'!C1775="Product",'Raw Orders'!K1775="Fulfilled",COUNTIFS('Raw Orders'!$A$2:$A1775,'Raw Orders'!A1775,'Raw Orders'!$C$2:$C1775,"Product",'Raw Orders'!$K$2:$K1775,"Fulfilled")=1),1,0)</f>
        <v>1</v>
      </c>
      <c r="E1778" s="31" t="n">
        <f aca="false">IF(AND('Raw Orders'!C1775="Product",'Raw Orders'!K1775="Fulfilled"),'Raw Orders'!E1775,0)</f>
        <v>2</v>
      </c>
      <c r="F1778" s="32" t="n">
        <f aca="false">IF('Raw Orders'!K1775="Refunded",'Raw Orders'!G1775,0)</f>
        <v>0</v>
      </c>
    </row>
    <row r="1779" customFormat="false" ht="15" hidden="false" customHeight="false" outlineLevel="0" collapsed="false">
      <c r="A1779" s="36" t="n">
        <f aca="false">IF('Raw Orders'!B1776="","",IF(MID('Raw Orders'!B1776,5,1)="-",DATE(VALUE(LEFT('Raw Orders'!B1776,4)),VALUE(MID('Raw Orders'!B1776,6,2)),VALUE(MID('Raw Orders'!B1776,9,2))),DATE(VALUE(MID('Raw Orders'!B1776,7,4)),VALUE(MID('Raw Orders'!B1776,4,2)),VALUE(LEFT('Raw Orders'!B1776,2)))))</f>
        <v>46240</v>
      </c>
      <c r="B1779" s="36" t="n">
        <f aca="false">IF(A1779="","",A1779-WEEKDAY(A1779,3))</f>
        <v>46237</v>
      </c>
      <c r="C1779" s="32" t="n">
        <f aca="false">IF(OR('Raw Orders'!C1776&lt;&gt;"Product",'Raw Orders'!K1776="Cancelled"),0,'Raw Orders'!G1776)</f>
        <v>39</v>
      </c>
      <c r="D1779" s="31" t="n">
        <f aca="false">IF(AND('Raw Orders'!C1776="Product",'Raw Orders'!K1776="Fulfilled",COUNTIFS('Raw Orders'!$A$2:$A1776,'Raw Orders'!A1776,'Raw Orders'!$C$2:$C1776,"Product",'Raw Orders'!$K$2:$K1776,"Fulfilled")=1),1,0)</f>
        <v>0</v>
      </c>
      <c r="E1779" s="31" t="n">
        <f aca="false">IF(AND('Raw Orders'!C1776="Product",'Raw Orders'!K1776="Fulfilled"),'Raw Orders'!E1776,0)</f>
        <v>1</v>
      </c>
      <c r="F1779" s="32" t="n">
        <f aca="false">IF('Raw Orders'!K1776="Refunded",'Raw Orders'!G1776,0)</f>
        <v>0</v>
      </c>
    </row>
    <row r="1780" customFormat="false" ht="15" hidden="false" customHeight="false" outlineLevel="0" collapsed="false">
      <c r="A1780" s="36" t="n">
        <f aca="false">IF('Raw Orders'!B1777="","",IF(MID('Raw Orders'!B1777,5,1)="-",DATE(VALUE(LEFT('Raw Orders'!B1777,4)),VALUE(MID('Raw Orders'!B1777,6,2)),VALUE(MID('Raw Orders'!B1777,9,2))),DATE(VALUE(MID('Raw Orders'!B1777,7,4)),VALUE(MID('Raw Orders'!B1777,4,2)),VALUE(LEFT('Raw Orders'!B1777,2)))))</f>
        <v>46240</v>
      </c>
      <c r="B1780" s="36" t="n">
        <f aca="false">IF(A1780="","",A1780-WEEKDAY(A1780,3))</f>
        <v>46237</v>
      </c>
      <c r="C1780" s="32" t="n">
        <f aca="false">IF(OR('Raw Orders'!C1777&lt;&gt;"Product",'Raw Orders'!K1777="Cancelled"),0,'Raw Orders'!G1777)</f>
        <v>39</v>
      </c>
      <c r="D1780" s="31" t="n">
        <f aca="false">IF(AND('Raw Orders'!C1777="Product",'Raw Orders'!K1777="Fulfilled",COUNTIFS('Raw Orders'!$A$2:$A1777,'Raw Orders'!A1777,'Raw Orders'!$C$2:$C1777,"Product",'Raw Orders'!$K$2:$K1777,"Fulfilled")=1),1,0)</f>
        <v>0</v>
      </c>
      <c r="E1780" s="31" t="n">
        <f aca="false">IF(AND('Raw Orders'!C1777="Product",'Raw Orders'!K1777="Fulfilled"),'Raw Orders'!E1777,0)</f>
        <v>1</v>
      </c>
      <c r="F1780" s="32" t="n">
        <f aca="false">IF('Raw Orders'!K1777="Refunded",'Raw Orders'!G1777,0)</f>
        <v>0</v>
      </c>
    </row>
    <row r="1781" customFormat="false" ht="15" hidden="false" customHeight="false" outlineLevel="0" collapsed="false">
      <c r="A1781" s="36" t="n">
        <f aca="false">IF('Raw Orders'!B1778="","",IF(MID('Raw Orders'!B1778,5,1)="-",DATE(VALUE(LEFT('Raw Orders'!B1778,4)),VALUE(MID('Raw Orders'!B1778,6,2)),VALUE(MID('Raw Orders'!B1778,9,2))),DATE(VALUE(MID('Raw Orders'!B1778,7,4)),VALUE(MID('Raw Orders'!B1778,4,2)),VALUE(LEFT('Raw Orders'!B1778,2)))))</f>
        <v>46240</v>
      </c>
      <c r="B1781" s="36" t="n">
        <f aca="false">IF(A1781="","",A1781-WEEKDAY(A1781,3))</f>
        <v>46237</v>
      </c>
      <c r="C1781" s="32" t="n">
        <f aca="false">IF(OR('Raw Orders'!C1778&lt;&gt;"Product",'Raw Orders'!K1778="Cancelled"),0,'Raw Orders'!G1778)</f>
        <v>0</v>
      </c>
      <c r="D1781" s="31" t="n">
        <f aca="false">IF(AND('Raw Orders'!C1778="Product",'Raw Orders'!K1778="Fulfilled",COUNTIFS('Raw Orders'!$A$2:$A1778,'Raw Orders'!A1778,'Raw Orders'!$C$2:$C1778,"Product",'Raw Orders'!$K$2:$K1778,"Fulfilled")=1),1,0)</f>
        <v>0</v>
      </c>
      <c r="E1781" s="31" t="n">
        <f aca="false">IF(AND('Raw Orders'!C1778="Product",'Raw Orders'!K1778="Fulfilled"),'Raw Orders'!E1778,0)</f>
        <v>0</v>
      </c>
      <c r="F1781" s="32" t="n">
        <f aca="false">IF('Raw Orders'!K1778="Refunded",'Raw Orders'!G1778,0)</f>
        <v>0</v>
      </c>
    </row>
    <row r="1782" customFormat="false" ht="15" hidden="false" customHeight="false" outlineLevel="0" collapsed="false">
      <c r="A1782" s="36" t="n">
        <f aca="false">IF('Raw Orders'!B1779="","",IF(MID('Raw Orders'!B1779,5,1)="-",DATE(VALUE(LEFT('Raw Orders'!B1779,4)),VALUE(MID('Raw Orders'!B1779,6,2)),VALUE(MID('Raw Orders'!B1779,9,2))),DATE(VALUE(MID('Raw Orders'!B1779,7,4)),VALUE(MID('Raw Orders'!B1779,4,2)),VALUE(LEFT('Raw Orders'!B1779,2)))))</f>
        <v>46240</v>
      </c>
      <c r="B1782" s="36" t="n">
        <f aca="false">IF(A1782="","",A1782-WEEKDAY(A1782,3))</f>
        <v>46237</v>
      </c>
      <c r="C1782" s="32" t="n">
        <f aca="false">IF(OR('Raw Orders'!C1779&lt;&gt;"Product",'Raw Orders'!K1779="Cancelled"),0,'Raw Orders'!G1779)</f>
        <v>0</v>
      </c>
      <c r="D1782" s="31" t="n">
        <f aca="false">IF(AND('Raw Orders'!C1779="Product",'Raw Orders'!K1779="Fulfilled",COUNTIFS('Raw Orders'!$A$2:$A1779,'Raw Orders'!A1779,'Raw Orders'!$C$2:$C1779,"Product",'Raw Orders'!$K$2:$K1779,"Fulfilled")=1),1,0)</f>
        <v>0</v>
      </c>
      <c r="E1782" s="31" t="n">
        <f aca="false">IF(AND('Raw Orders'!C1779="Product",'Raw Orders'!K1779="Fulfilled"),'Raw Orders'!E1779,0)</f>
        <v>0</v>
      </c>
      <c r="F1782" s="32" t="n">
        <f aca="false">IF('Raw Orders'!K1779="Refunded",'Raw Orders'!G1779,0)</f>
        <v>0</v>
      </c>
    </row>
    <row r="1783" customFormat="false" ht="15" hidden="false" customHeight="false" outlineLevel="0" collapsed="false">
      <c r="A1783" s="36" t="n">
        <f aca="false">IF('Raw Orders'!B1780="","",IF(MID('Raw Orders'!B1780,5,1)="-",DATE(VALUE(LEFT('Raw Orders'!B1780,4)),VALUE(MID('Raw Orders'!B1780,6,2)),VALUE(MID('Raw Orders'!B1780,9,2))),DATE(VALUE(MID('Raw Orders'!B1780,7,4)),VALUE(MID('Raw Orders'!B1780,4,2)),VALUE(LEFT('Raw Orders'!B1780,2)))))</f>
        <v>46240</v>
      </c>
      <c r="B1783" s="36" t="n">
        <f aca="false">IF(A1783="","",A1783-WEEKDAY(A1783,3))</f>
        <v>46237</v>
      </c>
      <c r="C1783" s="32" t="n">
        <f aca="false">IF(OR('Raw Orders'!C1780&lt;&gt;"Product",'Raw Orders'!K1780="Cancelled"),0,'Raw Orders'!G1780)</f>
        <v>207</v>
      </c>
      <c r="D1783" s="31" t="n">
        <f aca="false">IF(AND('Raw Orders'!C1780="Product",'Raw Orders'!K1780="Fulfilled",COUNTIFS('Raw Orders'!$A$2:$A1780,'Raw Orders'!A1780,'Raw Orders'!$C$2:$C1780,"Product",'Raw Orders'!$K$2:$K1780,"Fulfilled")=1),1,0)</f>
        <v>1</v>
      </c>
      <c r="E1783" s="31" t="n">
        <f aca="false">IF(AND('Raw Orders'!C1780="Product",'Raw Orders'!K1780="Fulfilled"),'Raw Orders'!E1780,0)</f>
        <v>3</v>
      </c>
      <c r="F1783" s="32" t="n">
        <f aca="false">IF('Raw Orders'!K1780="Refunded",'Raw Orders'!G1780,0)</f>
        <v>0</v>
      </c>
    </row>
    <row r="1784" customFormat="false" ht="15" hidden="false" customHeight="false" outlineLevel="0" collapsed="false">
      <c r="A1784" s="36" t="n">
        <f aca="false">IF('Raw Orders'!B1781="","",IF(MID('Raw Orders'!B1781,5,1)="-",DATE(VALUE(LEFT('Raw Orders'!B1781,4)),VALUE(MID('Raw Orders'!B1781,6,2)),VALUE(MID('Raw Orders'!B1781,9,2))),DATE(VALUE(MID('Raw Orders'!B1781,7,4)),VALUE(MID('Raw Orders'!B1781,4,2)),VALUE(LEFT('Raw Orders'!B1781,2)))))</f>
        <v>46240</v>
      </c>
      <c r="B1784" s="36" t="n">
        <f aca="false">IF(A1784="","",A1784-WEEKDAY(A1784,3))</f>
        <v>46237</v>
      </c>
      <c r="C1784" s="32" t="n">
        <f aca="false">IF(OR('Raw Orders'!C1781&lt;&gt;"Product",'Raw Orders'!K1781="Cancelled"),0,'Raw Orders'!G1781)</f>
        <v>22</v>
      </c>
      <c r="D1784" s="31" t="n">
        <f aca="false">IF(AND('Raw Orders'!C1781="Product",'Raw Orders'!K1781="Fulfilled",COUNTIFS('Raw Orders'!$A$2:$A1781,'Raw Orders'!A1781,'Raw Orders'!$C$2:$C1781,"Product",'Raw Orders'!$K$2:$K1781,"Fulfilled")=1),1,0)</f>
        <v>0</v>
      </c>
      <c r="E1784" s="31" t="n">
        <f aca="false">IF(AND('Raw Orders'!C1781="Product",'Raw Orders'!K1781="Fulfilled"),'Raw Orders'!E1781,0)</f>
        <v>1</v>
      </c>
      <c r="F1784" s="32" t="n">
        <f aca="false">IF('Raw Orders'!K1781="Refunded",'Raw Orders'!G1781,0)</f>
        <v>0</v>
      </c>
    </row>
    <row r="1785" customFormat="false" ht="15" hidden="false" customHeight="false" outlineLevel="0" collapsed="false">
      <c r="A1785" s="36" t="n">
        <f aca="false">IF('Raw Orders'!B1782="","",IF(MID('Raw Orders'!B1782,5,1)="-",DATE(VALUE(LEFT('Raw Orders'!B1782,4)),VALUE(MID('Raw Orders'!B1782,6,2)),VALUE(MID('Raw Orders'!B1782,9,2))),DATE(VALUE(MID('Raw Orders'!B1782,7,4)),VALUE(MID('Raw Orders'!B1782,4,2)),VALUE(LEFT('Raw Orders'!B1782,2)))))</f>
        <v>46240</v>
      </c>
      <c r="B1785" s="36" t="n">
        <f aca="false">IF(A1785="","",A1785-WEEKDAY(A1785,3))</f>
        <v>46237</v>
      </c>
      <c r="C1785" s="32" t="n">
        <f aca="false">IF(OR('Raw Orders'!C1782&lt;&gt;"Product",'Raw Orders'!K1782="Cancelled"),0,'Raw Orders'!G1782)</f>
        <v>22</v>
      </c>
      <c r="D1785" s="31" t="n">
        <f aca="false">IF(AND('Raw Orders'!C1782="Product",'Raw Orders'!K1782="Fulfilled",COUNTIFS('Raw Orders'!$A$2:$A1782,'Raw Orders'!A1782,'Raw Orders'!$C$2:$C1782,"Product",'Raw Orders'!$K$2:$K1782,"Fulfilled")=1),1,0)</f>
        <v>1</v>
      </c>
      <c r="E1785" s="31" t="n">
        <f aca="false">IF(AND('Raw Orders'!C1782="Product",'Raw Orders'!K1782="Fulfilled"),'Raw Orders'!E1782,0)</f>
        <v>1</v>
      </c>
      <c r="F1785" s="32" t="n">
        <f aca="false">IF('Raw Orders'!K1782="Refunded",'Raw Orders'!G1782,0)</f>
        <v>0</v>
      </c>
    </row>
    <row r="1786" customFormat="false" ht="15" hidden="false" customHeight="false" outlineLevel="0" collapsed="false">
      <c r="A1786" s="36" t="n">
        <f aca="false">IF('Raw Orders'!B1783="","",IF(MID('Raw Orders'!B1783,5,1)="-",DATE(VALUE(LEFT('Raw Orders'!B1783,4)),VALUE(MID('Raw Orders'!B1783,6,2)),VALUE(MID('Raw Orders'!B1783,9,2))),DATE(VALUE(MID('Raw Orders'!B1783,7,4)),VALUE(MID('Raw Orders'!B1783,4,2)),VALUE(LEFT('Raw Orders'!B1783,2)))))</f>
        <v>46240</v>
      </c>
      <c r="B1786" s="36" t="n">
        <f aca="false">IF(A1786="","",A1786-WEEKDAY(A1786,3))</f>
        <v>46237</v>
      </c>
      <c r="C1786" s="32" t="n">
        <f aca="false">IF(OR('Raw Orders'!C1783&lt;&gt;"Product",'Raw Orders'!K1783="Cancelled"),0,'Raw Orders'!G1783)</f>
        <v>0</v>
      </c>
      <c r="D1786" s="31" t="n">
        <f aca="false">IF(AND('Raw Orders'!C1783="Product",'Raw Orders'!K1783="Fulfilled",COUNTIFS('Raw Orders'!$A$2:$A1783,'Raw Orders'!A1783,'Raw Orders'!$C$2:$C1783,"Product",'Raw Orders'!$K$2:$K1783,"Fulfilled")=1),1,0)</f>
        <v>0</v>
      </c>
      <c r="E1786" s="31" t="n">
        <f aca="false">IF(AND('Raw Orders'!C1783="Product",'Raw Orders'!K1783="Fulfilled"),'Raw Orders'!E1783,0)</f>
        <v>0</v>
      </c>
      <c r="F1786" s="32" t="n">
        <f aca="false">IF('Raw Orders'!K1783="Refunded",'Raw Orders'!G1783,0)</f>
        <v>0</v>
      </c>
    </row>
    <row r="1787" customFormat="false" ht="15" hidden="false" customHeight="false" outlineLevel="0" collapsed="false">
      <c r="A1787" s="36" t="n">
        <f aca="false">IF('Raw Orders'!B1784="","",IF(MID('Raw Orders'!B1784,5,1)="-",DATE(VALUE(LEFT('Raw Orders'!B1784,4)),VALUE(MID('Raw Orders'!B1784,6,2)),VALUE(MID('Raw Orders'!B1784,9,2))),DATE(VALUE(MID('Raw Orders'!B1784,7,4)),VALUE(MID('Raw Orders'!B1784,4,2)),VALUE(LEFT('Raw Orders'!B1784,2)))))</f>
        <v>46240</v>
      </c>
      <c r="B1787" s="36" t="n">
        <f aca="false">IF(A1787="","",A1787-WEEKDAY(A1787,3))</f>
        <v>46237</v>
      </c>
      <c r="C1787" s="32" t="n">
        <f aca="false">IF(OR('Raw Orders'!C1784&lt;&gt;"Product",'Raw Orders'!K1784="Cancelled"),0,'Raw Orders'!G1784)</f>
        <v>0</v>
      </c>
      <c r="D1787" s="31" t="n">
        <f aca="false">IF(AND('Raw Orders'!C1784="Product",'Raw Orders'!K1784="Fulfilled",COUNTIFS('Raw Orders'!$A$2:$A1784,'Raw Orders'!A1784,'Raw Orders'!$C$2:$C1784,"Product",'Raw Orders'!$K$2:$K1784,"Fulfilled")=1),1,0)</f>
        <v>0</v>
      </c>
      <c r="E1787" s="31" t="n">
        <f aca="false">IF(AND('Raw Orders'!C1784="Product",'Raw Orders'!K1784="Fulfilled"),'Raw Orders'!E1784,0)</f>
        <v>0</v>
      </c>
      <c r="F1787" s="32" t="n">
        <f aca="false">IF('Raw Orders'!K1784="Refunded",'Raw Orders'!G1784,0)</f>
        <v>0</v>
      </c>
    </row>
    <row r="1788" customFormat="false" ht="15" hidden="false" customHeight="false" outlineLevel="0" collapsed="false">
      <c r="A1788" s="36" t="n">
        <f aca="false">IF('Raw Orders'!B1785="","",IF(MID('Raw Orders'!B1785,5,1)="-",DATE(VALUE(LEFT('Raw Orders'!B1785,4)),VALUE(MID('Raw Orders'!B1785,6,2)),VALUE(MID('Raw Orders'!B1785,9,2))),DATE(VALUE(MID('Raw Orders'!B1785,7,4)),VALUE(MID('Raw Orders'!B1785,4,2)),VALUE(LEFT('Raw Orders'!B1785,2)))))</f>
        <v>46240</v>
      </c>
      <c r="B1788" s="36" t="n">
        <f aca="false">IF(A1788="","",A1788-WEEKDAY(A1788,3))</f>
        <v>46237</v>
      </c>
      <c r="C1788" s="32" t="n">
        <f aca="false">IF(OR('Raw Orders'!C1785&lt;&gt;"Product",'Raw Orders'!K1785="Cancelled"),0,'Raw Orders'!G1785)</f>
        <v>75</v>
      </c>
      <c r="D1788" s="31" t="n">
        <f aca="false">IF(AND('Raw Orders'!C1785="Product",'Raw Orders'!K1785="Fulfilled",COUNTIFS('Raw Orders'!$A$2:$A1785,'Raw Orders'!A1785,'Raw Orders'!$C$2:$C1785,"Product",'Raw Orders'!$K$2:$K1785,"Fulfilled")=1),1,0)</f>
        <v>1</v>
      </c>
      <c r="E1788" s="31" t="n">
        <f aca="false">IF(AND('Raw Orders'!C1785="Product",'Raw Orders'!K1785="Fulfilled"),'Raw Orders'!E1785,0)</f>
        <v>1</v>
      </c>
      <c r="F1788" s="32" t="n">
        <f aca="false">IF('Raw Orders'!K1785="Refunded",'Raw Orders'!G1785,0)</f>
        <v>0</v>
      </c>
    </row>
    <row r="1789" customFormat="false" ht="15" hidden="false" customHeight="false" outlineLevel="0" collapsed="false">
      <c r="A1789" s="36" t="n">
        <f aca="false">IF('Raw Orders'!B1786="","",IF(MID('Raw Orders'!B1786,5,1)="-",DATE(VALUE(LEFT('Raw Orders'!B1786,4)),VALUE(MID('Raw Orders'!B1786,6,2)),VALUE(MID('Raw Orders'!B1786,9,2))),DATE(VALUE(MID('Raw Orders'!B1786,7,4)),VALUE(MID('Raw Orders'!B1786,4,2)),VALUE(LEFT('Raw Orders'!B1786,2)))))</f>
        <v>46240</v>
      </c>
      <c r="B1789" s="36" t="n">
        <f aca="false">IF(A1789="","",A1789-WEEKDAY(A1789,3))</f>
        <v>46237</v>
      </c>
      <c r="C1789" s="32" t="n">
        <f aca="false">IF(OR('Raw Orders'!C1786&lt;&gt;"Product",'Raw Orders'!K1786="Cancelled"),0,'Raw Orders'!G1786)</f>
        <v>45</v>
      </c>
      <c r="D1789" s="31" t="n">
        <f aca="false">IF(AND('Raw Orders'!C1786="Product",'Raw Orders'!K1786="Fulfilled",COUNTIFS('Raw Orders'!$A$2:$A1786,'Raw Orders'!A1786,'Raw Orders'!$C$2:$C1786,"Product",'Raw Orders'!$K$2:$K1786,"Fulfilled")=1),1,0)</f>
        <v>0</v>
      </c>
      <c r="E1789" s="31" t="n">
        <f aca="false">IF(AND('Raw Orders'!C1786="Product",'Raw Orders'!K1786="Fulfilled"),'Raw Orders'!E1786,0)</f>
        <v>1</v>
      </c>
      <c r="F1789" s="32" t="n">
        <f aca="false">IF('Raw Orders'!K1786="Refunded",'Raw Orders'!G1786,0)</f>
        <v>0</v>
      </c>
    </row>
    <row r="1790" customFormat="false" ht="15" hidden="false" customHeight="false" outlineLevel="0" collapsed="false">
      <c r="A1790" s="36" t="n">
        <f aca="false">IF('Raw Orders'!B1787="","",IF(MID('Raw Orders'!B1787,5,1)="-",DATE(VALUE(LEFT('Raw Orders'!B1787,4)),VALUE(MID('Raw Orders'!B1787,6,2)),VALUE(MID('Raw Orders'!B1787,9,2))),DATE(VALUE(MID('Raw Orders'!B1787,7,4)),VALUE(MID('Raw Orders'!B1787,4,2)),VALUE(LEFT('Raw Orders'!B1787,2)))))</f>
        <v>46240</v>
      </c>
      <c r="B1790" s="36" t="n">
        <f aca="false">IF(A1790="","",A1790-WEEKDAY(A1790,3))</f>
        <v>46237</v>
      </c>
      <c r="C1790" s="32" t="n">
        <f aca="false">IF(OR('Raw Orders'!C1787&lt;&gt;"Product",'Raw Orders'!K1787="Cancelled"),0,'Raw Orders'!G1787)</f>
        <v>70</v>
      </c>
      <c r="D1790" s="31" t="n">
        <f aca="false">IF(AND('Raw Orders'!C1787="Product",'Raw Orders'!K1787="Fulfilled",COUNTIFS('Raw Orders'!$A$2:$A1787,'Raw Orders'!A1787,'Raw Orders'!$C$2:$C1787,"Product",'Raw Orders'!$K$2:$K1787,"Fulfilled")=1),1,0)</f>
        <v>1</v>
      </c>
      <c r="E1790" s="31" t="n">
        <f aca="false">IF(AND('Raw Orders'!C1787="Product",'Raw Orders'!K1787="Fulfilled"),'Raw Orders'!E1787,0)</f>
        <v>2</v>
      </c>
      <c r="F1790" s="32" t="n">
        <f aca="false">IF('Raw Orders'!K1787="Refunded",'Raw Orders'!G1787,0)</f>
        <v>0</v>
      </c>
    </row>
    <row r="1791" customFormat="false" ht="15" hidden="false" customHeight="false" outlineLevel="0" collapsed="false">
      <c r="A1791" s="36" t="n">
        <f aca="false">IF('Raw Orders'!B1788="","",IF(MID('Raw Orders'!B1788,5,1)="-",DATE(VALUE(LEFT('Raw Orders'!B1788,4)),VALUE(MID('Raw Orders'!B1788,6,2)),VALUE(MID('Raw Orders'!B1788,9,2))),DATE(VALUE(MID('Raw Orders'!B1788,7,4)),VALUE(MID('Raw Orders'!B1788,4,2)),VALUE(LEFT('Raw Orders'!B1788,2)))))</f>
        <v>46240</v>
      </c>
      <c r="B1791" s="36" t="n">
        <f aca="false">IF(A1791="","",A1791-WEEKDAY(A1791,3))</f>
        <v>46237</v>
      </c>
      <c r="C1791" s="32" t="n">
        <f aca="false">IF(OR('Raw Orders'!C1788&lt;&gt;"Product",'Raw Orders'!K1788="Cancelled"),0,'Raw Orders'!G1788)</f>
        <v>0</v>
      </c>
      <c r="D1791" s="31" t="n">
        <f aca="false">IF(AND('Raw Orders'!C1788="Product",'Raw Orders'!K1788="Fulfilled",COUNTIFS('Raw Orders'!$A$2:$A1788,'Raw Orders'!A1788,'Raw Orders'!$C$2:$C1788,"Product",'Raw Orders'!$K$2:$K1788,"Fulfilled")=1),1,0)</f>
        <v>0</v>
      </c>
      <c r="E1791" s="31" t="n">
        <f aca="false">IF(AND('Raw Orders'!C1788="Product",'Raw Orders'!K1788="Fulfilled"),'Raw Orders'!E1788,0)</f>
        <v>0</v>
      </c>
      <c r="F1791" s="32" t="n">
        <f aca="false">IF('Raw Orders'!K1788="Refunded",'Raw Orders'!G1788,0)</f>
        <v>0</v>
      </c>
    </row>
    <row r="1792" customFormat="false" ht="15" hidden="false" customHeight="false" outlineLevel="0" collapsed="false">
      <c r="A1792" s="36" t="n">
        <f aca="false">IF('Raw Orders'!B1789="","",IF(MID('Raw Orders'!B1789,5,1)="-",DATE(VALUE(LEFT('Raw Orders'!B1789,4)),VALUE(MID('Raw Orders'!B1789,6,2)),VALUE(MID('Raw Orders'!B1789,9,2))),DATE(VALUE(MID('Raw Orders'!B1789,7,4)),VALUE(MID('Raw Orders'!B1789,4,2)),VALUE(LEFT('Raw Orders'!B1789,2)))))</f>
        <v>46240</v>
      </c>
      <c r="B1792" s="36" t="n">
        <f aca="false">IF(A1792="","",A1792-WEEKDAY(A1792,3))</f>
        <v>46237</v>
      </c>
      <c r="C1792" s="32" t="n">
        <f aca="false">IF(OR('Raw Orders'!C1789&lt;&gt;"Product",'Raw Orders'!K1789="Cancelled"),0,'Raw Orders'!G1789)</f>
        <v>0</v>
      </c>
      <c r="D1792" s="31" t="n">
        <f aca="false">IF(AND('Raw Orders'!C1789="Product",'Raw Orders'!K1789="Fulfilled",COUNTIFS('Raw Orders'!$A$2:$A1789,'Raw Orders'!A1789,'Raw Orders'!$C$2:$C1789,"Product",'Raw Orders'!$K$2:$K1789,"Fulfilled")=1),1,0)</f>
        <v>0</v>
      </c>
      <c r="E1792" s="31" t="n">
        <f aca="false">IF(AND('Raw Orders'!C1789="Product",'Raw Orders'!K1789="Fulfilled"),'Raw Orders'!E1789,0)</f>
        <v>0</v>
      </c>
      <c r="F1792" s="32" t="n">
        <f aca="false">IF('Raw Orders'!K1789="Refunded",'Raw Orders'!G1789,0)</f>
        <v>0</v>
      </c>
    </row>
    <row r="1793" customFormat="false" ht="15" hidden="false" customHeight="false" outlineLevel="0" collapsed="false">
      <c r="A1793" s="36" t="n">
        <f aca="false">IF('Raw Orders'!B1790="","",IF(MID('Raw Orders'!B1790,5,1)="-",DATE(VALUE(LEFT('Raw Orders'!B1790,4)),VALUE(MID('Raw Orders'!B1790,6,2)),VALUE(MID('Raw Orders'!B1790,9,2))),DATE(VALUE(MID('Raw Orders'!B1790,7,4)),VALUE(MID('Raw Orders'!B1790,4,2)),VALUE(LEFT('Raw Orders'!B1790,2)))))</f>
        <v>46240</v>
      </c>
      <c r="B1793" s="36" t="n">
        <f aca="false">IF(A1793="","",A1793-WEEKDAY(A1793,3))</f>
        <v>46237</v>
      </c>
      <c r="C1793" s="32" t="n">
        <f aca="false">IF(OR('Raw Orders'!C1790&lt;&gt;"Product",'Raw Orders'!K1790="Cancelled"),0,'Raw Orders'!G1790)</f>
        <v>80.1</v>
      </c>
      <c r="D1793" s="31" t="n">
        <f aca="false">IF(AND('Raw Orders'!C1790="Product",'Raw Orders'!K1790="Fulfilled",COUNTIFS('Raw Orders'!$A$2:$A1790,'Raw Orders'!A1790,'Raw Orders'!$C$2:$C1790,"Product",'Raw Orders'!$K$2:$K1790,"Fulfilled")=1),1,0)</f>
        <v>0</v>
      </c>
      <c r="E1793" s="31" t="n">
        <f aca="false">IF(AND('Raw Orders'!C1790="Product",'Raw Orders'!K1790="Fulfilled"),'Raw Orders'!E1790,0)</f>
        <v>1</v>
      </c>
      <c r="F1793" s="32" t="n">
        <f aca="false">IF('Raw Orders'!K1790="Refunded",'Raw Orders'!G1790,0)</f>
        <v>0</v>
      </c>
    </row>
    <row r="1794" customFormat="false" ht="15" hidden="false" customHeight="false" outlineLevel="0" collapsed="false">
      <c r="A1794" s="36" t="n">
        <f aca="false">IF('Raw Orders'!B1791="","",IF(MID('Raw Orders'!B1791,5,1)="-",DATE(VALUE(LEFT('Raw Orders'!B1791,4)),VALUE(MID('Raw Orders'!B1791,6,2)),VALUE(MID('Raw Orders'!B1791,9,2))),DATE(VALUE(MID('Raw Orders'!B1791,7,4)),VALUE(MID('Raw Orders'!B1791,4,2)),VALUE(LEFT('Raw Orders'!B1791,2)))))</f>
        <v>46240</v>
      </c>
      <c r="B1794" s="36" t="n">
        <f aca="false">IF(A1794="","",A1794-WEEKDAY(A1794,3))</f>
        <v>46237</v>
      </c>
      <c r="C1794" s="32" t="n">
        <f aca="false">IF(OR('Raw Orders'!C1791&lt;&gt;"Product",'Raw Orders'!K1791="Cancelled"),0,'Raw Orders'!G1791)</f>
        <v>90</v>
      </c>
      <c r="D1794" s="31" t="n">
        <f aca="false">IF(AND('Raw Orders'!C1791="Product",'Raw Orders'!K1791="Fulfilled",COUNTIFS('Raw Orders'!$A$2:$A1791,'Raw Orders'!A1791,'Raw Orders'!$C$2:$C1791,"Product",'Raw Orders'!$K$2:$K1791,"Fulfilled")=1),1,0)</f>
        <v>1</v>
      </c>
      <c r="E1794" s="31" t="n">
        <f aca="false">IF(AND('Raw Orders'!C1791="Product",'Raw Orders'!K1791="Fulfilled"),'Raw Orders'!E1791,0)</f>
        <v>2</v>
      </c>
      <c r="F1794" s="32" t="n">
        <f aca="false">IF('Raw Orders'!K1791="Refunded",'Raw Orders'!G1791,0)</f>
        <v>0</v>
      </c>
    </row>
    <row r="1795" customFormat="false" ht="15" hidden="false" customHeight="false" outlineLevel="0" collapsed="false">
      <c r="A1795" s="36" t="n">
        <f aca="false">IF('Raw Orders'!B1792="","",IF(MID('Raw Orders'!B1792,5,1)="-",DATE(VALUE(LEFT('Raw Orders'!B1792,4)),VALUE(MID('Raw Orders'!B1792,6,2)),VALUE(MID('Raw Orders'!B1792,9,2))),DATE(VALUE(MID('Raw Orders'!B1792,7,4)),VALUE(MID('Raw Orders'!B1792,4,2)),VALUE(LEFT('Raw Orders'!B1792,2)))))</f>
        <v>46240</v>
      </c>
      <c r="B1795" s="36" t="n">
        <f aca="false">IF(A1795="","",A1795-WEEKDAY(A1795,3))</f>
        <v>46237</v>
      </c>
      <c r="C1795" s="32" t="n">
        <f aca="false">IF(OR('Raw Orders'!C1792&lt;&gt;"Product",'Raw Orders'!K1792="Cancelled"),0,'Raw Orders'!G1792)</f>
        <v>0</v>
      </c>
      <c r="D1795" s="31" t="n">
        <f aca="false">IF(AND('Raw Orders'!C1792="Product",'Raw Orders'!K1792="Fulfilled",COUNTIFS('Raw Orders'!$A$2:$A1792,'Raw Orders'!A1792,'Raw Orders'!$C$2:$C1792,"Product",'Raw Orders'!$K$2:$K1792,"Fulfilled")=1),1,0)</f>
        <v>0</v>
      </c>
      <c r="E1795" s="31" t="n">
        <f aca="false">IF(AND('Raw Orders'!C1792="Product",'Raw Orders'!K1792="Fulfilled"),'Raw Orders'!E1792,0)</f>
        <v>0</v>
      </c>
      <c r="F1795" s="32" t="n">
        <f aca="false">IF('Raw Orders'!K1792="Refunded",'Raw Orders'!G1792,0)</f>
        <v>0</v>
      </c>
    </row>
    <row r="1796" customFormat="false" ht="15" hidden="false" customHeight="false" outlineLevel="0" collapsed="false">
      <c r="A1796" s="36" t="n">
        <f aca="false">IF('Raw Orders'!B1793="","",IF(MID('Raw Orders'!B1793,5,1)="-",DATE(VALUE(LEFT('Raw Orders'!B1793,4)),VALUE(MID('Raw Orders'!B1793,6,2)),VALUE(MID('Raw Orders'!B1793,9,2))),DATE(VALUE(MID('Raw Orders'!B1793,7,4)),VALUE(MID('Raw Orders'!B1793,4,2)),VALUE(LEFT('Raw Orders'!B1793,2)))))</f>
        <v>46240</v>
      </c>
      <c r="B1796" s="36" t="n">
        <f aca="false">IF(A1796="","",A1796-WEEKDAY(A1796,3))</f>
        <v>46237</v>
      </c>
      <c r="C1796" s="32" t="n">
        <f aca="false">IF(OR('Raw Orders'!C1793&lt;&gt;"Product",'Raw Orders'!K1793="Cancelled"),0,'Raw Orders'!G1793)</f>
        <v>22</v>
      </c>
      <c r="D1796" s="31" t="n">
        <f aca="false">IF(AND('Raw Orders'!C1793="Product",'Raw Orders'!K1793="Fulfilled",COUNTIFS('Raw Orders'!$A$2:$A1793,'Raw Orders'!A1793,'Raw Orders'!$C$2:$C1793,"Product",'Raw Orders'!$K$2:$K1793,"Fulfilled")=1),1,0)</f>
        <v>1</v>
      </c>
      <c r="E1796" s="31" t="n">
        <f aca="false">IF(AND('Raw Orders'!C1793="Product",'Raw Orders'!K1793="Fulfilled"),'Raw Orders'!E1793,0)</f>
        <v>1</v>
      </c>
      <c r="F1796" s="32" t="n">
        <f aca="false">IF('Raw Orders'!K1793="Refunded",'Raw Orders'!G1793,0)</f>
        <v>0</v>
      </c>
    </row>
    <row r="1797" customFormat="false" ht="15" hidden="false" customHeight="false" outlineLevel="0" collapsed="false">
      <c r="A1797" s="36" t="n">
        <f aca="false">IF('Raw Orders'!B1794="","",IF(MID('Raw Orders'!B1794,5,1)="-",DATE(VALUE(LEFT('Raw Orders'!B1794,4)),VALUE(MID('Raw Orders'!B1794,6,2)),VALUE(MID('Raw Orders'!B1794,9,2))),DATE(VALUE(MID('Raw Orders'!B1794,7,4)),VALUE(MID('Raw Orders'!B1794,4,2)),VALUE(LEFT('Raw Orders'!B1794,2)))))</f>
        <v>46240</v>
      </c>
      <c r="B1797" s="36" t="n">
        <f aca="false">IF(A1797="","",A1797-WEEKDAY(A1797,3))</f>
        <v>46237</v>
      </c>
      <c r="C1797" s="32" t="n">
        <f aca="false">IF(OR('Raw Orders'!C1794&lt;&gt;"Product",'Raw Orders'!K1794="Cancelled"),0,'Raw Orders'!G1794)</f>
        <v>0</v>
      </c>
      <c r="D1797" s="31" t="n">
        <f aca="false">IF(AND('Raw Orders'!C1794="Product",'Raw Orders'!K1794="Fulfilled",COUNTIFS('Raw Orders'!$A$2:$A1794,'Raw Orders'!A1794,'Raw Orders'!$C$2:$C1794,"Product",'Raw Orders'!$K$2:$K1794,"Fulfilled")=1),1,0)</f>
        <v>0</v>
      </c>
      <c r="E1797" s="31" t="n">
        <f aca="false">IF(AND('Raw Orders'!C1794="Product",'Raw Orders'!K1794="Fulfilled"),'Raw Orders'!E1794,0)</f>
        <v>0</v>
      </c>
      <c r="F1797" s="32" t="n">
        <f aca="false">IF('Raw Orders'!K1794="Refunded",'Raw Orders'!G1794,0)</f>
        <v>0</v>
      </c>
    </row>
    <row r="1798" customFormat="false" ht="15" hidden="false" customHeight="false" outlineLevel="0" collapsed="false">
      <c r="A1798" s="36" t="n">
        <f aca="false">IF('Raw Orders'!B1795="","",IF(MID('Raw Orders'!B1795,5,1)="-",DATE(VALUE(LEFT('Raw Orders'!B1795,4)),VALUE(MID('Raw Orders'!B1795,6,2)),VALUE(MID('Raw Orders'!B1795,9,2))),DATE(VALUE(MID('Raw Orders'!B1795,7,4)),VALUE(MID('Raw Orders'!B1795,4,2)),VALUE(LEFT('Raw Orders'!B1795,2)))))</f>
        <v>46240</v>
      </c>
      <c r="B1798" s="36" t="n">
        <f aca="false">IF(A1798="","",A1798-WEEKDAY(A1798,3))</f>
        <v>46237</v>
      </c>
      <c r="C1798" s="32" t="n">
        <f aca="false">IF(OR('Raw Orders'!C1795&lt;&gt;"Product",'Raw Orders'!K1795="Cancelled"),0,'Raw Orders'!G1795)</f>
        <v>0</v>
      </c>
      <c r="D1798" s="31" t="n">
        <f aca="false">IF(AND('Raw Orders'!C1795="Product",'Raw Orders'!K1795="Fulfilled",COUNTIFS('Raw Orders'!$A$2:$A1795,'Raw Orders'!A1795,'Raw Orders'!$C$2:$C1795,"Product",'Raw Orders'!$K$2:$K1795,"Fulfilled")=1),1,0)</f>
        <v>0</v>
      </c>
      <c r="E1798" s="31" t="n">
        <f aca="false">IF(AND('Raw Orders'!C1795="Product",'Raw Orders'!K1795="Fulfilled"),'Raw Orders'!E1795,0)</f>
        <v>0</v>
      </c>
      <c r="F1798" s="32" t="n">
        <f aca="false">IF('Raw Orders'!K1795="Refunded",'Raw Orders'!G1795,0)</f>
        <v>0</v>
      </c>
    </row>
    <row r="1799" customFormat="false" ht="15" hidden="false" customHeight="false" outlineLevel="0" collapsed="false">
      <c r="A1799" s="36" t="n">
        <f aca="false">IF('Raw Orders'!B1796="","",IF(MID('Raw Orders'!B1796,5,1)="-",DATE(VALUE(LEFT('Raw Orders'!B1796,4)),VALUE(MID('Raw Orders'!B1796,6,2)),VALUE(MID('Raw Orders'!B1796,9,2))),DATE(VALUE(MID('Raw Orders'!B1796,7,4)),VALUE(MID('Raw Orders'!B1796,4,2)),VALUE(LEFT('Raw Orders'!B1796,2)))))</f>
        <v>46241</v>
      </c>
      <c r="B1799" s="36" t="n">
        <f aca="false">IF(A1799="","",A1799-WEEKDAY(A1799,3))</f>
        <v>46237</v>
      </c>
      <c r="C1799" s="32" t="n">
        <f aca="false">IF(OR('Raw Orders'!C1796&lt;&gt;"Product",'Raw Orders'!K1796="Cancelled"),0,'Raw Orders'!G1796)</f>
        <v>32</v>
      </c>
      <c r="D1799" s="31" t="n">
        <f aca="false">IF(AND('Raw Orders'!C1796="Product",'Raw Orders'!K1796="Fulfilled",COUNTIFS('Raw Orders'!$A$2:$A1796,'Raw Orders'!A1796,'Raw Orders'!$C$2:$C1796,"Product",'Raw Orders'!$K$2:$K1796,"Fulfilled")=1),1,0)</f>
        <v>1</v>
      </c>
      <c r="E1799" s="31" t="n">
        <f aca="false">IF(AND('Raw Orders'!C1796="Product",'Raw Orders'!K1796="Fulfilled"),'Raw Orders'!E1796,0)</f>
        <v>1</v>
      </c>
      <c r="F1799" s="32" t="n">
        <f aca="false">IF('Raw Orders'!K1796="Refunded",'Raw Orders'!G1796,0)</f>
        <v>0</v>
      </c>
    </row>
    <row r="1800" customFormat="false" ht="15" hidden="false" customHeight="false" outlineLevel="0" collapsed="false">
      <c r="A1800" s="36" t="n">
        <f aca="false">IF('Raw Orders'!B1797="","",IF(MID('Raw Orders'!B1797,5,1)="-",DATE(VALUE(LEFT('Raw Orders'!B1797,4)),VALUE(MID('Raw Orders'!B1797,6,2)),VALUE(MID('Raw Orders'!B1797,9,2))),DATE(VALUE(MID('Raw Orders'!B1797,7,4)),VALUE(MID('Raw Orders'!B1797,4,2)),VALUE(LEFT('Raw Orders'!B1797,2)))))</f>
        <v>46241</v>
      </c>
      <c r="B1800" s="36" t="n">
        <f aca="false">IF(A1800="","",A1800-WEEKDAY(A1800,3))</f>
        <v>46237</v>
      </c>
      <c r="C1800" s="32" t="n">
        <f aca="false">IF(OR('Raw Orders'!C1797&lt;&gt;"Product",'Raw Orders'!K1797="Cancelled"),0,'Raw Orders'!G1797)</f>
        <v>135</v>
      </c>
      <c r="D1800" s="31" t="n">
        <f aca="false">IF(AND('Raw Orders'!C1797="Product",'Raw Orders'!K1797="Fulfilled",COUNTIFS('Raw Orders'!$A$2:$A1797,'Raw Orders'!A1797,'Raw Orders'!$C$2:$C1797,"Product",'Raw Orders'!$K$2:$K1797,"Fulfilled")=1),1,0)</f>
        <v>0</v>
      </c>
      <c r="E1800" s="31" t="n">
        <f aca="false">IF(AND('Raw Orders'!C1797="Product",'Raw Orders'!K1797="Fulfilled"),'Raw Orders'!E1797,0)</f>
        <v>3</v>
      </c>
      <c r="F1800" s="32" t="n">
        <f aca="false">IF('Raw Orders'!K1797="Refunded",'Raw Orders'!G1797,0)</f>
        <v>0</v>
      </c>
    </row>
    <row r="1801" customFormat="false" ht="15" hidden="false" customHeight="false" outlineLevel="0" collapsed="false">
      <c r="A1801" s="36" t="n">
        <f aca="false">IF('Raw Orders'!B1798="","",IF(MID('Raw Orders'!B1798,5,1)="-",DATE(VALUE(LEFT('Raw Orders'!B1798,4)),VALUE(MID('Raw Orders'!B1798,6,2)),VALUE(MID('Raw Orders'!B1798,9,2))),DATE(VALUE(MID('Raw Orders'!B1798,7,4)),VALUE(MID('Raw Orders'!B1798,4,2)),VALUE(LEFT('Raw Orders'!B1798,2)))))</f>
        <v>46241</v>
      </c>
      <c r="B1801" s="36" t="n">
        <f aca="false">IF(A1801="","",A1801-WEEKDAY(A1801,3))</f>
        <v>46237</v>
      </c>
      <c r="C1801" s="32" t="n">
        <f aca="false">IF(OR('Raw Orders'!C1798&lt;&gt;"Product",'Raw Orders'!K1798="Cancelled"),0,'Raw Orders'!G1798)</f>
        <v>0</v>
      </c>
      <c r="D1801" s="31" t="n">
        <f aca="false">IF(AND('Raw Orders'!C1798="Product",'Raw Orders'!K1798="Fulfilled",COUNTIFS('Raw Orders'!$A$2:$A1798,'Raw Orders'!A1798,'Raw Orders'!$C$2:$C1798,"Product",'Raw Orders'!$K$2:$K1798,"Fulfilled")=1),1,0)</f>
        <v>0</v>
      </c>
      <c r="E1801" s="31" t="n">
        <f aca="false">IF(AND('Raw Orders'!C1798="Product",'Raw Orders'!K1798="Fulfilled"),'Raw Orders'!E1798,0)</f>
        <v>0</v>
      </c>
      <c r="F1801" s="32" t="n">
        <f aca="false">IF('Raw Orders'!K1798="Refunded",'Raw Orders'!G1798,0)</f>
        <v>0</v>
      </c>
    </row>
    <row r="1802" customFormat="false" ht="15" hidden="false" customHeight="false" outlineLevel="0" collapsed="false">
      <c r="A1802" s="36" t="n">
        <f aca="false">IF('Raw Orders'!B1799="","",IF(MID('Raw Orders'!B1799,5,1)="-",DATE(VALUE(LEFT('Raw Orders'!B1799,4)),VALUE(MID('Raw Orders'!B1799,6,2)),VALUE(MID('Raw Orders'!B1799,9,2))),DATE(VALUE(MID('Raw Orders'!B1799,7,4)),VALUE(MID('Raw Orders'!B1799,4,2)),VALUE(LEFT('Raw Orders'!B1799,2)))))</f>
        <v>46241</v>
      </c>
      <c r="B1802" s="36" t="n">
        <f aca="false">IF(A1802="","",A1802-WEEKDAY(A1802,3))</f>
        <v>46237</v>
      </c>
      <c r="C1802" s="32" t="n">
        <f aca="false">IF(OR('Raw Orders'!C1799&lt;&gt;"Product",'Raw Orders'!K1799="Cancelled"),0,'Raw Orders'!G1799)</f>
        <v>-69</v>
      </c>
      <c r="D1802" s="31" t="n">
        <f aca="false">IF(AND('Raw Orders'!C1799="Product",'Raw Orders'!K1799="Fulfilled",COUNTIFS('Raw Orders'!$A$2:$A1799,'Raw Orders'!A1799,'Raw Orders'!$C$2:$C1799,"Product",'Raw Orders'!$K$2:$K1799,"Fulfilled")=1),1,0)</f>
        <v>0</v>
      </c>
      <c r="E1802" s="31" t="n">
        <f aca="false">IF(AND('Raw Orders'!C1799="Product",'Raw Orders'!K1799="Fulfilled"),'Raw Orders'!E1799,0)</f>
        <v>0</v>
      </c>
      <c r="F1802" s="32" t="n">
        <f aca="false">IF('Raw Orders'!K1799="Refunded",'Raw Orders'!G1799,0)</f>
        <v>-69</v>
      </c>
    </row>
    <row r="1803" customFormat="false" ht="15" hidden="false" customHeight="false" outlineLevel="0" collapsed="false">
      <c r="A1803" s="36" t="n">
        <f aca="false">IF('Raw Orders'!B1800="","",IF(MID('Raw Orders'!B1800,5,1)="-",DATE(VALUE(LEFT('Raw Orders'!B1800,4)),VALUE(MID('Raw Orders'!B1800,6,2)),VALUE(MID('Raw Orders'!B1800,9,2))),DATE(VALUE(MID('Raw Orders'!B1800,7,4)),VALUE(MID('Raw Orders'!B1800,4,2)),VALUE(LEFT('Raw Orders'!B1800,2)))))</f>
        <v>46241</v>
      </c>
      <c r="B1803" s="36" t="n">
        <f aca="false">IF(A1803="","",A1803-WEEKDAY(A1803,3))</f>
        <v>46237</v>
      </c>
      <c r="C1803" s="32" t="n">
        <f aca="false">IF(OR('Raw Orders'!C1800&lt;&gt;"Product",'Raw Orders'!K1800="Cancelled"),0,'Raw Orders'!G1800)</f>
        <v>0</v>
      </c>
      <c r="D1803" s="31" t="n">
        <f aca="false">IF(AND('Raw Orders'!C1800="Product",'Raw Orders'!K1800="Fulfilled",COUNTIFS('Raw Orders'!$A$2:$A1800,'Raw Orders'!A1800,'Raw Orders'!$C$2:$C1800,"Product",'Raw Orders'!$K$2:$K1800,"Fulfilled")=1),1,0)</f>
        <v>0</v>
      </c>
      <c r="E1803" s="31" t="n">
        <f aca="false">IF(AND('Raw Orders'!C1800="Product",'Raw Orders'!K1800="Fulfilled"),'Raw Orders'!E1800,0)</f>
        <v>0</v>
      </c>
      <c r="F1803" s="32" t="n">
        <f aca="false">IF('Raw Orders'!K1800="Refunded",'Raw Orders'!G1800,0)</f>
        <v>0</v>
      </c>
    </row>
    <row r="1804" customFormat="false" ht="15" hidden="false" customHeight="false" outlineLevel="0" collapsed="false">
      <c r="A1804" s="36" t="n">
        <f aca="false">IF('Raw Orders'!B1801="","",IF(MID('Raw Orders'!B1801,5,1)="-",DATE(VALUE(LEFT('Raw Orders'!B1801,4)),VALUE(MID('Raw Orders'!B1801,6,2)),VALUE(MID('Raw Orders'!B1801,9,2))),DATE(VALUE(MID('Raw Orders'!B1801,7,4)),VALUE(MID('Raw Orders'!B1801,4,2)),VALUE(LEFT('Raw Orders'!B1801,2)))))</f>
        <v>46241</v>
      </c>
      <c r="B1804" s="36" t="n">
        <f aca="false">IF(A1804="","",A1804-WEEKDAY(A1804,3))</f>
        <v>46237</v>
      </c>
      <c r="C1804" s="32" t="n">
        <f aca="false">IF(OR('Raw Orders'!C1801&lt;&gt;"Product",'Raw Orders'!K1801="Cancelled"),0,'Raw Orders'!G1801)</f>
        <v>45</v>
      </c>
      <c r="D1804" s="31" t="n">
        <f aca="false">IF(AND('Raw Orders'!C1801="Product",'Raw Orders'!K1801="Fulfilled",COUNTIFS('Raw Orders'!$A$2:$A1801,'Raw Orders'!A1801,'Raw Orders'!$C$2:$C1801,"Product",'Raw Orders'!$K$2:$K1801,"Fulfilled")=1),1,0)</f>
        <v>1</v>
      </c>
      <c r="E1804" s="31" t="n">
        <f aca="false">IF(AND('Raw Orders'!C1801="Product",'Raw Orders'!K1801="Fulfilled"),'Raw Orders'!E1801,0)</f>
        <v>1</v>
      </c>
      <c r="F1804" s="32" t="n">
        <f aca="false">IF('Raw Orders'!K1801="Refunded",'Raw Orders'!G1801,0)</f>
        <v>0</v>
      </c>
    </row>
    <row r="1805" customFormat="false" ht="15" hidden="false" customHeight="false" outlineLevel="0" collapsed="false">
      <c r="A1805" s="36" t="n">
        <f aca="false">IF('Raw Orders'!B1802="","",IF(MID('Raw Orders'!B1802,5,1)="-",DATE(VALUE(LEFT('Raw Orders'!B1802,4)),VALUE(MID('Raw Orders'!B1802,6,2)),VALUE(MID('Raw Orders'!B1802,9,2))),DATE(VALUE(MID('Raw Orders'!B1802,7,4)),VALUE(MID('Raw Orders'!B1802,4,2)),VALUE(LEFT('Raw Orders'!B1802,2)))))</f>
        <v>46241</v>
      </c>
      <c r="B1805" s="36" t="n">
        <f aca="false">IF(A1805="","",A1805-WEEKDAY(A1805,3))</f>
        <v>46237</v>
      </c>
      <c r="C1805" s="32" t="n">
        <f aca="false">IF(OR('Raw Orders'!C1802&lt;&gt;"Product",'Raw Orders'!K1802="Cancelled"),0,'Raw Orders'!G1802)</f>
        <v>0</v>
      </c>
      <c r="D1805" s="31" t="n">
        <f aca="false">IF(AND('Raw Orders'!C1802="Product",'Raw Orders'!K1802="Fulfilled",COUNTIFS('Raw Orders'!$A$2:$A1802,'Raw Orders'!A1802,'Raw Orders'!$C$2:$C1802,"Product",'Raw Orders'!$K$2:$K1802,"Fulfilled")=1),1,0)</f>
        <v>0</v>
      </c>
      <c r="E1805" s="31" t="n">
        <f aca="false">IF(AND('Raw Orders'!C1802="Product",'Raw Orders'!K1802="Fulfilled"),'Raw Orders'!E1802,0)</f>
        <v>0</v>
      </c>
      <c r="F1805" s="32" t="n">
        <f aca="false">IF('Raw Orders'!K1802="Refunded",'Raw Orders'!G1802,0)</f>
        <v>0</v>
      </c>
    </row>
    <row r="1806" customFormat="false" ht="15" hidden="false" customHeight="false" outlineLevel="0" collapsed="false">
      <c r="A1806" s="36" t="n">
        <f aca="false">IF('Raw Orders'!B1803="","",IF(MID('Raw Orders'!B1803,5,1)="-",DATE(VALUE(LEFT('Raw Orders'!B1803,4)),VALUE(MID('Raw Orders'!B1803,6,2)),VALUE(MID('Raw Orders'!B1803,9,2))),DATE(VALUE(MID('Raw Orders'!B1803,7,4)),VALUE(MID('Raw Orders'!B1803,4,2)),VALUE(LEFT('Raw Orders'!B1803,2)))))</f>
        <v>46241</v>
      </c>
      <c r="B1806" s="36" t="n">
        <f aca="false">IF(A1806="","",A1806-WEEKDAY(A1806,3))</f>
        <v>46237</v>
      </c>
      <c r="C1806" s="32" t="n">
        <f aca="false">IF(OR('Raw Orders'!C1803&lt;&gt;"Product",'Raw Orders'!K1803="Cancelled"),0,'Raw Orders'!G1803)</f>
        <v>89</v>
      </c>
      <c r="D1806" s="31" t="n">
        <f aca="false">IF(AND('Raw Orders'!C1803="Product",'Raw Orders'!K1803="Fulfilled",COUNTIFS('Raw Orders'!$A$2:$A1803,'Raw Orders'!A1803,'Raw Orders'!$C$2:$C1803,"Product",'Raw Orders'!$K$2:$K1803,"Fulfilled")=1),1,0)</f>
        <v>1</v>
      </c>
      <c r="E1806" s="31" t="n">
        <f aca="false">IF(AND('Raw Orders'!C1803="Product",'Raw Orders'!K1803="Fulfilled"),'Raw Orders'!E1803,0)</f>
        <v>1</v>
      </c>
      <c r="F1806" s="32" t="n">
        <f aca="false">IF('Raw Orders'!K1803="Refunded",'Raw Orders'!G1803,0)</f>
        <v>0</v>
      </c>
    </row>
    <row r="1807" customFormat="false" ht="15" hidden="false" customHeight="false" outlineLevel="0" collapsed="false">
      <c r="A1807" s="36" t="n">
        <f aca="false">IF('Raw Orders'!B1804="","",IF(MID('Raw Orders'!B1804,5,1)="-",DATE(VALUE(LEFT('Raw Orders'!B1804,4)),VALUE(MID('Raw Orders'!B1804,6,2)),VALUE(MID('Raw Orders'!B1804,9,2))),DATE(VALUE(MID('Raw Orders'!B1804,7,4)),VALUE(MID('Raw Orders'!B1804,4,2)),VALUE(LEFT('Raw Orders'!B1804,2)))))</f>
        <v>46241</v>
      </c>
      <c r="B1807" s="36" t="n">
        <f aca="false">IF(A1807="","",A1807-WEEKDAY(A1807,3))</f>
        <v>46237</v>
      </c>
      <c r="C1807" s="32" t="n">
        <f aca="false">IF(OR('Raw Orders'!C1804&lt;&gt;"Product",'Raw Orders'!K1804="Cancelled"),0,'Raw Orders'!G1804)</f>
        <v>29</v>
      </c>
      <c r="D1807" s="31" t="n">
        <f aca="false">IF(AND('Raw Orders'!C1804="Product",'Raw Orders'!K1804="Fulfilled",COUNTIFS('Raw Orders'!$A$2:$A1804,'Raw Orders'!A1804,'Raw Orders'!$C$2:$C1804,"Product",'Raw Orders'!$K$2:$K1804,"Fulfilled")=1),1,0)</f>
        <v>0</v>
      </c>
      <c r="E1807" s="31" t="n">
        <f aca="false">IF(AND('Raw Orders'!C1804="Product",'Raw Orders'!K1804="Fulfilled"),'Raw Orders'!E1804,0)</f>
        <v>1</v>
      </c>
      <c r="F1807" s="32" t="n">
        <f aca="false">IF('Raw Orders'!K1804="Refunded",'Raw Orders'!G1804,0)</f>
        <v>0</v>
      </c>
    </row>
    <row r="1808" customFormat="false" ht="15" hidden="false" customHeight="false" outlineLevel="0" collapsed="false">
      <c r="A1808" s="36" t="n">
        <f aca="false">IF('Raw Orders'!B1805="","",IF(MID('Raw Orders'!B1805,5,1)="-",DATE(VALUE(LEFT('Raw Orders'!B1805,4)),VALUE(MID('Raw Orders'!B1805,6,2)),VALUE(MID('Raw Orders'!B1805,9,2))),DATE(VALUE(MID('Raw Orders'!B1805,7,4)),VALUE(MID('Raw Orders'!B1805,4,2)),VALUE(LEFT('Raw Orders'!B1805,2)))))</f>
        <v>46241</v>
      </c>
      <c r="B1808" s="36" t="n">
        <f aca="false">IF(A1808="","",A1808-WEEKDAY(A1808,3))</f>
        <v>46237</v>
      </c>
      <c r="C1808" s="32" t="n">
        <f aca="false">IF(OR('Raw Orders'!C1805&lt;&gt;"Product",'Raw Orders'!K1805="Cancelled"),0,'Raw Orders'!G1805)</f>
        <v>22</v>
      </c>
      <c r="D1808" s="31" t="n">
        <f aca="false">IF(AND('Raw Orders'!C1805="Product",'Raw Orders'!K1805="Fulfilled",COUNTIFS('Raw Orders'!$A$2:$A1805,'Raw Orders'!A1805,'Raw Orders'!$C$2:$C1805,"Product",'Raw Orders'!$K$2:$K1805,"Fulfilled")=1),1,0)</f>
        <v>1</v>
      </c>
      <c r="E1808" s="31" t="n">
        <f aca="false">IF(AND('Raw Orders'!C1805="Product",'Raw Orders'!K1805="Fulfilled"),'Raw Orders'!E1805,0)</f>
        <v>1</v>
      </c>
      <c r="F1808" s="32" t="n">
        <f aca="false">IF('Raw Orders'!K1805="Refunded",'Raw Orders'!G1805,0)</f>
        <v>0</v>
      </c>
    </row>
    <row r="1809" customFormat="false" ht="15" hidden="false" customHeight="false" outlineLevel="0" collapsed="false">
      <c r="A1809" s="36" t="n">
        <f aca="false">IF('Raw Orders'!B1806="","",IF(MID('Raw Orders'!B1806,5,1)="-",DATE(VALUE(LEFT('Raw Orders'!B1806,4)),VALUE(MID('Raw Orders'!B1806,6,2)),VALUE(MID('Raw Orders'!B1806,9,2))),DATE(VALUE(MID('Raw Orders'!B1806,7,4)),VALUE(MID('Raw Orders'!B1806,4,2)),VALUE(LEFT('Raw Orders'!B1806,2)))))</f>
        <v>46241</v>
      </c>
      <c r="B1809" s="36" t="n">
        <f aca="false">IF(A1809="","",A1809-WEEKDAY(A1809,3))</f>
        <v>46237</v>
      </c>
      <c r="C1809" s="32" t="n">
        <f aca="false">IF(OR('Raw Orders'!C1806&lt;&gt;"Product",'Raw Orders'!K1806="Cancelled"),0,'Raw Orders'!G1806)</f>
        <v>0</v>
      </c>
      <c r="D1809" s="31" t="n">
        <f aca="false">IF(AND('Raw Orders'!C1806="Product",'Raw Orders'!K1806="Fulfilled",COUNTIFS('Raw Orders'!$A$2:$A1806,'Raw Orders'!A1806,'Raw Orders'!$C$2:$C1806,"Product",'Raw Orders'!$K$2:$K1806,"Fulfilled")=1),1,0)</f>
        <v>0</v>
      </c>
      <c r="E1809" s="31" t="n">
        <f aca="false">IF(AND('Raw Orders'!C1806="Product",'Raw Orders'!K1806="Fulfilled"),'Raw Orders'!E1806,0)</f>
        <v>0</v>
      </c>
      <c r="F1809" s="32" t="n">
        <f aca="false">IF('Raw Orders'!K1806="Refunded",'Raw Orders'!G1806,0)</f>
        <v>0</v>
      </c>
    </row>
    <row r="1810" customFormat="false" ht="15" hidden="false" customHeight="false" outlineLevel="0" collapsed="false">
      <c r="A1810" s="36" t="n">
        <f aca="false">IF('Raw Orders'!B1807="","",IF(MID('Raw Orders'!B1807,5,1)="-",DATE(VALUE(LEFT('Raw Orders'!B1807,4)),VALUE(MID('Raw Orders'!B1807,6,2)),VALUE(MID('Raw Orders'!B1807,9,2))),DATE(VALUE(MID('Raw Orders'!B1807,7,4)),VALUE(MID('Raw Orders'!B1807,4,2)),VALUE(LEFT('Raw Orders'!B1807,2)))))</f>
        <v>46241</v>
      </c>
      <c r="B1810" s="36" t="n">
        <f aca="false">IF(A1810="","",A1810-WEEKDAY(A1810,3))</f>
        <v>46237</v>
      </c>
      <c r="C1810" s="32" t="n">
        <f aca="false">IF(OR('Raw Orders'!C1807&lt;&gt;"Product",'Raw Orders'!K1807="Cancelled"),0,'Raw Orders'!G1807)</f>
        <v>-89</v>
      </c>
      <c r="D1810" s="31" t="n">
        <f aca="false">IF(AND('Raw Orders'!C1807="Product",'Raw Orders'!K1807="Fulfilled",COUNTIFS('Raw Orders'!$A$2:$A1807,'Raw Orders'!A1807,'Raw Orders'!$C$2:$C1807,"Product",'Raw Orders'!$K$2:$K1807,"Fulfilled")=1),1,0)</f>
        <v>0</v>
      </c>
      <c r="E1810" s="31" t="n">
        <f aca="false">IF(AND('Raw Orders'!C1807="Product",'Raw Orders'!K1807="Fulfilled"),'Raw Orders'!E1807,0)</f>
        <v>0</v>
      </c>
      <c r="F1810" s="32" t="n">
        <f aca="false">IF('Raw Orders'!K1807="Refunded",'Raw Orders'!G1807,0)</f>
        <v>-89</v>
      </c>
    </row>
    <row r="1811" customFormat="false" ht="15" hidden="false" customHeight="false" outlineLevel="0" collapsed="false">
      <c r="A1811" s="36" t="n">
        <f aca="false">IF('Raw Orders'!B1808="","",IF(MID('Raw Orders'!B1808,5,1)="-",DATE(VALUE(LEFT('Raw Orders'!B1808,4)),VALUE(MID('Raw Orders'!B1808,6,2)),VALUE(MID('Raw Orders'!B1808,9,2))),DATE(VALUE(MID('Raw Orders'!B1808,7,4)),VALUE(MID('Raw Orders'!B1808,4,2)),VALUE(LEFT('Raw Orders'!B1808,2)))))</f>
        <v>46241</v>
      </c>
      <c r="B1811" s="36" t="n">
        <f aca="false">IF(A1811="","",A1811-WEEKDAY(A1811,3))</f>
        <v>46237</v>
      </c>
      <c r="C1811" s="32" t="n">
        <f aca="false">IF(OR('Raw Orders'!C1808&lt;&gt;"Product",'Raw Orders'!K1808="Cancelled"),0,'Raw Orders'!G1808)</f>
        <v>0</v>
      </c>
      <c r="D1811" s="31" t="n">
        <f aca="false">IF(AND('Raw Orders'!C1808="Product",'Raw Orders'!K1808="Fulfilled",COUNTIFS('Raw Orders'!$A$2:$A1808,'Raw Orders'!A1808,'Raw Orders'!$C$2:$C1808,"Product",'Raw Orders'!$K$2:$K1808,"Fulfilled")=1),1,0)</f>
        <v>0</v>
      </c>
      <c r="E1811" s="31" t="n">
        <f aca="false">IF(AND('Raw Orders'!C1808="Product",'Raw Orders'!K1808="Fulfilled"),'Raw Orders'!E1808,0)</f>
        <v>0</v>
      </c>
      <c r="F1811" s="32" t="n">
        <f aca="false">IF('Raw Orders'!K1808="Refunded",'Raw Orders'!G1808,0)</f>
        <v>0</v>
      </c>
    </row>
    <row r="1812" customFormat="false" ht="15" hidden="false" customHeight="false" outlineLevel="0" collapsed="false">
      <c r="A1812" s="36" t="n">
        <f aca="false">IF('Raw Orders'!B1809="","",IF(MID('Raw Orders'!B1809,5,1)="-",DATE(VALUE(LEFT('Raw Orders'!B1809,4)),VALUE(MID('Raw Orders'!B1809,6,2)),VALUE(MID('Raw Orders'!B1809,9,2))),DATE(VALUE(MID('Raw Orders'!B1809,7,4)),VALUE(MID('Raw Orders'!B1809,4,2)),VALUE(LEFT('Raw Orders'!B1809,2)))))</f>
        <v>46241</v>
      </c>
      <c r="B1812" s="36" t="n">
        <f aca="false">IF(A1812="","",A1812-WEEKDAY(A1812,3))</f>
        <v>46237</v>
      </c>
      <c r="C1812" s="32" t="n">
        <f aca="false">IF(OR('Raw Orders'!C1809&lt;&gt;"Product",'Raw Orders'!K1809="Cancelled"),0,'Raw Orders'!G1809)</f>
        <v>44</v>
      </c>
      <c r="D1812" s="31" t="n">
        <f aca="false">IF(AND('Raw Orders'!C1809="Product",'Raw Orders'!K1809="Fulfilled",COUNTIFS('Raw Orders'!$A$2:$A1809,'Raw Orders'!A1809,'Raw Orders'!$C$2:$C1809,"Product",'Raw Orders'!$K$2:$K1809,"Fulfilled")=1),1,0)</f>
        <v>1</v>
      </c>
      <c r="E1812" s="31" t="n">
        <f aca="false">IF(AND('Raw Orders'!C1809="Product",'Raw Orders'!K1809="Fulfilled"),'Raw Orders'!E1809,0)</f>
        <v>2</v>
      </c>
      <c r="F1812" s="32" t="n">
        <f aca="false">IF('Raw Orders'!K1809="Refunded",'Raw Orders'!G1809,0)</f>
        <v>0</v>
      </c>
    </row>
    <row r="1813" customFormat="false" ht="15" hidden="false" customHeight="false" outlineLevel="0" collapsed="false">
      <c r="A1813" s="36" t="n">
        <f aca="false">IF('Raw Orders'!B1810="","",IF(MID('Raw Orders'!B1810,5,1)="-",DATE(VALUE(LEFT('Raw Orders'!B1810,4)),VALUE(MID('Raw Orders'!B1810,6,2)),VALUE(MID('Raw Orders'!B1810,9,2))),DATE(VALUE(MID('Raw Orders'!B1810,7,4)),VALUE(MID('Raw Orders'!B1810,4,2)),VALUE(LEFT('Raw Orders'!B1810,2)))))</f>
        <v>46241</v>
      </c>
      <c r="B1813" s="36" t="n">
        <f aca="false">IF(A1813="","",A1813-WEEKDAY(A1813,3))</f>
        <v>46237</v>
      </c>
      <c r="C1813" s="32" t="n">
        <f aca="false">IF(OR('Raw Orders'!C1810&lt;&gt;"Product",'Raw Orders'!K1810="Cancelled"),0,'Raw Orders'!G1810)</f>
        <v>89</v>
      </c>
      <c r="D1813" s="31" t="n">
        <f aca="false">IF(AND('Raw Orders'!C1810="Product",'Raw Orders'!K1810="Fulfilled",COUNTIFS('Raw Orders'!$A$2:$A1810,'Raw Orders'!A1810,'Raw Orders'!$C$2:$C1810,"Product",'Raw Orders'!$K$2:$K1810,"Fulfilled")=1),1,0)</f>
        <v>0</v>
      </c>
      <c r="E1813" s="31" t="n">
        <f aca="false">IF(AND('Raw Orders'!C1810="Product",'Raw Orders'!K1810="Fulfilled"),'Raw Orders'!E1810,0)</f>
        <v>1</v>
      </c>
      <c r="F1813" s="32" t="n">
        <f aca="false">IF('Raw Orders'!K1810="Refunded",'Raw Orders'!G1810,0)</f>
        <v>0</v>
      </c>
    </row>
    <row r="1814" customFormat="false" ht="15" hidden="false" customHeight="false" outlineLevel="0" collapsed="false">
      <c r="A1814" s="36" t="n">
        <f aca="false">IF('Raw Orders'!B1811="","",IF(MID('Raw Orders'!B1811,5,1)="-",DATE(VALUE(LEFT('Raw Orders'!B1811,4)),VALUE(MID('Raw Orders'!B1811,6,2)),VALUE(MID('Raw Orders'!B1811,9,2))),DATE(VALUE(MID('Raw Orders'!B1811,7,4)),VALUE(MID('Raw Orders'!B1811,4,2)),VALUE(LEFT('Raw Orders'!B1811,2)))))</f>
        <v>46241</v>
      </c>
      <c r="B1814" s="36" t="n">
        <f aca="false">IF(A1814="","",A1814-WEEKDAY(A1814,3))</f>
        <v>46237</v>
      </c>
      <c r="C1814" s="32" t="n">
        <f aca="false">IF(OR('Raw Orders'!C1811&lt;&gt;"Product",'Raw Orders'!K1811="Cancelled"),0,'Raw Orders'!G1811)</f>
        <v>35</v>
      </c>
      <c r="D1814" s="31" t="n">
        <f aca="false">IF(AND('Raw Orders'!C1811="Product",'Raw Orders'!K1811="Fulfilled",COUNTIFS('Raw Orders'!$A$2:$A1811,'Raw Orders'!A1811,'Raw Orders'!$C$2:$C1811,"Product",'Raw Orders'!$K$2:$K1811,"Fulfilled")=1),1,0)</f>
        <v>1</v>
      </c>
      <c r="E1814" s="31" t="n">
        <f aca="false">IF(AND('Raw Orders'!C1811="Product",'Raw Orders'!K1811="Fulfilled"),'Raw Orders'!E1811,0)</f>
        <v>1</v>
      </c>
      <c r="F1814" s="32" t="n">
        <f aca="false">IF('Raw Orders'!K1811="Refunded",'Raw Orders'!G1811,0)</f>
        <v>0</v>
      </c>
    </row>
    <row r="1815" customFormat="false" ht="15" hidden="false" customHeight="false" outlineLevel="0" collapsed="false">
      <c r="A1815" s="36" t="n">
        <f aca="false">IF('Raw Orders'!B1812="","",IF(MID('Raw Orders'!B1812,5,1)="-",DATE(VALUE(LEFT('Raw Orders'!B1812,4)),VALUE(MID('Raw Orders'!B1812,6,2)),VALUE(MID('Raw Orders'!B1812,9,2))),DATE(VALUE(MID('Raw Orders'!B1812,7,4)),VALUE(MID('Raw Orders'!B1812,4,2)),VALUE(LEFT('Raw Orders'!B1812,2)))))</f>
        <v>46241</v>
      </c>
      <c r="B1815" s="36" t="n">
        <f aca="false">IF(A1815="","",A1815-WEEKDAY(A1815,3))</f>
        <v>46237</v>
      </c>
      <c r="C1815" s="32" t="n">
        <f aca="false">IF(OR('Raw Orders'!C1812&lt;&gt;"Product",'Raw Orders'!K1812="Cancelled"),0,'Raw Orders'!G1812)</f>
        <v>78</v>
      </c>
      <c r="D1815" s="31" t="n">
        <f aca="false">IF(AND('Raw Orders'!C1812="Product",'Raw Orders'!K1812="Fulfilled",COUNTIFS('Raw Orders'!$A$2:$A1812,'Raw Orders'!A1812,'Raw Orders'!$C$2:$C1812,"Product",'Raw Orders'!$K$2:$K1812,"Fulfilled")=1),1,0)</f>
        <v>0</v>
      </c>
      <c r="E1815" s="31" t="n">
        <f aca="false">IF(AND('Raw Orders'!C1812="Product",'Raw Orders'!K1812="Fulfilled"),'Raw Orders'!E1812,0)</f>
        <v>2</v>
      </c>
      <c r="F1815" s="32" t="n">
        <f aca="false">IF('Raw Orders'!K1812="Refunded",'Raw Orders'!G1812,0)</f>
        <v>0</v>
      </c>
    </row>
    <row r="1816" customFormat="false" ht="15" hidden="false" customHeight="false" outlineLevel="0" collapsed="false">
      <c r="A1816" s="36" t="n">
        <f aca="false">IF('Raw Orders'!B1813="","",IF(MID('Raw Orders'!B1813,5,1)="-",DATE(VALUE(LEFT('Raw Orders'!B1813,4)),VALUE(MID('Raw Orders'!B1813,6,2)),VALUE(MID('Raw Orders'!B1813,9,2))),DATE(VALUE(MID('Raw Orders'!B1813,7,4)),VALUE(MID('Raw Orders'!B1813,4,2)),VALUE(LEFT('Raw Orders'!B1813,2)))))</f>
        <v>46241</v>
      </c>
      <c r="B1816" s="36" t="n">
        <f aca="false">IF(A1816="","",A1816-WEEKDAY(A1816,3))</f>
        <v>46237</v>
      </c>
      <c r="C1816" s="32" t="n">
        <f aca="false">IF(OR('Raw Orders'!C1813&lt;&gt;"Product",'Raw Orders'!K1813="Cancelled"),0,'Raw Orders'!G1813)</f>
        <v>0</v>
      </c>
      <c r="D1816" s="31" t="n">
        <f aca="false">IF(AND('Raw Orders'!C1813="Product",'Raw Orders'!K1813="Fulfilled",COUNTIFS('Raw Orders'!$A$2:$A1813,'Raw Orders'!A1813,'Raw Orders'!$C$2:$C1813,"Product",'Raw Orders'!$K$2:$K1813,"Fulfilled")=1),1,0)</f>
        <v>0</v>
      </c>
      <c r="E1816" s="31" t="n">
        <f aca="false">IF(AND('Raw Orders'!C1813="Product",'Raw Orders'!K1813="Fulfilled"),'Raw Orders'!E1813,0)</f>
        <v>0</v>
      </c>
      <c r="F1816" s="32" t="n">
        <f aca="false">IF('Raw Orders'!K1813="Refunded",'Raw Orders'!G1813,0)</f>
        <v>0</v>
      </c>
    </row>
    <row r="1817" customFormat="false" ht="15" hidden="false" customHeight="false" outlineLevel="0" collapsed="false">
      <c r="A1817" s="36" t="n">
        <f aca="false">IF('Raw Orders'!B1814="","",IF(MID('Raw Orders'!B1814,5,1)="-",DATE(VALUE(LEFT('Raw Orders'!B1814,4)),VALUE(MID('Raw Orders'!B1814,6,2)),VALUE(MID('Raw Orders'!B1814,9,2))),DATE(VALUE(MID('Raw Orders'!B1814,7,4)),VALUE(MID('Raw Orders'!B1814,4,2)),VALUE(LEFT('Raw Orders'!B1814,2)))))</f>
        <v>46241</v>
      </c>
      <c r="B1817" s="36" t="n">
        <f aca="false">IF(A1817="","",A1817-WEEKDAY(A1817,3))</f>
        <v>46237</v>
      </c>
      <c r="C1817" s="32" t="n">
        <f aca="false">IF(OR('Raw Orders'!C1814&lt;&gt;"Product",'Raw Orders'!K1814="Cancelled"),0,'Raw Orders'!G1814)</f>
        <v>0</v>
      </c>
      <c r="D1817" s="31" t="n">
        <f aca="false">IF(AND('Raw Orders'!C1814="Product",'Raw Orders'!K1814="Fulfilled",COUNTIFS('Raw Orders'!$A$2:$A1814,'Raw Orders'!A1814,'Raw Orders'!$C$2:$C1814,"Product",'Raw Orders'!$K$2:$K1814,"Fulfilled")=1),1,0)</f>
        <v>0</v>
      </c>
      <c r="E1817" s="31" t="n">
        <f aca="false">IF(AND('Raw Orders'!C1814="Product",'Raw Orders'!K1814="Fulfilled"),'Raw Orders'!E1814,0)</f>
        <v>0</v>
      </c>
      <c r="F1817" s="32" t="n">
        <f aca="false">IF('Raw Orders'!K1814="Refunded",'Raw Orders'!G1814,0)</f>
        <v>0</v>
      </c>
    </row>
    <row r="1818" customFormat="false" ht="15" hidden="false" customHeight="false" outlineLevel="0" collapsed="false">
      <c r="A1818" s="36" t="n">
        <f aca="false">IF('Raw Orders'!B1815="","",IF(MID('Raw Orders'!B1815,5,1)="-",DATE(VALUE(LEFT('Raw Orders'!B1815,4)),VALUE(MID('Raw Orders'!B1815,6,2)),VALUE(MID('Raw Orders'!B1815,9,2))),DATE(VALUE(MID('Raw Orders'!B1815,7,4)),VALUE(MID('Raw Orders'!B1815,4,2)),VALUE(LEFT('Raw Orders'!B1815,2)))))</f>
        <v>46241</v>
      </c>
      <c r="B1818" s="36" t="n">
        <f aca="false">IF(A1818="","",A1818-WEEKDAY(A1818,3))</f>
        <v>46237</v>
      </c>
      <c r="C1818" s="32" t="n">
        <f aca="false">IF(OR('Raw Orders'!C1815&lt;&gt;"Product",'Raw Orders'!K1815="Cancelled"),0,'Raw Orders'!G1815)</f>
        <v>178</v>
      </c>
      <c r="D1818" s="31" t="n">
        <f aca="false">IF(AND('Raw Orders'!C1815="Product",'Raw Orders'!K1815="Fulfilled",COUNTIFS('Raw Orders'!$A$2:$A1815,'Raw Orders'!A1815,'Raw Orders'!$C$2:$C1815,"Product",'Raw Orders'!$K$2:$K1815,"Fulfilled")=1),1,0)</f>
        <v>1</v>
      </c>
      <c r="E1818" s="31" t="n">
        <f aca="false">IF(AND('Raw Orders'!C1815="Product",'Raw Orders'!K1815="Fulfilled"),'Raw Orders'!E1815,0)</f>
        <v>2</v>
      </c>
      <c r="F1818" s="32" t="n">
        <f aca="false">IF('Raw Orders'!K1815="Refunded",'Raw Orders'!G1815,0)</f>
        <v>0</v>
      </c>
    </row>
    <row r="1819" customFormat="false" ht="15" hidden="false" customHeight="false" outlineLevel="0" collapsed="false">
      <c r="A1819" s="36" t="n">
        <f aca="false">IF('Raw Orders'!B1816="","",IF(MID('Raw Orders'!B1816,5,1)="-",DATE(VALUE(LEFT('Raw Orders'!B1816,4)),VALUE(MID('Raw Orders'!B1816,6,2)),VALUE(MID('Raw Orders'!B1816,9,2))),DATE(VALUE(MID('Raw Orders'!B1816,7,4)),VALUE(MID('Raw Orders'!B1816,4,2)),VALUE(LEFT('Raw Orders'!B1816,2)))))</f>
        <v>46241</v>
      </c>
      <c r="B1819" s="36" t="n">
        <f aca="false">IF(A1819="","",A1819-WEEKDAY(A1819,3))</f>
        <v>46237</v>
      </c>
      <c r="C1819" s="32" t="n">
        <f aca="false">IF(OR('Raw Orders'!C1816&lt;&gt;"Product",'Raw Orders'!K1816="Cancelled"),0,'Raw Orders'!G1816)</f>
        <v>69</v>
      </c>
      <c r="D1819" s="31" t="n">
        <f aca="false">IF(AND('Raw Orders'!C1816="Product",'Raw Orders'!K1816="Fulfilled",COUNTIFS('Raw Orders'!$A$2:$A1816,'Raw Orders'!A1816,'Raw Orders'!$C$2:$C1816,"Product",'Raw Orders'!$K$2:$K1816,"Fulfilled")=1),1,0)</f>
        <v>0</v>
      </c>
      <c r="E1819" s="31" t="n">
        <f aca="false">IF(AND('Raw Orders'!C1816="Product",'Raw Orders'!K1816="Fulfilled"),'Raw Orders'!E1816,0)</f>
        <v>1</v>
      </c>
      <c r="F1819" s="32" t="n">
        <f aca="false">IF('Raw Orders'!K1816="Refunded",'Raw Orders'!G1816,0)</f>
        <v>0</v>
      </c>
    </row>
    <row r="1820" customFormat="false" ht="15" hidden="false" customHeight="false" outlineLevel="0" collapsed="false">
      <c r="A1820" s="36" t="n">
        <f aca="false">IF('Raw Orders'!B1817="","",IF(MID('Raw Orders'!B1817,5,1)="-",DATE(VALUE(LEFT('Raw Orders'!B1817,4)),VALUE(MID('Raw Orders'!B1817,6,2)),VALUE(MID('Raw Orders'!B1817,9,2))),DATE(VALUE(MID('Raw Orders'!B1817,7,4)),VALUE(MID('Raw Orders'!B1817,4,2)),VALUE(LEFT('Raw Orders'!B1817,2)))))</f>
        <v>46242</v>
      </c>
      <c r="B1820" s="36" t="n">
        <f aca="false">IF(A1820="","",A1820-WEEKDAY(A1820,3))</f>
        <v>46237</v>
      </c>
      <c r="C1820" s="32" t="n">
        <f aca="false">IF(OR('Raw Orders'!C1817&lt;&gt;"Product",'Raw Orders'!K1817="Cancelled"),0,'Raw Orders'!G1817)</f>
        <v>0</v>
      </c>
      <c r="D1820" s="31" t="n">
        <f aca="false">IF(AND('Raw Orders'!C1817="Product",'Raw Orders'!K1817="Fulfilled",COUNTIFS('Raw Orders'!$A$2:$A1817,'Raw Orders'!A1817,'Raw Orders'!$C$2:$C1817,"Product",'Raw Orders'!$K$2:$K1817,"Fulfilled")=1),1,0)</f>
        <v>0</v>
      </c>
      <c r="E1820" s="31" t="n">
        <f aca="false">IF(AND('Raw Orders'!C1817="Product",'Raw Orders'!K1817="Fulfilled"),'Raw Orders'!E1817,0)</f>
        <v>0</v>
      </c>
      <c r="F1820" s="32" t="n">
        <f aca="false">IF('Raw Orders'!K1817="Refunded",'Raw Orders'!G1817,0)</f>
        <v>0</v>
      </c>
    </row>
    <row r="1821" customFormat="false" ht="15" hidden="false" customHeight="false" outlineLevel="0" collapsed="false">
      <c r="A1821" s="36" t="n">
        <f aca="false">IF('Raw Orders'!B1818="","",IF(MID('Raw Orders'!B1818,5,1)="-",DATE(VALUE(LEFT('Raw Orders'!B1818,4)),VALUE(MID('Raw Orders'!B1818,6,2)),VALUE(MID('Raw Orders'!B1818,9,2))),DATE(VALUE(MID('Raw Orders'!B1818,7,4)),VALUE(MID('Raw Orders'!B1818,4,2)),VALUE(LEFT('Raw Orders'!B1818,2)))))</f>
        <v>46242</v>
      </c>
      <c r="B1821" s="36" t="n">
        <f aca="false">IF(A1821="","",A1821-WEEKDAY(A1821,3))</f>
        <v>46237</v>
      </c>
      <c r="C1821" s="32" t="n">
        <f aca="false">IF(OR('Raw Orders'!C1818&lt;&gt;"Product",'Raw Orders'!K1818="Cancelled"),0,'Raw Orders'!G1818)</f>
        <v>32</v>
      </c>
      <c r="D1821" s="31" t="n">
        <f aca="false">IF(AND('Raw Orders'!C1818="Product",'Raw Orders'!K1818="Fulfilled",COUNTIFS('Raw Orders'!$A$2:$A1818,'Raw Orders'!A1818,'Raw Orders'!$C$2:$C1818,"Product",'Raw Orders'!$K$2:$K1818,"Fulfilled")=1),1,0)</f>
        <v>1</v>
      </c>
      <c r="E1821" s="31" t="n">
        <f aca="false">IF(AND('Raw Orders'!C1818="Product",'Raw Orders'!K1818="Fulfilled"),'Raw Orders'!E1818,0)</f>
        <v>1</v>
      </c>
      <c r="F1821" s="32" t="n">
        <f aca="false">IF('Raw Orders'!K1818="Refunded",'Raw Orders'!G1818,0)</f>
        <v>0</v>
      </c>
    </row>
    <row r="1822" customFormat="false" ht="15" hidden="false" customHeight="false" outlineLevel="0" collapsed="false">
      <c r="A1822" s="36" t="n">
        <f aca="false">IF('Raw Orders'!B1819="","",IF(MID('Raw Orders'!B1819,5,1)="-",DATE(VALUE(LEFT('Raw Orders'!B1819,4)),VALUE(MID('Raw Orders'!B1819,6,2)),VALUE(MID('Raw Orders'!B1819,9,2))),DATE(VALUE(MID('Raw Orders'!B1819,7,4)),VALUE(MID('Raw Orders'!B1819,4,2)),VALUE(LEFT('Raw Orders'!B1819,2)))))</f>
        <v>46242</v>
      </c>
      <c r="B1822" s="36" t="n">
        <f aca="false">IF(A1822="","",A1822-WEEKDAY(A1822,3))</f>
        <v>46237</v>
      </c>
      <c r="C1822" s="32" t="n">
        <f aca="false">IF(OR('Raw Orders'!C1819&lt;&gt;"Product",'Raw Orders'!K1819="Cancelled"),0,'Raw Orders'!G1819)</f>
        <v>-78</v>
      </c>
      <c r="D1822" s="31" t="n">
        <f aca="false">IF(AND('Raw Orders'!C1819="Product",'Raw Orders'!K1819="Fulfilled",COUNTIFS('Raw Orders'!$A$2:$A1819,'Raw Orders'!A1819,'Raw Orders'!$C$2:$C1819,"Product",'Raw Orders'!$K$2:$K1819,"Fulfilled")=1),1,0)</f>
        <v>0</v>
      </c>
      <c r="E1822" s="31" t="n">
        <f aca="false">IF(AND('Raw Orders'!C1819="Product",'Raw Orders'!K1819="Fulfilled"),'Raw Orders'!E1819,0)</f>
        <v>0</v>
      </c>
      <c r="F1822" s="32" t="n">
        <f aca="false">IF('Raw Orders'!K1819="Refunded",'Raw Orders'!G1819,0)</f>
        <v>-78</v>
      </c>
    </row>
    <row r="1823" customFormat="false" ht="15" hidden="false" customHeight="false" outlineLevel="0" collapsed="false">
      <c r="A1823" s="36" t="n">
        <f aca="false">IF('Raw Orders'!B1820="","",IF(MID('Raw Orders'!B1820,5,1)="-",DATE(VALUE(LEFT('Raw Orders'!B1820,4)),VALUE(MID('Raw Orders'!B1820,6,2)),VALUE(MID('Raw Orders'!B1820,9,2))),DATE(VALUE(MID('Raw Orders'!B1820,7,4)),VALUE(MID('Raw Orders'!B1820,4,2)),VALUE(LEFT('Raw Orders'!B1820,2)))))</f>
        <v>46242</v>
      </c>
      <c r="B1823" s="36" t="n">
        <f aca="false">IF(A1823="","",A1823-WEEKDAY(A1823,3))</f>
        <v>46237</v>
      </c>
      <c r="C1823" s="32" t="n">
        <f aca="false">IF(OR('Raw Orders'!C1820&lt;&gt;"Product",'Raw Orders'!K1820="Cancelled"),0,'Raw Orders'!G1820)</f>
        <v>-44</v>
      </c>
      <c r="D1823" s="31" t="n">
        <f aca="false">IF(AND('Raw Orders'!C1820="Product",'Raw Orders'!K1820="Fulfilled",COUNTIFS('Raw Orders'!$A$2:$A1820,'Raw Orders'!A1820,'Raw Orders'!$C$2:$C1820,"Product",'Raw Orders'!$K$2:$K1820,"Fulfilled")=1),1,0)</f>
        <v>0</v>
      </c>
      <c r="E1823" s="31" t="n">
        <f aca="false">IF(AND('Raw Orders'!C1820="Product",'Raw Orders'!K1820="Fulfilled"),'Raw Orders'!E1820,0)</f>
        <v>0</v>
      </c>
      <c r="F1823" s="32" t="n">
        <f aca="false">IF('Raw Orders'!K1820="Refunded",'Raw Orders'!G1820,0)</f>
        <v>-44</v>
      </c>
    </row>
    <row r="1824" customFormat="false" ht="15" hidden="false" customHeight="false" outlineLevel="0" collapsed="false">
      <c r="A1824" s="36" t="n">
        <f aca="false">IF('Raw Orders'!B1821="","",IF(MID('Raw Orders'!B1821,5,1)="-",DATE(VALUE(LEFT('Raw Orders'!B1821,4)),VALUE(MID('Raw Orders'!B1821,6,2)),VALUE(MID('Raw Orders'!B1821,9,2))),DATE(VALUE(MID('Raw Orders'!B1821,7,4)),VALUE(MID('Raw Orders'!B1821,4,2)),VALUE(LEFT('Raw Orders'!B1821,2)))))</f>
        <v>46242</v>
      </c>
      <c r="B1824" s="36" t="n">
        <f aca="false">IF(A1824="","",A1824-WEEKDAY(A1824,3))</f>
        <v>46237</v>
      </c>
      <c r="C1824" s="32" t="n">
        <f aca="false">IF(OR('Raw Orders'!C1821&lt;&gt;"Product",'Raw Orders'!K1821="Cancelled"),0,'Raw Orders'!G1821)</f>
        <v>26</v>
      </c>
      <c r="D1824" s="31" t="n">
        <f aca="false">IF(AND('Raw Orders'!C1821="Product",'Raw Orders'!K1821="Fulfilled",COUNTIFS('Raw Orders'!$A$2:$A1821,'Raw Orders'!A1821,'Raw Orders'!$C$2:$C1821,"Product",'Raw Orders'!$K$2:$K1821,"Fulfilled")=1),1,0)</f>
        <v>1</v>
      </c>
      <c r="E1824" s="31" t="n">
        <f aca="false">IF(AND('Raw Orders'!C1821="Product",'Raw Orders'!K1821="Fulfilled"),'Raw Orders'!E1821,0)</f>
        <v>1</v>
      </c>
      <c r="F1824" s="32" t="n">
        <f aca="false">IF('Raw Orders'!K1821="Refunded",'Raw Orders'!G1821,0)</f>
        <v>0</v>
      </c>
    </row>
    <row r="1825" customFormat="false" ht="15" hidden="false" customHeight="false" outlineLevel="0" collapsed="false">
      <c r="A1825" s="36" t="n">
        <f aca="false">IF('Raw Orders'!B1822="","",IF(MID('Raw Orders'!B1822,5,1)="-",DATE(VALUE(LEFT('Raw Orders'!B1822,4)),VALUE(MID('Raw Orders'!B1822,6,2)),VALUE(MID('Raw Orders'!B1822,9,2))),DATE(VALUE(MID('Raw Orders'!B1822,7,4)),VALUE(MID('Raw Orders'!B1822,4,2)),VALUE(LEFT('Raw Orders'!B1822,2)))))</f>
        <v>46242</v>
      </c>
      <c r="B1825" s="36" t="n">
        <f aca="false">IF(A1825="","",A1825-WEEKDAY(A1825,3))</f>
        <v>46237</v>
      </c>
      <c r="C1825" s="32" t="n">
        <f aca="false">IF(OR('Raw Orders'!C1822&lt;&gt;"Product",'Raw Orders'!K1822="Cancelled"),0,'Raw Orders'!G1822)</f>
        <v>0</v>
      </c>
      <c r="D1825" s="31" t="n">
        <f aca="false">IF(AND('Raw Orders'!C1822="Product",'Raw Orders'!K1822="Fulfilled",COUNTIFS('Raw Orders'!$A$2:$A1822,'Raw Orders'!A1822,'Raw Orders'!$C$2:$C1822,"Product",'Raw Orders'!$K$2:$K1822,"Fulfilled")=1),1,0)</f>
        <v>0</v>
      </c>
      <c r="E1825" s="31" t="n">
        <f aca="false">IF(AND('Raw Orders'!C1822="Product",'Raw Orders'!K1822="Fulfilled"),'Raw Orders'!E1822,0)</f>
        <v>0</v>
      </c>
      <c r="F1825" s="32" t="n">
        <f aca="false">IF('Raw Orders'!K1822="Refunded",'Raw Orders'!G1822,0)</f>
        <v>0</v>
      </c>
    </row>
    <row r="1826" customFormat="false" ht="15" hidden="false" customHeight="false" outlineLevel="0" collapsed="false">
      <c r="A1826" s="36" t="n">
        <f aca="false">IF('Raw Orders'!B1823="","",IF(MID('Raw Orders'!B1823,5,1)="-",DATE(VALUE(LEFT('Raw Orders'!B1823,4)),VALUE(MID('Raw Orders'!B1823,6,2)),VALUE(MID('Raw Orders'!B1823,9,2))),DATE(VALUE(MID('Raw Orders'!B1823,7,4)),VALUE(MID('Raw Orders'!B1823,4,2)),VALUE(LEFT('Raw Orders'!B1823,2)))))</f>
        <v>46242</v>
      </c>
      <c r="B1826" s="36" t="n">
        <f aca="false">IF(A1826="","",A1826-WEEKDAY(A1826,3))</f>
        <v>46237</v>
      </c>
      <c r="C1826" s="32" t="n">
        <f aca="false">IF(OR('Raw Orders'!C1823&lt;&gt;"Product",'Raw Orders'!K1823="Cancelled"),0,'Raw Orders'!G1823)</f>
        <v>-26</v>
      </c>
      <c r="D1826" s="31" t="n">
        <f aca="false">IF(AND('Raw Orders'!C1823="Product",'Raw Orders'!K1823="Fulfilled",COUNTIFS('Raw Orders'!$A$2:$A1823,'Raw Orders'!A1823,'Raw Orders'!$C$2:$C1823,"Product",'Raw Orders'!$K$2:$K1823,"Fulfilled")=1),1,0)</f>
        <v>0</v>
      </c>
      <c r="E1826" s="31" t="n">
        <f aca="false">IF(AND('Raw Orders'!C1823="Product",'Raw Orders'!K1823="Fulfilled"),'Raw Orders'!E1823,0)</f>
        <v>0</v>
      </c>
      <c r="F1826" s="32" t="n">
        <f aca="false">IF('Raw Orders'!K1823="Refunded",'Raw Orders'!G1823,0)</f>
        <v>-26</v>
      </c>
    </row>
    <row r="1827" customFormat="false" ht="15" hidden="false" customHeight="false" outlineLevel="0" collapsed="false">
      <c r="A1827" s="36" t="n">
        <f aca="false">IF('Raw Orders'!B1824="","",IF(MID('Raw Orders'!B1824,5,1)="-",DATE(VALUE(LEFT('Raw Orders'!B1824,4)),VALUE(MID('Raw Orders'!B1824,6,2)),VALUE(MID('Raw Orders'!B1824,9,2))),DATE(VALUE(MID('Raw Orders'!B1824,7,4)),VALUE(MID('Raw Orders'!B1824,4,2)),VALUE(LEFT('Raw Orders'!B1824,2)))))</f>
        <v>46242</v>
      </c>
      <c r="B1827" s="36" t="n">
        <f aca="false">IF(A1827="","",A1827-WEEKDAY(A1827,3))</f>
        <v>46237</v>
      </c>
      <c r="C1827" s="32" t="n">
        <f aca="false">IF(OR('Raw Orders'!C1824&lt;&gt;"Product",'Raw Orders'!K1824="Cancelled"),0,'Raw Orders'!G1824)</f>
        <v>0</v>
      </c>
      <c r="D1827" s="31" t="n">
        <f aca="false">IF(AND('Raw Orders'!C1824="Product",'Raw Orders'!K1824="Fulfilled",COUNTIFS('Raw Orders'!$A$2:$A1824,'Raw Orders'!A1824,'Raw Orders'!$C$2:$C1824,"Product",'Raw Orders'!$K$2:$K1824,"Fulfilled")=1),1,0)</f>
        <v>0</v>
      </c>
      <c r="E1827" s="31" t="n">
        <f aca="false">IF(AND('Raw Orders'!C1824="Product",'Raw Orders'!K1824="Fulfilled"),'Raw Orders'!E1824,0)</f>
        <v>0</v>
      </c>
      <c r="F1827" s="32" t="n">
        <f aca="false">IF('Raw Orders'!K1824="Refunded",'Raw Orders'!G1824,0)</f>
        <v>0</v>
      </c>
    </row>
    <row r="1828" customFormat="false" ht="15" hidden="false" customHeight="false" outlineLevel="0" collapsed="false">
      <c r="A1828" s="36" t="n">
        <f aca="false">IF('Raw Orders'!B1825="","",IF(MID('Raw Orders'!B1825,5,1)="-",DATE(VALUE(LEFT('Raw Orders'!B1825,4)),VALUE(MID('Raw Orders'!B1825,6,2)),VALUE(MID('Raw Orders'!B1825,9,2))),DATE(VALUE(MID('Raw Orders'!B1825,7,4)),VALUE(MID('Raw Orders'!B1825,4,2)),VALUE(LEFT('Raw Orders'!B1825,2)))))</f>
        <v>46242</v>
      </c>
      <c r="B1828" s="36" t="n">
        <f aca="false">IF(A1828="","",A1828-WEEKDAY(A1828,3))</f>
        <v>46237</v>
      </c>
      <c r="C1828" s="32" t="n">
        <f aca="false">IF(OR('Raw Orders'!C1825&lt;&gt;"Product",'Raw Orders'!K1825="Cancelled"),0,'Raw Orders'!G1825)</f>
        <v>29</v>
      </c>
      <c r="D1828" s="31" t="n">
        <f aca="false">IF(AND('Raw Orders'!C1825="Product",'Raw Orders'!K1825="Fulfilled",COUNTIFS('Raw Orders'!$A$2:$A1825,'Raw Orders'!A1825,'Raw Orders'!$C$2:$C1825,"Product",'Raw Orders'!$K$2:$K1825,"Fulfilled")=1),1,0)</f>
        <v>1</v>
      </c>
      <c r="E1828" s="31" t="n">
        <f aca="false">IF(AND('Raw Orders'!C1825="Product",'Raw Orders'!K1825="Fulfilled"),'Raw Orders'!E1825,0)</f>
        <v>1</v>
      </c>
      <c r="F1828" s="32" t="n">
        <f aca="false">IF('Raw Orders'!K1825="Refunded",'Raw Orders'!G1825,0)</f>
        <v>0</v>
      </c>
    </row>
    <row r="1829" customFormat="false" ht="15" hidden="false" customHeight="false" outlineLevel="0" collapsed="false">
      <c r="A1829" s="36" t="n">
        <f aca="false">IF('Raw Orders'!B1826="","",IF(MID('Raw Orders'!B1826,5,1)="-",DATE(VALUE(LEFT('Raw Orders'!B1826,4)),VALUE(MID('Raw Orders'!B1826,6,2)),VALUE(MID('Raw Orders'!B1826,9,2))),DATE(VALUE(MID('Raw Orders'!B1826,7,4)),VALUE(MID('Raw Orders'!B1826,4,2)),VALUE(LEFT('Raw Orders'!B1826,2)))))</f>
        <v>46242</v>
      </c>
      <c r="B1829" s="36" t="n">
        <f aca="false">IF(A1829="","",A1829-WEEKDAY(A1829,3))</f>
        <v>46237</v>
      </c>
      <c r="C1829" s="32" t="n">
        <f aca="false">IF(OR('Raw Orders'!C1826&lt;&gt;"Product",'Raw Orders'!K1826="Cancelled"),0,'Raw Orders'!G1826)</f>
        <v>29</v>
      </c>
      <c r="D1829" s="31" t="n">
        <f aca="false">IF(AND('Raw Orders'!C1826="Product",'Raw Orders'!K1826="Fulfilled",COUNTIFS('Raw Orders'!$A$2:$A1826,'Raw Orders'!A1826,'Raw Orders'!$C$2:$C1826,"Product",'Raw Orders'!$K$2:$K1826,"Fulfilled")=1),1,0)</f>
        <v>1</v>
      </c>
      <c r="E1829" s="31" t="n">
        <f aca="false">IF(AND('Raw Orders'!C1826="Product",'Raw Orders'!K1826="Fulfilled"),'Raw Orders'!E1826,0)</f>
        <v>1</v>
      </c>
      <c r="F1829" s="32" t="n">
        <f aca="false">IF('Raw Orders'!K1826="Refunded",'Raw Orders'!G1826,0)</f>
        <v>0</v>
      </c>
    </row>
    <row r="1830" customFormat="false" ht="15" hidden="false" customHeight="false" outlineLevel="0" collapsed="false">
      <c r="A1830" s="36" t="n">
        <f aca="false">IF('Raw Orders'!B1827="","",IF(MID('Raw Orders'!B1827,5,1)="-",DATE(VALUE(LEFT('Raw Orders'!B1827,4)),VALUE(MID('Raw Orders'!B1827,6,2)),VALUE(MID('Raw Orders'!B1827,9,2))),DATE(VALUE(MID('Raw Orders'!B1827,7,4)),VALUE(MID('Raw Orders'!B1827,4,2)),VALUE(LEFT('Raw Orders'!B1827,2)))))</f>
        <v>46243</v>
      </c>
      <c r="B1830" s="36" t="n">
        <f aca="false">IF(A1830="","",A1830-WEEKDAY(A1830,3))</f>
        <v>46237</v>
      </c>
      <c r="C1830" s="32" t="n">
        <f aca="false">IF(OR('Raw Orders'!C1827&lt;&gt;"Product",'Raw Orders'!K1827="Cancelled"),0,'Raw Orders'!G1827)</f>
        <v>-35</v>
      </c>
      <c r="D1830" s="31" t="n">
        <f aca="false">IF(AND('Raw Orders'!C1827="Product",'Raw Orders'!K1827="Fulfilled",COUNTIFS('Raw Orders'!$A$2:$A1827,'Raw Orders'!A1827,'Raw Orders'!$C$2:$C1827,"Product",'Raw Orders'!$K$2:$K1827,"Fulfilled")=1),1,0)</f>
        <v>0</v>
      </c>
      <c r="E1830" s="31" t="n">
        <f aca="false">IF(AND('Raw Orders'!C1827="Product",'Raw Orders'!K1827="Fulfilled"),'Raw Orders'!E1827,0)</f>
        <v>0</v>
      </c>
      <c r="F1830" s="32" t="n">
        <f aca="false">IF('Raw Orders'!K1827="Refunded",'Raw Orders'!G1827,0)</f>
        <v>-35</v>
      </c>
    </row>
    <row r="1831" customFormat="false" ht="15" hidden="false" customHeight="false" outlineLevel="0" collapsed="false">
      <c r="A1831" s="36" t="n">
        <f aca="false">IF('Raw Orders'!B1828="","",IF(MID('Raw Orders'!B1828,5,1)="-",DATE(VALUE(LEFT('Raw Orders'!B1828,4)),VALUE(MID('Raw Orders'!B1828,6,2)),VALUE(MID('Raw Orders'!B1828,9,2))),DATE(VALUE(MID('Raw Orders'!B1828,7,4)),VALUE(MID('Raw Orders'!B1828,4,2)),VALUE(LEFT('Raw Orders'!B1828,2)))))</f>
        <v>46243</v>
      </c>
      <c r="B1831" s="36" t="n">
        <f aca="false">IF(A1831="","",A1831-WEEKDAY(A1831,3))</f>
        <v>46237</v>
      </c>
      <c r="C1831" s="32" t="n">
        <f aca="false">IF(OR('Raw Orders'!C1828&lt;&gt;"Product",'Raw Orders'!K1828="Cancelled"),0,'Raw Orders'!G1828)</f>
        <v>69</v>
      </c>
      <c r="D1831" s="31" t="n">
        <f aca="false">IF(AND('Raw Orders'!C1828="Product",'Raw Orders'!K1828="Fulfilled",COUNTIFS('Raw Orders'!$A$2:$A1828,'Raw Orders'!A1828,'Raw Orders'!$C$2:$C1828,"Product",'Raw Orders'!$K$2:$K1828,"Fulfilled")=1),1,0)</f>
        <v>1</v>
      </c>
      <c r="E1831" s="31" t="n">
        <f aca="false">IF(AND('Raw Orders'!C1828="Product",'Raw Orders'!K1828="Fulfilled"),'Raw Orders'!E1828,0)</f>
        <v>1</v>
      </c>
      <c r="F1831" s="32" t="n">
        <f aca="false">IF('Raw Orders'!K1828="Refunded",'Raw Orders'!G1828,0)</f>
        <v>0</v>
      </c>
    </row>
    <row r="1832" customFormat="false" ht="15" hidden="false" customHeight="false" outlineLevel="0" collapsed="false">
      <c r="A1832" s="36" t="n">
        <f aca="false">IF('Raw Orders'!B1829="","",IF(MID('Raw Orders'!B1829,5,1)="-",DATE(VALUE(LEFT('Raw Orders'!B1829,4)),VALUE(MID('Raw Orders'!B1829,6,2)),VALUE(MID('Raw Orders'!B1829,9,2))),DATE(VALUE(MID('Raw Orders'!B1829,7,4)),VALUE(MID('Raw Orders'!B1829,4,2)),VALUE(LEFT('Raw Orders'!B1829,2)))))</f>
        <v>46243</v>
      </c>
      <c r="B1832" s="36" t="n">
        <f aca="false">IF(A1832="","",A1832-WEEKDAY(A1832,3))</f>
        <v>46237</v>
      </c>
      <c r="C1832" s="32" t="n">
        <f aca="false">IF(OR('Raw Orders'!C1829&lt;&gt;"Product",'Raw Orders'!K1829="Cancelled"),0,'Raw Orders'!G1829)</f>
        <v>0</v>
      </c>
      <c r="D1832" s="31" t="n">
        <f aca="false">IF(AND('Raw Orders'!C1829="Product",'Raw Orders'!K1829="Fulfilled",COUNTIFS('Raw Orders'!$A$2:$A1829,'Raw Orders'!A1829,'Raw Orders'!$C$2:$C1829,"Product",'Raw Orders'!$K$2:$K1829,"Fulfilled")=1),1,0)</f>
        <v>0</v>
      </c>
      <c r="E1832" s="31" t="n">
        <f aca="false">IF(AND('Raw Orders'!C1829="Product",'Raw Orders'!K1829="Fulfilled"),'Raw Orders'!E1829,0)</f>
        <v>0</v>
      </c>
      <c r="F1832" s="32" t="n">
        <f aca="false">IF('Raw Orders'!K1829="Refunded",'Raw Orders'!G1829,0)</f>
        <v>0</v>
      </c>
    </row>
    <row r="1833" customFormat="false" ht="15" hidden="false" customHeight="false" outlineLevel="0" collapsed="false">
      <c r="A1833" s="36" t="n">
        <f aca="false">IF('Raw Orders'!B1830="","",IF(MID('Raw Orders'!B1830,5,1)="-",DATE(VALUE(LEFT('Raw Orders'!B1830,4)),VALUE(MID('Raw Orders'!B1830,6,2)),VALUE(MID('Raw Orders'!B1830,9,2))),DATE(VALUE(MID('Raw Orders'!B1830,7,4)),VALUE(MID('Raw Orders'!B1830,4,2)),VALUE(LEFT('Raw Orders'!B1830,2)))))</f>
        <v>46243</v>
      </c>
      <c r="B1833" s="36" t="n">
        <f aca="false">IF(A1833="","",A1833-WEEKDAY(A1833,3))</f>
        <v>46237</v>
      </c>
      <c r="C1833" s="32" t="n">
        <f aca="false">IF(OR('Raw Orders'!C1830&lt;&gt;"Product",'Raw Orders'!K1830="Cancelled"),0,'Raw Orders'!G1830)</f>
        <v>87</v>
      </c>
      <c r="D1833" s="31" t="n">
        <f aca="false">IF(AND('Raw Orders'!C1830="Product",'Raw Orders'!K1830="Fulfilled",COUNTIFS('Raw Orders'!$A$2:$A1830,'Raw Orders'!A1830,'Raw Orders'!$C$2:$C1830,"Product",'Raw Orders'!$K$2:$K1830,"Fulfilled")=1),1,0)</f>
        <v>0</v>
      </c>
      <c r="E1833" s="31" t="n">
        <f aca="false">IF(AND('Raw Orders'!C1830="Product",'Raw Orders'!K1830="Fulfilled"),'Raw Orders'!E1830,0)</f>
        <v>3</v>
      </c>
      <c r="F1833" s="32" t="n">
        <f aca="false">IF('Raw Orders'!K1830="Refunded",'Raw Orders'!G1830,0)</f>
        <v>0</v>
      </c>
    </row>
    <row r="1834" customFormat="false" ht="15" hidden="false" customHeight="false" outlineLevel="0" collapsed="false">
      <c r="A1834" s="36" t="n">
        <f aca="false">IF('Raw Orders'!B1831="","",IF(MID('Raw Orders'!B1831,5,1)="-",DATE(VALUE(LEFT('Raw Orders'!B1831,4)),VALUE(MID('Raw Orders'!B1831,6,2)),VALUE(MID('Raw Orders'!B1831,9,2))),DATE(VALUE(MID('Raw Orders'!B1831,7,4)),VALUE(MID('Raw Orders'!B1831,4,2)),VALUE(LEFT('Raw Orders'!B1831,2)))))</f>
        <v>46243</v>
      </c>
      <c r="B1834" s="36" t="n">
        <f aca="false">IF(A1834="","",A1834-WEEKDAY(A1834,3))</f>
        <v>46237</v>
      </c>
      <c r="C1834" s="32" t="n">
        <f aca="false">IF(OR('Raw Orders'!C1831&lt;&gt;"Product",'Raw Orders'!K1831="Cancelled"),0,'Raw Orders'!G1831)</f>
        <v>0</v>
      </c>
      <c r="D1834" s="31" t="n">
        <f aca="false">IF(AND('Raw Orders'!C1831="Product",'Raw Orders'!K1831="Fulfilled",COUNTIFS('Raw Orders'!$A$2:$A1831,'Raw Orders'!A1831,'Raw Orders'!$C$2:$C1831,"Product",'Raw Orders'!$K$2:$K1831,"Fulfilled")=1),1,0)</f>
        <v>0</v>
      </c>
      <c r="E1834" s="31" t="n">
        <f aca="false">IF(AND('Raw Orders'!C1831="Product",'Raw Orders'!K1831="Fulfilled"),'Raw Orders'!E1831,0)</f>
        <v>0</v>
      </c>
      <c r="F1834" s="32" t="n">
        <f aca="false">IF('Raw Orders'!K1831="Refunded",'Raw Orders'!G1831,0)</f>
        <v>0</v>
      </c>
    </row>
    <row r="1835" customFormat="false" ht="15" hidden="false" customHeight="false" outlineLevel="0" collapsed="false">
      <c r="A1835" s="36" t="n">
        <f aca="false">IF('Raw Orders'!B1832="","",IF(MID('Raw Orders'!B1832,5,1)="-",DATE(VALUE(LEFT('Raw Orders'!B1832,4)),VALUE(MID('Raw Orders'!B1832,6,2)),VALUE(MID('Raw Orders'!B1832,9,2))),DATE(VALUE(MID('Raw Orders'!B1832,7,4)),VALUE(MID('Raw Orders'!B1832,4,2)),VALUE(LEFT('Raw Orders'!B1832,2)))))</f>
        <v>46243</v>
      </c>
      <c r="B1835" s="36" t="n">
        <f aca="false">IF(A1835="","",A1835-WEEKDAY(A1835,3))</f>
        <v>46237</v>
      </c>
      <c r="C1835" s="32" t="n">
        <f aca="false">IF(OR('Raw Orders'!C1832&lt;&gt;"Product",'Raw Orders'!K1832="Cancelled"),0,'Raw Orders'!G1832)</f>
        <v>138</v>
      </c>
      <c r="D1835" s="31" t="n">
        <f aca="false">IF(AND('Raw Orders'!C1832="Product",'Raw Orders'!K1832="Fulfilled",COUNTIFS('Raw Orders'!$A$2:$A1832,'Raw Orders'!A1832,'Raw Orders'!$C$2:$C1832,"Product",'Raw Orders'!$K$2:$K1832,"Fulfilled")=1),1,0)</f>
        <v>1</v>
      </c>
      <c r="E1835" s="31" t="n">
        <f aca="false">IF(AND('Raw Orders'!C1832="Product",'Raw Orders'!K1832="Fulfilled"),'Raw Orders'!E1832,0)</f>
        <v>2</v>
      </c>
      <c r="F1835" s="32" t="n">
        <f aca="false">IF('Raw Orders'!K1832="Refunded",'Raw Orders'!G1832,0)</f>
        <v>0</v>
      </c>
    </row>
    <row r="1836" customFormat="false" ht="15" hidden="false" customHeight="false" outlineLevel="0" collapsed="false">
      <c r="A1836" s="36" t="n">
        <f aca="false">IF('Raw Orders'!B1833="","",IF(MID('Raw Orders'!B1833,5,1)="-",DATE(VALUE(LEFT('Raw Orders'!B1833,4)),VALUE(MID('Raw Orders'!B1833,6,2)),VALUE(MID('Raw Orders'!B1833,9,2))),DATE(VALUE(MID('Raw Orders'!B1833,7,4)),VALUE(MID('Raw Orders'!B1833,4,2)),VALUE(LEFT('Raw Orders'!B1833,2)))))</f>
        <v>46243</v>
      </c>
      <c r="B1836" s="36" t="n">
        <f aca="false">IF(A1836="","",A1836-WEEKDAY(A1836,3))</f>
        <v>46237</v>
      </c>
      <c r="C1836" s="32" t="n">
        <f aca="false">IF(OR('Raw Orders'!C1833&lt;&gt;"Product",'Raw Orders'!K1833="Cancelled"),0,'Raw Orders'!G1833)</f>
        <v>29</v>
      </c>
      <c r="D1836" s="31" t="n">
        <f aca="false">IF(AND('Raw Orders'!C1833="Product",'Raw Orders'!K1833="Fulfilled",COUNTIFS('Raw Orders'!$A$2:$A1833,'Raw Orders'!A1833,'Raw Orders'!$C$2:$C1833,"Product",'Raw Orders'!$K$2:$K1833,"Fulfilled")=1),1,0)</f>
        <v>1</v>
      </c>
      <c r="E1836" s="31" t="n">
        <f aca="false">IF(AND('Raw Orders'!C1833="Product",'Raw Orders'!K1833="Fulfilled"),'Raw Orders'!E1833,0)</f>
        <v>1</v>
      </c>
      <c r="F1836" s="32" t="n">
        <f aca="false">IF('Raw Orders'!K1833="Refunded",'Raw Orders'!G1833,0)</f>
        <v>0</v>
      </c>
    </row>
    <row r="1837" customFormat="false" ht="15" hidden="false" customHeight="false" outlineLevel="0" collapsed="false">
      <c r="A1837" s="36" t="n">
        <f aca="false">IF('Raw Orders'!B1834="","",IF(MID('Raw Orders'!B1834,5,1)="-",DATE(VALUE(LEFT('Raw Orders'!B1834,4)),VALUE(MID('Raw Orders'!B1834,6,2)),VALUE(MID('Raw Orders'!B1834,9,2))),DATE(VALUE(MID('Raw Orders'!B1834,7,4)),VALUE(MID('Raw Orders'!B1834,4,2)),VALUE(LEFT('Raw Orders'!B1834,2)))))</f>
        <v>46243</v>
      </c>
      <c r="B1837" s="36" t="n">
        <f aca="false">IF(A1837="","",A1837-WEEKDAY(A1837,3))</f>
        <v>46237</v>
      </c>
      <c r="C1837" s="32" t="n">
        <f aca="false">IF(OR('Raw Orders'!C1834&lt;&gt;"Product",'Raw Orders'!K1834="Cancelled"),0,'Raw Orders'!G1834)</f>
        <v>22</v>
      </c>
      <c r="D1837" s="31" t="n">
        <f aca="false">IF(AND('Raw Orders'!C1834="Product",'Raw Orders'!K1834="Fulfilled",COUNTIFS('Raw Orders'!$A$2:$A1834,'Raw Orders'!A1834,'Raw Orders'!$C$2:$C1834,"Product",'Raw Orders'!$K$2:$K1834,"Fulfilled")=1),1,0)</f>
        <v>0</v>
      </c>
      <c r="E1837" s="31" t="n">
        <f aca="false">IF(AND('Raw Orders'!C1834="Product",'Raw Orders'!K1834="Fulfilled"),'Raw Orders'!E1834,0)</f>
        <v>1</v>
      </c>
      <c r="F1837" s="32" t="n">
        <f aca="false">IF('Raw Orders'!K1834="Refunded",'Raw Orders'!G1834,0)</f>
        <v>0</v>
      </c>
    </row>
    <row r="1838" customFormat="false" ht="15" hidden="false" customHeight="false" outlineLevel="0" collapsed="false">
      <c r="A1838" s="36" t="n">
        <f aca="false">IF('Raw Orders'!B1835="","",IF(MID('Raw Orders'!B1835,5,1)="-",DATE(VALUE(LEFT('Raw Orders'!B1835,4)),VALUE(MID('Raw Orders'!B1835,6,2)),VALUE(MID('Raw Orders'!B1835,9,2))),DATE(VALUE(MID('Raw Orders'!B1835,7,4)),VALUE(MID('Raw Orders'!B1835,4,2)),VALUE(LEFT('Raw Orders'!B1835,2)))))</f>
        <v>46243</v>
      </c>
      <c r="B1838" s="36" t="n">
        <f aca="false">IF(A1838="","",A1838-WEEKDAY(A1838,3))</f>
        <v>46237</v>
      </c>
      <c r="C1838" s="32" t="n">
        <f aca="false">IF(OR('Raw Orders'!C1835&lt;&gt;"Product",'Raw Orders'!K1835="Cancelled"),0,'Raw Orders'!G1835)</f>
        <v>0</v>
      </c>
      <c r="D1838" s="31" t="n">
        <f aca="false">IF(AND('Raw Orders'!C1835="Product",'Raw Orders'!K1835="Fulfilled",COUNTIFS('Raw Orders'!$A$2:$A1835,'Raw Orders'!A1835,'Raw Orders'!$C$2:$C1835,"Product",'Raw Orders'!$K$2:$K1835,"Fulfilled")=1),1,0)</f>
        <v>0</v>
      </c>
      <c r="E1838" s="31" t="n">
        <f aca="false">IF(AND('Raw Orders'!C1835="Product",'Raw Orders'!K1835="Fulfilled"),'Raw Orders'!E1835,0)</f>
        <v>0</v>
      </c>
      <c r="F1838" s="32" t="n">
        <f aca="false">IF('Raw Orders'!K1835="Refunded",'Raw Orders'!G1835,0)</f>
        <v>0</v>
      </c>
    </row>
    <row r="1839" customFormat="false" ht="15" hidden="false" customHeight="false" outlineLevel="0" collapsed="false">
      <c r="A1839" s="36" t="n">
        <f aca="false">IF('Raw Orders'!B1836="","",IF(MID('Raw Orders'!B1836,5,1)="-",DATE(VALUE(LEFT('Raw Orders'!B1836,4)),VALUE(MID('Raw Orders'!B1836,6,2)),VALUE(MID('Raw Orders'!B1836,9,2))),DATE(VALUE(MID('Raw Orders'!B1836,7,4)),VALUE(MID('Raw Orders'!B1836,4,2)),VALUE(LEFT('Raw Orders'!B1836,2)))))</f>
        <v>46244</v>
      </c>
      <c r="B1839" s="36" t="n">
        <f aca="false">IF(A1839="","",A1839-WEEKDAY(A1839,3))</f>
        <v>46244</v>
      </c>
      <c r="C1839" s="32" t="n">
        <f aca="false">IF(OR('Raw Orders'!C1836&lt;&gt;"Product",'Raw Orders'!K1836="Cancelled"),0,'Raw Orders'!G1836)</f>
        <v>-22</v>
      </c>
      <c r="D1839" s="31" t="n">
        <f aca="false">IF(AND('Raw Orders'!C1836="Product",'Raw Orders'!K1836="Fulfilled",COUNTIFS('Raw Orders'!$A$2:$A1836,'Raw Orders'!A1836,'Raw Orders'!$C$2:$C1836,"Product",'Raw Orders'!$K$2:$K1836,"Fulfilled")=1),1,0)</f>
        <v>0</v>
      </c>
      <c r="E1839" s="31" t="n">
        <f aca="false">IF(AND('Raw Orders'!C1836="Product",'Raw Orders'!K1836="Fulfilled"),'Raw Orders'!E1836,0)</f>
        <v>0</v>
      </c>
      <c r="F1839" s="32" t="n">
        <f aca="false">IF('Raw Orders'!K1836="Refunded",'Raw Orders'!G1836,0)</f>
        <v>-22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2026-08-12T06:00:16Z</dcterms:created>
  <dc:creator>openpyxl</dc:creator>
  <dc:description/>
  <dc:language>en-US</dc:language>
  <cp:lastModifiedBy/>
  <dcterms:modified xsi:type="dcterms:W3CDTF">2026-08-12T06:00:17Z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